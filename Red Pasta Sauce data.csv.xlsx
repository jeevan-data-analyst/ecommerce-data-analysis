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umni\Downloads\"/>
    </mc:Choice>
  </mc:AlternateContent>
  <xr:revisionPtr revIDLastSave="0" documentId="8_{76AF3601-F215-452D-A1AD-B017D778FA7B}" xr6:coauthVersionLast="47" xr6:coauthVersionMax="47" xr10:uidLastSave="{00000000-0000-0000-0000-000000000000}"/>
  <bookViews>
    <workbookView xWindow="-110" yWindow="-110" windowWidth="19420" windowHeight="10300" activeTab="2" xr2:uid="{E71D033C-2B44-4F2D-9403-BAE96A79295B}"/>
  </bookViews>
  <sheets>
    <sheet name="Red Pasta Sauce data Instacart" sheetId="1" r:id="rId1"/>
    <sheet name="Red Pasta Sauce data Aldi" sheetId="2" r:id="rId2"/>
    <sheet name="Mapping report Instacart" sheetId="5" r:id="rId3"/>
    <sheet name="Mapping report Aldi" sheetId="3" r:id="rId4"/>
  </sheets>
  <calcPr calcId="0"/>
  <pivotCaches>
    <pivotCache cacheId="62" r:id="rId5"/>
    <pivotCache cacheId="69" r:id="rId6"/>
  </pivotCaches>
</workbook>
</file>

<file path=xl/calcChain.xml><?xml version="1.0" encoding="utf-8"?>
<calcChain xmlns="http://schemas.openxmlformats.org/spreadsheetml/2006/main">
  <c r="L3" i="1" l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L80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L90" i="1"/>
  <c r="M90" i="1"/>
  <c r="N90" i="1"/>
  <c r="L91" i="1"/>
  <c r="M91" i="1"/>
  <c r="N91" i="1"/>
  <c r="L92" i="1"/>
  <c r="M92" i="1"/>
  <c r="N92" i="1"/>
  <c r="L93" i="1"/>
  <c r="M93" i="1"/>
  <c r="N93" i="1"/>
  <c r="L94" i="1"/>
  <c r="M94" i="1"/>
  <c r="N94" i="1"/>
  <c r="L95" i="1"/>
  <c r="M95" i="1"/>
  <c r="N95" i="1"/>
  <c r="L96" i="1"/>
  <c r="M96" i="1"/>
  <c r="N96" i="1"/>
  <c r="L97" i="1"/>
  <c r="M97" i="1"/>
  <c r="N97" i="1"/>
  <c r="L98" i="1"/>
  <c r="M98" i="1"/>
  <c r="N98" i="1"/>
  <c r="L99" i="1"/>
  <c r="M99" i="1"/>
  <c r="N99" i="1"/>
  <c r="L100" i="1"/>
  <c r="M100" i="1"/>
  <c r="N100" i="1"/>
  <c r="L101" i="1"/>
  <c r="M101" i="1"/>
  <c r="N101" i="1"/>
  <c r="L102" i="1"/>
  <c r="M102" i="1"/>
  <c r="N102" i="1"/>
  <c r="L103" i="1"/>
  <c r="M103" i="1"/>
  <c r="N103" i="1"/>
  <c r="L104" i="1"/>
  <c r="M104" i="1"/>
  <c r="N104" i="1"/>
  <c r="L105" i="1"/>
  <c r="M105" i="1"/>
  <c r="N105" i="1"/>
  <c r="L106" i="1"/>
  <c r="M106" i="1"/>
  <c r="N106" i="1"/>
  <c r="L107" i="1"/>
  <c r="M107" i="1"/>
  <c r="N107" i="1"/>
  <c r="L108" i="1"/>
  <c r="M108" i="1"/>
  <c r="N108" i="1"/>
  <c r="L109" i="1"/>
  <c r="M109" i="1"/>
  <c r="N109" i="1"/>
  <c r="L110" i="1"/>
  <c r="M110" i="1"/>
  <c r="N110" i="1"/>
  <c r="L111" i="1"/>
  <c r="M111" i="1"/>
  <c r="N111" i="1"/>
  <c r="L112" i="1"/>
  <c r="M112" i="1"/>
  <c r="N112" i="1"/>
  <c r="L113" i="1"/>
  <c r="M113" i="1"/>
  <c r="N113" i="1"/>
  <c r="L114" i="1"/>
  <c r="M114" i="1"/>
  <c r="N114" i="1"/>
  <c r="L115" i="1"/>
  <c r="M115" i="1"/>
  <c r="N115" i="1"/>
  <c r="L116" i="1"/>
  <c r="M116" i="1"/>
  <c r="N116" i="1"/>
  <c r="L117" i="1"/>
  <c r="M117" i="1"/>
  <c r="N117" i="1"/>
  <c r="L118" i="1"/>
  <c r="M118" i="1"/>
  <c r="N118" i="1"/>
  <c r="L119" i="1"/>
  <c r="M119" i="1"/>
  <c r="N119" i="1"/>
  <c r="L120" i="1"/>
  <c r="M120" i="1"/>
  <c r="N120" i="1"/>
  <c r="L121" i="1"/>
  <c r="M121" i="1"/>
  <c r="N121" i="1"/>
  <c r="L122" i="1"/>
  <c r="M122" i="1"/>
  <c r="N122" i="1"/>
  <c r="L123" i="1"/>
  <c r="M123" i="1"/>
  <c r="N123" i="1"/>
  <c r="L124" i="1"/>
  <c r="M124" i="1"/>
  <c r="N124" i="1"/>
  <c r="L125" i="1"/>
  <c r="M125" i="1"/>
  <c r="N125" i="1"/>
  <c r="L126" i="1"/>
  <c r="M126" i="1"/>
  <c r="N126" i="1"/>
  <c r="L127" i="1"/>
  <c r="M127" i="1"/>
  <c r="N127" i="1"/>
  <c r="L128" i="1"/>
  <c r="M128" i="1"/>
  <c r="N128" i="1"/>
  <c r="L129" i="1"/>
  <c r="M129" i="1"/>
  <c r="N129" i="1"/>
  <c r="L130" i="1"/>
  <c r="M130" i="1"/>
  <c r="N130" i="1"/>
  <c r="L131" i="1"/>
  <c r="M131" i="1"/>
  <c r="N131" i="1"/>
  <c r="L132" i="1"/>
  <c r="M132" i="1"/>
  <c r="N132" i="1"/>
  <c r="L133" i="1"/>
  <c r="M133" i="1"/>
  <c r="N133" i="1"/>
  <c r="L134" i="1"/>
  <c r="M134" i="1"/>
  <c r="N134" i="1"/>
  <c r="L135" i="1"/>
  <c r="M135" i="1"/>
  <c r="N135" i="1"/>
  <c r="L136" i="1"/>
  <c r="M136" i="1"/>
  <c r="N136" i="1"/>
  <c r="L137" i="1"/>
  <c r="M137" i="1"/>
  <c r="N137" i="1"/>
  <c r="L138" i="1"/>
  <c r="M138" i="1"/>
  <c r="N138" i="1"/>
  <c r="L139" i="1"/>
  <c r="M139" i="1"/>
  <c r="N139" i="1"/>
  <c r="L140" i="1"/>
  <c r="M140" i="1"/>
  <c r="N140" i="1"/>
  <c r="L141" i="1"/>
  <c r="M141" i="1"/>
  <c r="N141" i="1"/>
  <c r="L142" i="1"/>
  <c r="M142" i="1"/>
  <c r="N142" i="1"/>
  <c r="L143" i="1"/>
  <c r="M143" i="1"/>
  <c r="N143" i="1"/>
  <c r="L144" i="1"/>
  <c r="M144" i="1"/>
  <c r="N144" i="1"/>
  <c r="L145" i="1"/>
  <c r="M145" i="1"/>
  <c r="N145" i="1"/>
  <c r="L146" i="1"/>
  <c r="M146" i="1"/>
  <c r="N146" i="1"/>
  <c r="L147" i="1"/>
  <c r="M147" i="1"/>
  <c r="N147" i="1"/>
  <c r="L148" i="1"/>
  <c r="M148" i="1"/>
  <c r="N148" i="1"/>
  <c r="L149" i="1"/>
  <c r="M149" i="1"/>
  <c r="N149" i="1"/>
  <c r="L150" i="1"/>
  <c r="M150" i="1"/>
  <c r="N150" i="1"/>
  <c r="L151" i="1"/>
  <c r="M151" i="1"/>
  <c r="N151" i="1"/>
  <c r="L152" i="1"/>
  <c r="M152" i="1"/>
  <c r="N152" i="1"/>
  <c r="L153" i="1"/>
  <c r="M153" i="1"/>
  <c r="N153" i="1"/>
  <c r="L154" i="1"/>
  <c r="M154" i="1"/>
  <c r="N154" i="1"/>
  <c r="L155" i="1"/>
  <c r="M155" i="1"/>
  <c r="N155" i="1"/>
  <c r="L156" i="1"/>
  <c r="M156" i="1"/>
  <c r="N156" i="1"/>
  <c r="L157" i="1"/>
  <c r="M157" i="1"/>
  <c r="N157" i="1"/>
  <c r="L158" i="1"/>
  <c r="M158" i="1"/>
  <c r="N158" i="1"/>
  <c r="L159" i="1"/>
  <c r="M159" i="1"/>
  <c r="N159" i="1"/>
  <c r="L160" i="1"/>
  <c r="M160" i="1"/>
  <c r="N160" i="1"/>
  <c r="L161" i="1"/>
  <c r="M161" i="1"/>
  <c r="N161" i="1"/>
  <c r="L162" i="1"/>
  <c r="M162" i="1"/>
  <c r="N162" i="1"/>
  <c r="L163" i="1"/>
  <c r="M163" i="1"/>
  <c r="N163" i="1"/>
  <c r="L164" i="1"/>
  <c r="M164" i="1"/>
  <c r="N164" i="1"/>
  <c r="L165" i="1"/>
  <c r="M165" i="1"/>
  <c r="N165" i="1"/>
  <c r="L166" i="1"/>
  <c r="M166" i="1"/>
  <c r="N166" i="1"/>
  <c r="L167" i="1"/>
  <c r="M167" i="1"/>
  <c r="N167" i="1"/>
  <c r="L168" i="1"/>
  <c r="M168" i="1"/>
  <c r="N168" i="1"/>
  <c r="L169" i="1"/>
  <c r="M169" i="1"/>
  <c r="N169" i="1"/>
  <c r="L170" i="1"/>
  <c r="M170" i="1"/>
  <c r="N170" i="1"/>
  <c r="L171" i="1"/>
  <c r="M171" i="1"/>
  <c r="N171" i="1"/>
  <c r="L172" i="1"/>
  <c r="M172" i="1"/>
  <c r="N172" i="1"/>
  <c r="L173" i="1"/>
  <c r="M173" i="1"/>
  <c r="N173" i="1"/>
  <c r="L174" i="1"/>
  <c r="M174" i="1"/>
  <c r="N174" i="1"/>
  <c r="L175" i="1"/>
  <c r="M175" i="1"/>
  <c r="N175" i="1"/>
  <c r="L176" i="1"/>
  <c r="M176" i="1"/>
  <c r="N176" i="1"/>
  <c r="L177" i="1"/>
  <c r="M177" i="1"/>
  <c r="N177" i="1"/>
  <c r="L178" i="1"/>
  <c r="M178" i="1"/>
  <c r="N178" i="1"/>
  <c r="L179" i="1"/>
  <c r="M179" i="1"/>
  <c r="N179" i="1"/>
  <c r="L180" i="1"/>
  <c r="M180" i="1"/>
  <c r="N180" i="1"/>
  <c r="L181" i="1"/>
  <c r="M181" i="1"/>
  <c r="N181" i="1"/>
  <c r="L182" i="1"/>
  <c r="M182" i="1"/>
  <c r="N182" i="1"/>
  <c r="L183" i="1"/>
  <c r="M183" i="1"/>
  <c r="N183" i="1"/>
  <c r="L184" i="1"/>
  <c r="M184" i="1"/>
  <c r="N184" i="1"/>
  <c r="L185" i="1"/>
  <c r="M185" i="1"/>
  <c r="N185" i="1"/>
  <c r="L186" i="1"/>
  <c r="M186" i="1"/>
  <c r="N186" i="1"/>
  <c r="L187" i="1"/>
  <c r="M187" i="1"/>
  <c r="N187" i="1"/>
  <c r="L188" i="1"/>
  <c r="M188" i="1"/>
  <c r="N188" i="1"/>
  <c r="L189" i="1"/>
  <c r="M189" i="1"/>
  <c r="N189" i="1"/>
  <c r="L190" i="1"/>
  <c r="M190" i="1"/>
  <c r="N190" i="1"/>
  <c r="L191" i="1"/>
  <c r="M191" i="1"/>
  <c r="N191" i="1"/>
  <c r="L192" i="1"/>
  <c r="M192" i="1"/>
  <c r="N192" i="1"/>
  <c r="L193" i="1"/>
  <c r="M193" i="1"/>
  <c r="N193" i="1"/>
  <c r="L194" i="1"/>
  <c r="M194" i="1"/>
  <c r="N194" i="1"/>
  <c r="L195" i="1"/>
  <c r="M195" i="1"/>
  <c r="N195" i="1"/>
  <c r="L196" i="1"/>
  <c r="M196" i="1"/>
  <c r="N196" i="1"/>
  <c r="L197" i="1"/>
  <c r="M197" i="1"/>
  <c r="N197" i="1"/>
  <c r="L198" i="1"/>
  <c r="M198" i="1"/>
  <c r="N198" i="1"/>
  <c r="L199" i="1"/>
  <c r="M199" i="1"/>
  <c r="N199" i="1"/>
  <c r="L200" i="1"/>
  <c r="M200" i="1"/>
  <c r="N200" i="1"/>
  <c r="L201" i="1"/>
  <c r="M201" i="1"/>
  <c r="N201" i="1"/>
  <c r="L202" i="1"/>
  <c r="M202" i="1"/>
  <c r="N202" i="1"/>
  <c r="L203" i="1"/>
  <c r="M203" i="1"/>
  <c r="N203" i="1"/>
  <c r="L204" i="1"/>
  <c r="M204" i="1"/>
  <c r="N204" i="1"/>
  <c r="L205" i="1"/>
  <c r="M205" i="1"/>
  <c r="N205" i="1"/>
  <c r="L206" i="1"/>
  <c r="M206" i="1"/>
  <c r="N206" i="1"/>
  <c r="L207" i="1"/>
  <c r="M207" i="1"/>
  <c r="N207" i="1"/>
  <c r="L208" i="1"/>
  <c r="M208" i="1"/>
  <c r="N208" i="1"/>
  <c r="L209" i="1"/>
  <c r="M209" i="1"/>
  <c r="N209" i="1"/>
  <c r="L210" i="1"/>
  <c r="M210" i="1"/>
  <c r="N210" i="1"/>
  <c r="L211" i="1"/>
  <c r="M211" i="1"/>
  <c r="N211" i="1"/>
  <c r="L212" i="1"/>
  <c r="M212" i="1"/>
  <c r="N212" i="1"/>
  <c r="L213" i="1"/>
  <c r="M213" i="1"/>
  <c r="N213" i="1"/>
  <c r="L214" i="1"/>
  <c r="M214" i="1"/>
  <c r="N214" i="1"/>
  <c r="L215" i="1"/>
  <c r="M215" i="1"/>
  <c r="N215" i="1"/>
  <c r="L216" i="1"/>
  <c r="M216" i="1"/>
  <c r="N216" i="1"/>
  <c r="L217" i="1"/>
  <c r="M217" i="1"/>
  <c r="N217" i="1"/>
  <c r="L218" i="1"/>
  <c r="M218" i="1"/>
  <c r="N218" i="1"/>
  <c r="L219" i="1"/>
  <c r="M219" i="1"/>
  <c r="N219" i="1"/>
  <c r="L220" i="1"/>
  <c r="M220" i="1"/>
  <c r="N220" i="1"/>
  <c r="L221" i="1"/>
  <c r="M221" i="1"/>
  <c r="N221" i="1"/>
  <c r="L222" i="1"/>
  <c r="M222" i="1"/>
  <c r="N222" i="1"/>
  <c r="L223" i="1"/>
  <c r="M223" i="1"/>
  <c r="N223" i="1"/>
  <c r="L224" i="1"/>
  <c r="M224" i="1"/>
  <c r="N224" i="1"/>
  <c r="L225" i="1"/>
  <c r="M225" i="1"/>
  <c r="N225" i="1"/>
  <c r="L226" i="1"/>
  <c r="M226" i="1"/>
  <c r="N226" i="1"/>
  <c r="L227" i="1"/>
  <c r="M227" i="1"/>
  <c r="N227" i="1"/>
  <c r="L228" i="1"/>
  <c r="M228" i="1"/>
  <c r="N228" i="1"/>
  <c r="L229" i="1"/>
  <c r="M229" i="1"/>
  <c r="N229" i="1"/>
  <c r="L230" i="1"/>
  <c r="M230" i="1"/>
  <c r="N230" i="1"/>
  <c r="L231" i="1"/>
  <c r="M231" i="1"/>
  <c r="N231" i="1"/>
  <c r="L232" i="1"/>
  <c r="M232" i="1"/>
  <c r="N232" i="1"/>
  <c r="L233" i="1"/>
  <c r="M233" i="1"/>
  <c r="N233" i="1"/>
  <c r="L234" i="1"/>
  <c r="M234" i="1"/>
  <c r="N234" i="1"/>
  <c r="L235" i="1"/>
  <c r="M235" i="1"/>
  <c r="N235" i="1"/>
  <c r="L236" i="1"/>
  <c r="M236" i="1"/>
  <c r="N236" i="1"/>
  <c r="L237" i="1"/>
  <c r="M237" i="1"/>
  <c r="N237" i="1"/>
  <c r="L238" i="1"/>
  <c r="M238" i="1"/>
  <c r="N238" i="1"/>
  <c r="L239" i="1"/>
  <c r="M239" i="1"/>
  <c r="N239" i="1"/>
  <c r="L240" i="1"/>
  <c r="M240" i="1"/>
  <c r="N240" i="1"/>
  <c r="L241" i="1"/>
  <c r="M241" i="1"/>
  <c r="N241" i="1"/>
  <c r="L242" i="1"/>
  <c r="M242" i="1"/>
  <c r="N242" i="1"/>
  <c r="L243" i="1"/>
  <c r="M243" i="1"/>
  <c r="N243" i="1"/>
  <c r="L244" i="1"/>
  <c r="M244" i="1"/>
  <c r="N244" i="1"/>
  <c r="L245" i="1"/>
  <c r="M245" i="1"/>
  <c r="N245" i="1"/>
  <c r="L246" i="1"/>
  <c r="M246" i="1"/>
  <c r="N246" i="1"/>
  <c r="L247" i="1"/>
  <c r="M247" i="1"/>
  <c r="N247" i="1"/>
  <c r="L248" i="1"/>
  <c r="M248" i="1"/>
  <c r="N248" i="1"/>
  <c r="L249" i="1"/>
  <c r="M249" i="1"/>
  <c r="N249" i="1"/>
  <c r="L250" i="1"/>
  <c r="M250" i="1"/>
  <c r="N250" i="1"/>
  <c r="L251" i="1"/>
  <c r="M251" i="1"/>
  <c r="N251" i="1"/>
  <c r="L252" i="1"/>
  <c r="M252" i="1"/>
  <c r="N252" i="1"/>
  <c r="L253" i="1"/>
  <c r="M253" i="1"/>
  <c r="N253" i="1"/>
  <c r="L254" i="1"/>
  <c r="M254" i="1"/>
  <c r="N254" i="1"/>
  <c r="L255" i="1"/>
  <c r="M255" i="1"/>
  <c r="N255" i="1"/>
  <c r="L256" i="1"/>
  <c r="M256" i="1"/>
  <c r="N256" i="1"/>
  <c r="L257" i="1"/>
  <c r="M257" i="1"/>
  <c r="N257" i="1"/>
  <c r="L258" i="1"/>
  <c r="M258" i="1"/>
  <c r="N258" i="1"/>
  <c r="L259" i="1"/>
  <c r="M259" i="1"/>
  <c r="N259" i="1"/>
  <c r="L260" i="1"/>
  <c r="M260" i="1"/>
  <c r="N260" i="1"/>
  <c r="L261" i="1"/>
  <c r="M261" i="1"/>
  <c r="N261" i="1"/>
  <c r="L262" i="1"/>
  <c r="M262" i="1"/>
  <c r="N262" i="1"/>
  <c r="L263" i="1"/>
  <c r="M263" i="1"/>
  <c r="N263" i="1"/>
  <c r="L264" i="1"/>
  <c r="M264" i="1"/>
  <c r="N264" i="1"/>
  <c r="L265" i="1"/>
  <c r="M265" i="1"/>
  <c r="N265" i="1"/>
  <c r="L266" i="1"/>
  <c r="M266" i="1"/>
  <c r="N266" i="1"/>
  <c r="L267" i="1"/>
  <c r="M267" i="1"/>
  <c r="N267" i="1"/>
  <c r="L268" i="1"/>
  <c r="M268" i="1"/>
  <c r="N268" i="1"/>
  <c r="L269" i="1"/>
  <c r="M269" i="1"/>
  <c r="N269" i="1"/>
  <c r="L270" i="1"/>
  <c r="M270" i="1"/>
  <c r="N270" i="1"/>
  <c r="L271" i="1"/>
  <c r="M271" i="1"/>
  <c r="N271" i="1"/>
  <c r="L272" i="1"/>
  <c r="M272" i="1"/>
  <c r="N272" i="1"/>
  <c r="L273" i="1"/>
  <c r="M273" i="1"/>
  <c r="N273" i="1"/>
  <c r="L274" i="1"/>
  <c r="M274" i="1"/>
  <c r="N274" i="1"/>
  <c r="L275" i="1"/>
  <c r="M275" i="1"/>
  <c r="N275" i="1"/>
  <c r="L276" i="1"/>
  <c r="M276" i="1"/>
  <c r="N276" i="1"/>
  <c r="L277" i="1"/>
  <c r="M277" i="1"/>
  <c r="N277" i="1"/>
  <c r="L278" i="1"/>
  <c r="M278" i="1"/>
  <c r="N278" i="1"/>
  <c r="L279" i="1"/>
  <c r="M279" i="1"/>
  <c r="N279" i="1"/>
  <c r="L280" i="1"/>
  <c r="M280" i="1"/>
  <c r="N280" i="1"/>
  <c r="L281" i="1"/>
  <c r="M281" i="1"/>
  <c r="N281" i="1"/>
  <c r="L282" i="1"/>
  <c r="M282" i="1"/>
  <c r="N282" i="1"/>
  <c r="L283" i="1"/>
  <c r="M283" i="1"/>
  <c r="N283" i="1"/>
  <c r="L284" i="1"/>
  <c r="M284" i="1"/>
  <c r="N284" i="1"/>
  <c r="L285" i="1"/>
  <c r="M285" i="1"/>
  <c r="N285" i="1"/>
  <c r="L286" i="1"/>
  <c r="M286" i="1"/>
  <c r="N286" i="1"/>
  <c r="L287" i="1"/>
  <c r="M287" i="1"/>
  <c r="N287" i="1"/>
  <c r="L288" i="1"/>
  <c r="M288" i="1"/>
  <c r="N288" i="1"/>
  <c r="L289" i="1"/>
  <c r="M289" i="1"/>
  <c r="N289" i="1"/>
  <c r="L290" i="1"/>
  <c r="M290" i="1"/>
  <c r="N290" i="1"/>
  <c r="L291" i="1"/>
  <c r="M291" i="1"/>
  <c r="N291" i="1"/>
  <c r="L292" i="1"/>
  <c r="M292" i="1"/>
  <c r="N292" i="1"/>
  <c r="L293" i="1"/>
  <c r="M293" i="1"/>
  <c r="N293" i="1"/>
  <c r="L294" i="1"/>
  <c r="M294" i="1"/>
  <c r="N294" i="1"/>
  <c r="L295" i="1"/>
  <c r="M295" i="1"/>
  <c r="N295" i="1"/>
  <c r="L296" i="1"/>
  <c r="M296" i="1"/>
  <c r="N296" i="1"/>
  <c r="L297" i="1"/>
  <c r="M297" i="1"/>
  <c r="N297" i="1"/>
  <c r="L298" i="1"/>
  <c r="M298" i="1"/>
  <c r="N298" i="1"/>
  <c r="L299" i="1"/>
  <c r="M299" i="1"/>
  <c r="N299" i="1"/>
  <c r="L300" i="1"/>
  <c r="M300" i="1"/>
  <c r="N300" i="1"/>
  <c r="L301" i="1"/>
  <c r="M301" i="1"/>
  <c r="N301" i="1"/>
  <c r="L302" i="1"/>
  <c r="M302" i="1"/>
  <c r="N302" i="1"/>
  <c r="L303" i="1"/>
  <c r="M303" i="1"/>
  <c r="N303" i="1"/>
  <c r="L304" i="1"/>
  <c r="M304" i="1"/>
  <c r="N304" i="1"/>
  <c r="L305" i="1"/>
  <c r="M305" i="1"/>
  <c r="N305" i="1"/>
  <c r="L306" i="1"/>
  <c r="M306" i="1"/>
  <c r="N306" i="1"/>
  <c r="L307" i="1"/>
  <c r="M307" i="1"/>
  <c r="N307" i="1"/>
  <c r="L308" i="1"/>
  <c r="M308" i="1"/>
  <c r="N308" i="1"/>
  <c r="L309" i="1"/>
  <c r="M309" i="1"/>
  <c r="N309" i="1"/>
  <c r="L310" i="1"/>
  <c r="M310" i="1"/>
  <c r="N310" i="1"/>
  <c r="L311" i="1"/>
  <c r="M311" i="1"/>
  <c r="N311" i="1"/>
  <c r="L312" i="1"/>
  <c r="M312" i="1"/>
  <c r="N312" i="1"/>
  <c r="L313" i="1"/>
  <c r="M313" i="1"/>
  <c r="N313" i="1"/>
  <c r="L314" i="1"/>
  <c r="M314" i="1"/>
  <c r="N314" i="1"/>
  <c r="L315" i="1"/>
  <c r="M315" i="1"/>
  <c r="N315" i="1"/>
  <c r="L316" i="1"/>
  <c r="M316" i="1"/>
  <c r="N316" i="1"/>
  <c r="L317" i="1"/>
  <c r="M317" i="1"/>
  <c r="N317" i="1"/>
  <c r="L318" i="1"/>
  <c r="M318" i="1"/>
  <c r="N318" i="1"/>
  <c r="L319" i="1"/>
  <c r="M319" i="1"/>
  <c r="N319" i="1"/>
  <c r="L320" i="1"/>
  <c r="M320" i="1"/>
  <c r="N320" i="1"/>
  <c r="L321" i="1"/>
  <c r="M321" i="1"/>
  <c r="N321" i="1"/>
  <c r="L322" i="1"/>
  <c r="M322" i="1"/>
  <c r="N322" i="1"/>
  <c r="L323" i="1"/>
  <c r="M323" i="1"/>
  <c r="N323" i="1"/>
  <c r="L324" i="1"/>
  <c r="M324" i="1"/>
  <c r="N324" i="1"/>
  <c r="L325" i="1"/>
  <c r="M325" i="1"/>
  <c r="N325" i="1"/>
  <c r="L326" i="1"/>
  <c r="M326" i="1"/>
  <c r="N326" i="1"/>
  <c r="L327" i="1"/>
  <c r="M327" i="1"/>
  <c r="N327" i="1"/>
  <c r="L328" i="1"/>
  <c r="M328" i="1"/>
  <c r="N328" i="1"/>
  <c r="L329" i="1"/>
  <c r="M329" i="1"/>
  <c r="N329" i="1"/>
  <c r="L330" i="1"/>
  <c r="M330" i="1"/>
  <c r="N330" i="1"/>
  <c r="L331" i="1"/>
  <c r="M331" i="1"/>
  <c r="N331" i="1"/>
  <c r="L332" i="1"/>
  <c r="M332" i="1"/>
  <c r="N332" i="1"/>
  <c r="L333" i="1"/>
  <c r="M333" i="1"/>
  <c r="N333" i="1"/>
  <c r="L334" i="1"/>
  <c r="M334" i="1"/>
  <c r="N334" i="1"/>
  <c r="L335" i="1"/>
  <c r="M335" i="1"/>
  <c r="N335" i="1"/>
  <c r="L336" i="1"/>
  <c r="M336" i="1"/>
  <c r="N336" i="1"/>
  <c r="L337" i="1"/>
  <c r="M337" i="1"/>
  <c r="N337" i="1"/>
  <c r="L338" i="1"/>
  <c r="M338" i="1"/>
  <c r="N338" i="1"/>
  <c r="L339" i="1"/>
  <c r="M339" i="1"/>
  <c r="N339" i="1"/>
  <c r="L340" i="1"/>
  <c r="M340" i="1"/>
  <c r="N340" i="1"/>
  <c r="L341" i="1"/>
  <c r="M341" i="1"/>
  <c r="N341" i="1"/>
  <c r="L342" i="1"/>
  <c r="M342" i="1"/>
  <c r="N342" i="1"/>
  <c r="L343" i="1"/>
  <c r="M343" i="1"/>
  <c r="N343" i="1"/>
  <c r="L344" i="1"/>
  <c r="M344" i="1"/>
  <c r="N344" i="1"/>
  <c r="L345" i="1"/>
  <c r="M345" i="1"/>
  <c r="N345" i="1"/>
  <c r="L346" i="1"/>
  <c r="M346" i="1"/>
  <c r="N346" i="1"/>
  <c r="L347" i="1"/>
  <c r="M347" i="1"/>
  <c r="N347" i="1"/>
  <c r="L348" i="1"/>
  <c r="M348" i="1"/>
  <c r="N348" i="1"/>
  <c r="L349" i="1"/>
  <c r="M349" i="1"/>
  <c r="N349" i="1"/>
  <c r="L350" i="1"/>
  <c r="M350" i="1"/>
  <c r="N350" i="1"/>
  <c r="L351" i="1"/>
  <c r="M351" i="1"/>
  <c r="N351" i="1"/>
  <c r="L352" i="1"/>
  <c r="M352" i="1"/>
  <c r="N352" i="1"/>
  <c r="L353" i="1"/>
  <c r="M353" i="1"/>
  <c r="N353" i="1"/>
  <c r="L354" i="1"/>
  <c r="M354" i="1"/>
  <c r="N354" i="1"/>
  <c r="L355" i="1"/>
  <c r="M355" i="1"/>
  <c r="N355" i="1"/>
  <c r="L356" i="1"/>
  <c r="M356" i="1"/>
  <c r="N356" i="1"/>
  <c r="L357" i="1"/>
  <c r="M357" i="1"/>
  <c r="N357" i="1"/>
  <c r="L358" i="1"/>
  <c r="M358" i="1"/>
  <c r="N358" i="1"/>
  <c r="L359" i="1"/>
  <c r="M359" i="1"/>
  <c r="N359" i="1"/>
  <c r="L360" i="1"/>
  <c r="M360" i="1"/>
  <c r="N360" i="1"/>
  <c r="L361" i="1"/>
  <c r="M361" i="1"/>
  <c r="N361" i="1"/>
  <c r="L362" i="1"/>
  <c r="M362" i="1"/>
  <c r="N362" i="1"/>
  <c r="L363" i="1"/>
  <c r="M363" i="1"/>
  <c r="N363" i="1"/>
  <c r="L364" i="1"/>
  <c r="M364" i="1"/>
  <c r="N364" i="1"/>
  <c r="L365" i="1"/>
  <c r="M365" i="1"/>
  <c r="N365" i="1"/>
  <c r="L366" i="1"/>
  <c r="M366" i="1"/>
  <c r="N366" i="1"/>
  <c r="L367" i="1"/>
  <c r="M367" i="1"/>
  <c r="N367" i="1"/>
  <c r="L368" i="1"/>
  <c r="M368" i="1"/>
  <c r="N368" i="1"/>
  <c r="L369" i="1"/>
  <c r="M369" i="1"/>
  <c r="N369" i="1"/>
  <c r="L370" i="1"/>
  <c r="M370" i="1"/>
  <c r="N370" i="1"/>
  <c r="L371" i="1"/>
  <c r="M371" i="1"/>
  <c r="N371" i="1"/>
  <c r="L372" i="1"/>
  <c r="M372" i="1"/>
  <c r="N372" i="1"/>
  <c r="L373" i="1"/>
  <c r="M373" i="1"/>
  <c r="N373" i="1"/>
  <c r="L374" i="1"/>
  <c r="M374" i="1"/>
  <c r="N374" i="1"/>
  <c r="L375" i="1"/>
  <c r="M375" i="1"/>
  <c r="N375" i="1"/>
  <c r="L376" i="1"/>
  <c r="M376" i="1"/>
  <c r="N376" i="1"/>
  <c r="L377" i="1"/>
  <c r="M377" i="1"/>
  <c r="N377" i="1"/>
  <c r="L378" i="1"/>
  <c r="M378" i="1"/>
  <c r="N378" i="1"/>
  <c r="L379" i="1"/>
  <c r="M379" i="1"/>
  <c r="N379" i="1"/>
  <c r="L380" i="1"/>
  <c r="M380" i="1"/>
  <c r="N380" i="1"/>
  <c r="L381" i="1"/>
  <c r="M381" i="1"/>
  <c r="N381" i="1"/>
  <c r="L382" i="1"/>
  <c r="M382" i="1"/>
  <c r="N382" i="1"/>
  <c r="L383" i="1"/>
  <c r="M383" i="1"/>
  <c r="N383" i="1"/>
  <c r="L384" i="1"/>
  <c r="M384" i="1"/>
  <c r="N384" i="1"/>
  <c r="L385" i="1"/>
  <c r="M385" i="1"/>
  <c r="N385" i="1"/>
  <c r="L386" i="1"/>
  <c r="M386" i="1"/>
  <c r="N386" i="1"/>
  <c r="L387" i="1"/>
  <c r="M387" i="1"/>
  <c r="N387" i="1"/>
  <c r="L388" i="1"/>
  <c r="M388" i="1"/>
  <c r="N388" i="1"/>
  <c r="L389" i="1"/>
  <c r="M389" i="1"/>
  <c r="N389" i="1"/>
  <c r="L390" i="1"/>
  <c r="M390" i="1"/>
  <c r="N390" i="1"/>
  <c r="L391" i="1"/>
  <c r="M391" i="1"/>
  <c r="N391" i="1"/>
  <c r="L392" i="1"/>
  <c r="M392" i="1"/>
  <c r="N392" i="1"/>
  <c r="L393" i="1"/>
  <c r="M393" i="1"/>
  <c r="N393" i="1"/>
  <c r="L394" i="1"/>
  <c r="M394" i="1"/>
  <c r="N394" i="1"/>
  <c r="L395" i="1"/>
  <c r="M395" i="1"/>
  <c r="N395" i="1"/>
  <c r="L396" i="1"/>
  <c r="M396" i="1"/>
  <c r="N396" i="1"/>
  <c r="L397" i="1"/>
  <c r="M397" i="1"/>
  <c r="N397" i="1"/>
  <c r="L398" i="1"/>
  <c r="M398" i="1"/>
  <c r="N398" i="1"/>
  <c r="L399" i="1"/>
  <c r="M399" i="1"/>
  <c r="N399" i="1"/>
  <c r="L400" i="1"/>
  <c r="M400" i="1"/>
  <c r="N400" i="1"/>
  <c r="L401" i="1"/>
  <c r="M401" i="1"/>
  <c r="N401" i="1"/>
  <c r="L402" i="1"/>
  <c r="M402" i="1"/>
  <c r="N402" i="1"/>
  <c r="L403" i="1"/>
  <c r="M403" i="1"/>
  <c r="N403" i="1"/>
  <c r="L404" i="1"/>
  <c r="M404" i="1"/>
  <c r="N404" i="1"/>
  <c r="L405" i="1"/>
  <c r="M405" i="1"/>
  <c r="N405" i="1"/>
  <c r="L406" i="1"/>
  <c r="M406" i="1"/>
  <c r="N406" i="1"/>
  <c r="L407" i="1"/>
  <c r="M407" i="1"/>
  <c r="N407" i="1"/>
  <c r="L408" i="1"/>
  <c r="M408" i="1"/>
  <c r="N408" i="1"/>
  <c r="L409" i="1"/>
  <c r="M409" i="1"/>
  <c r="N409" i="1"/>
  <c r="L410" i="1"/>
  <c r="M410" i="1"/>
  <c r="N410" i="1"/>
  <c r="L411" i="1"/>
  <c r="M411" i="1"/>
  <c r="N411" i="1"/>
  <c r="L412" i="1"/>
  <c r="M412" i="1"/>
  <c r="N412" i="1"/>
  <c r="L413" i="1"/>
  <c r="M413" i="1"/>
  <c r="N413" i="1"/>
  <c r="L414" i="1"/>
  <c r="M414" i="1"/>
  <c r="N414" i="1"/>
  <c r="L415" i="1"/>
  <c r="M415" i="1"/>
  <c r="N415" i="1"/>
  <c r="L416" i="1"/>
  <c r="M416" i="1"/>
  <c r="N416" i="1"/>
  <c r="L417" i="1"/>
  <c r="M417" i="1"/>
  <c r="N417" i="1"/>
  <c r="L418" i="1"/>
  <c r="M418" i="1"/>
  <c r="N418" i="1"/>
  <c r="L419" i="1"/>
  <c r="M419" i="1"/>
  <c r="N419" i="1"/>
  <c r="L420" i="1"/>
  <c r="M420" i="1"/>
  <c r="N420" i="1"/>
  <c r="L421" i="1"/>
  <c r="M421" i="1"/>
  <c r="N421" i="1"/>
  <c r="L422" i="1"/>
  <c r="M422" i="1"/>
  <c r="N422" i="1"/>
  <c r="L423" i="1"/>
  <c r="M423" i="1"/>
  <c r="N423" i="1"/>
  <c r="L424" i="1"/>
  <c r="M424" i="1"/>
  <c r="N424" i="1"/>
  <c r="L425" i="1"/>
  <c r="M425" i="1"/>
  <c r="N425" i="1"/>
  <c r="L426" i="1"/>
  <c r="M426" i="1"/>
  <c r="N426" i="1"/>
  <c r="L427" i="1"/>
  <c r="M427" i="1"/>
  <c r="N427" i="1"/>
  <c r="L428" i="1"/>
  <c r="M428" i="1"/>
  <c r="N428" i="1"/>
  <c r="L429" i="1"/>
  <c r="M429" i="1"/>
  <c r="N429" i="1"/>
  <c r="L430" i="1"/>
  <c r="M430" i="1"/>
  <c r="N430" i="1"/>
  <c r="L431" i="1"/>
  <c r="M431" i="1"/>
  <c r="N431" i="1"/>
  <c r="L432" i="1"/>
  <c r="M432" i="1"/>
  <c r="N432" i="1"/>
  <c r="L433" i="1"/>
  <c r="M433" i="1"/>
  <c r="N433" i="1"/>
  <c r="L434" i="1"/>
  <c r="M434" i="1"/>
  <c r="N434" i="1"/>
  <c r="L435" i="1"/>
  <c r="M435" i="1"/>
  <c r="N435" i="1"/>
  <c r="L436" i="1"/>
  <c r="M436" i="1"/>
  <c r="N436" i="1"/>
  <c r="L437" i="1"/>
  <c r="M437" i="1"/>
  <c r="N437" i="1"/>
  <c r="L438" i="1"/>
  <c r="M438" i="1"/>
  <c r="N438" i="1"/>
  <c r="L439" i="1"/>
  <c r="M439" i="1"/>
  <c r="N439" i="1"/>
  <c r="L440" i="1"/>
  <c r="M440" i="1"/>
  <c r="N440" i="1"/>
  <c r="L441" i="1"/>
  <c r="M441" i="1"/>
  <c r="N441" i="1"/>
  <c r="L442" i="1"/>
  <c r="M442" i="1"/>
  <c r="N442" i="1"/>
  <c r="L443" i="1"/>
  <c r="M443" i="1"/>
  <c r="N443" i="1"/>
  <c r="L444" i="1"/>
  <c r="M444" i="1"/>
  <c r="N444" i="1"/>
  <c r="L445" i="1"/>
  <c r="M445" i="1"/>
  <c r="N445" i="1"/>
  <c r="L446" i="1"/>
  <c r="M446" i="1"/>
  <c r="N446" i="1"/>
  <c r="L447" i="1"/>
  <c r="M447" i="1"/>
  <c r="N447" i="1"/>
  <c r="L448" i="1"/>
  <c r="M448" i="1"/>
  <c r="N448" i="1"/>
  <c r="L449" i="1"/>
  <c r="M449" i="1"/>
  <c r="N449" i="1"/>
  <c r="L450" i="1"/>
  <c r="M450" i="1"/>
  <c r="N450" i="1"/>
  <c r="L451" i="1"/>
  <c r="M451" i="1"/>
  <c r="N451" i="1"/>
  <c r="L452" i="1"/>
  <c r="M452" i="1"/>
  <c r="N452" i="1"/>
  <c r="L453" i="1"/>
  <c r="M453" i="1"/>
  <c r="N453" i="1"/>
  <c r="L454" i="1"/>
  <c r="M454" i="1"/>
  <c r="N454" i="1"/>
  <c r="L455" i="1"/>
  <c r="M455" i="1"/>
  <c r="N455" i="1"/>
  <c r="L456" i="1"/>
  <c r="M456" i="1"/>
  <c r="N456" i="1"/>
  <c r="L457" i="1"/>
  <c r="M457" i="1"/>
  <c r="N457" i="1"/>
  <c r="L458" i="1"/>
  <c r="M458" i="1"/>
  <c r="N458" i="1"/>
  <c r="L459" i="1"/>
  <c r="M459" i="1"/>
  <c r="N459" i="1"/>
  <c r="L460" i="1"/>
  <c r="M460" i="1"/>
  <c r="N460" i="1"/>
  <c r="L461" i="1"/>
  <c r="M461" i="1"/>
  <c r="N461" i="1"/>
  <c r="L462" i="1"/>
  <c r="M462" i="1"/>
  <c r="N462" i="1"/>
  <c r="L463" i="1"/>
  <c r="M463" i="1"/>
  <c r="N463" i="1"/>
  <c r="L464" i="1"/>
  <c r="M464" i="1"/>
  <c r="N464" i="1"/>
  <c r="L465" i="1"/>
  <c r="M465" i="1"/>
  <c r="N465" i="1"/>
  <c r="L466" i="1"/>
  <c r="M466" i="1"/>
  <c r="N466" i="1"/>
  <c r="L467" i="1"/>
  <c r="M467" i="1"/>
  <c r="N467" i="1"/>
  <c r="L468" i="1"/>
  <c r="M468" i="1"/>
  <c r="N468" i="1"/>
  <c r="L469" i="1"/>
  <c r="M469" i="1"/>
  <c r="N469" i="1"/>
  <c r="L470" i="1"/>
  <c r="M470" i="1"/>
  <c r="N470" i="1"/>
  <c r="L471" i="1"/>
  <c r="M471" i="1"/>
  <c r="N471" i="1"/>
  <c r="L472" i="1"/>
  <c r="M472" i="1"/>
  <c r="N472" i="1"/>
  <c r="L473" i="1"/>
  <c r="M473" i="1"/>
  <c r="N473" i="1"/>
  <c r="L474" i="1"/>
  <c r="M474" i="1"/>
  <c r="N474" i="1"/>
  <c r="L475" i="1"/>
  <c r="M475" i="1"/>
  <c r="N475" i="1"/>
  <c r="L476" i="1"/>
  <c r="M476" i="1"/>
  <c r="N476" i="1"/>
  <c r="L477" i="1"/>
  <c r="M477" i="1"/>
  <c r="N477" i="1"/>
  <c r="L478" i="1"/>
  <c r="M478" i="1"/>
  <c r="N478" i="1"/>
  <c r="L479" i="1"/>
  <c r="M479" i="1"/>
  <c r="N479" i="1"/>
  <c r="L480" i="1"/>
  <c r="M480" i="1"/>
  <c r="N480" i="1"/>
  <c r="L481" i="1"/>
  <c r="M481" i="1"/>
  <c r="N481" i="1"/>
  <c r="L482" i="1"/>
  <c r="M482" i="1"/>
  <c r="N482" i="1"/>
  <c r="L483" i="1"/>
  <c r="M483" i="1"/>
  <c r="N483" i="1"/>
  <c r="L484" i="1"/>
  <c r="M484" i="1"/>
  <c r="N484" i="1"/>
  <c r="L485" i="1"/>
  <c r="M485" i="1"/>
  <c r="N485" i="1"/>
  <c r="L486" i="1"/>
  <c r="M486" i="1"/>
  <c r="N486" i="1"/>
  <c r="L487" i="1"/>
  <c r="M487" i="1"/>
  <c r="N487" i="1"/>
  <c r="L488" i="1"/>
  <c r="M488" i="1"/>
  <c r="N488" i="1"/>
  <c r="L489" i="1"/>
  <c r="M489" i="1"/>
  <c r="N489" i="1"/>
  <c r="L490" i="1"/>
  <c r="M490" i="1"/>
  <c r="N490" i="1"/>
  <c r="L491" i="1"/>
  <c r="M491" i="1"/>
  <c r="N491" i="1"/>
  <c r="L492" i="1"/>
  <c r="M492" i="1"/>
  <c r="N492" i="1"/>
  <c r="L493" i="1"/>
  <c r="M493" i="1"/>
  <c r="N493" i="1"/>
  <c r="L494" i="1"/>
  <c r="M494" i="1"/>
  <c r="N494" i="1"/>
  <c r="L495" i="1"/>
  <c r="M495" i="1"/>
  <c r="N495" i="1"/>
  <c r="L496" i="1"/>
  <c r="M496" i="1"/>
  <c r="N496" i="1"/>
  <c r="L497" i="1"/>
  <c r="M497" i="1"/>
  <c r="N497" i="1"/>
  <c r="L498" i="1"/>
  <c r="M498" i="1"/>
  <c r="N498" i="1"/>
  <c r="L499" i="1"/>
  <c r="M499" i="1"/>
  <c r="N499" i="1"/>
  <c r="L500" i="1"/>
  <c r="M500" i="1"/>
  <c r="N500" i="1"/>
  <c r="L501" i="1"/>
  <c r="M501" i="1"/>
  <c r="N501" i="1"/>
  <c r="L502" i="1"/>
  <c r="M502" i="1"/>
  <c r="N502" i="1"/>
  <c r="L503" i="1"/>
  <c r="M503" i="1"/>
  <c r="N503" i="1"/>
  <c r="L504" i="1"/>
  <c r="M504" i="1"/>
  <c r="N504" i="1"/>
  <c r="L505" i="1"/>
  <c r="M505" i="1"/>
  <c r="N505" i="1"/>
  <c r="L506" i="1"/>
  <c r="M506" i="1"/>
  <c r="N506" i="1"/>
  <c r="L507" i="1"/>
  <c r="M507" i="1"/>
  <c r="N507" i="1"/>
  <c r="L508" i="1"/>
  <c r="M508" i="1"/>
  <c r="N508" i="1"/>
  <c r="L509" i="1"/>
  <c r="M509" i="1"/>
  <c r="N509" i="1"/>
  <c r="L510" i="1"/>
  <c r="M510" i="1"/>
  <c r="N510" i="1"/>
  <c r="L511" i="1"/>
  <c r="M511" i="1"/>
  <c r="N511" i="1"/>
  <c r="L512" i="1"/>
  <c r="M512" i="1"/>
  <c r="N512" i="1"/>
  <c r="L513" i="1"/>
  <c r="M513" i="1"/>
  <c r="N513" i="1"/>
  <c r="L514" i="1"/>
  <c r="M514" i="1"/>
  <c r="N514" i="1"/>
  <c r="L515" i="1"/>
  <c r="M515" i="1"/>
  <c r="N515" i="1"/>
  <c r="L516" i="1"/>
  <c r="M516" i="1"/>
  <c r="N516" i="1"/>
  <c r="L517" i="1"/>
  <c r="M517" i="1"/>
  <c r="N517" i="1"/>
  <c r="L518" i="1"/>
  <c r="M518" i="1"/>
  <c r="N518" i="1"/>
  <c r="L519" i="1"/>
  <c r="M519" i="1"/>
  <c r="N519" i="1"/>
  <c r="L520" i="1"/>
  <c r="M520" i="1"/>
  <c r="N520" i="1"/>
  <c r="L521" i="1"/>
  <c r="M521" i="1"/>
  <c r="N521" i="1"/>
  <c r="L522" i="1"/>
  <c r="M522" i="1"/>
  <c r="N522" i="1"/>
  <c r="L523" i="1"/>
  <c r="M523" i="1"/>
  <c r="N523" i="1"/>
  <c r="L524" i="1"/>
  <c r="M524" i="1"/>
  <c r="N524" i="1"/>
  <c r="L525" i="1"/>
  <c r="M525" i="1"/>
  <c r="N525" i="1"/>
  <c r="L526" i="1"/>
  <c r="M526" i="1"/>
  <c r="N526" i="1"/>
  <c r="L527" i="1"/>
  <c r="M527" i="1"/>
  <c r="N527" i="1"/>
  <c r="L528" i="1"/>
  <c r="M528" i="1"/>
  <c r="N528" i="1"/>
  <c r="L529" i="1"/>
  <c r="M529" i="1"/>
  <c r="N529" i="1"/>
  <c r="L530" i="1"/>
  <c r="M530" i="1"/>
  <c r="N530" i="1"/>
  <c r="L531" i="1"/>
  <c r="M531" i="1"/>
  <c r="N531" i="1"/>
  <c r="L532" i="1"/>
  <c r="M532" i="1"/>
  <c r="N532" i="1"/>
  <c r="L533" i="1"/>
  <c r="M533" i="1"/>
  <c r="N533" i="1"/>
  <c r="L534" i="1"/>
  <c r="M534" i="1"/>
  <c r="N534" i="1"/>
  <c r="L535" i="1"/>
  <c r="M535" i="1"/>
  <c r="N535" i="1"/>
  <c r="L536" i="1"/>
  <c r="M536" i="1"/>
  <c r="N536" i="1"/>
  <c r="L537" i="1"/>
  <c r="M537" i="1"/>
  <c r="N537" i="1"/>
  <c r="L538" i="1"/>
  <c r="M538" i="1"/>
  <c r="N538" i="1"/>
  <c r="L539" i="1"/>
  <c r="M539" i="1"/>
  <c r="N539" i="1"/>
  <c r="L540" i="1"/>
  <c r="M540" i="1"/>
  <c r="N540" i="1"/>
  <c r="L541" i="1"/>
  <c r="M541" i="1"/>
  <c r="N541" i="1"/>
  <c r="L542" i="1"/>
  <c r="M542" i="1"/>
  <c r="N542" i="1"/>
  <c r="L543" i="1"/>
  <c r="M543" i="1"/>
  <c r="N543" i="1"/>
  <c r="L544" i="1"/>
  <c r="M544" i="1"/>
  <c r="N544" i="1"/>
  <c r="L545" i="1"/>
  <c r="M545" i="1"/>
  <c r="N545" i="1"/>
  <c r="L546" i="1"/>
  <c r="M546" i="1"/>
  <c r="N546" i="1"/>
  <c r="L547" i="1"/>
  <c r="M547" i="1"/>
  <c r="N547" i="1"/>
  <c r="L548" i="1"/>
  <c r="M548" i="1"/>
  <c r="N548" i="1"/>
  <c r="L549" i="1"/>
  <c r="M549" i="1"/>
  <c r="N549" i="1"/>
  <c r="L550" i="1"/>
  <c r="M550" i="1"/>
  <c r="N550" i="1"/>
  <c r="L551" i="1"/>
  <c r="M551" i="1"/>
  <c r="N551" i="1"/>
  <c r="L552" i="1"/>
  <c r="M552" i="1"/>
  <c r="N552" i="1"/>
  <c r="L553" i="1"/>
  <c r="M553" i="1"/>
  <c r="N553" i="1"/>
  <c r="L554" i="1"/>
  <c r="M554" i="1"/>
  <c r="N554" i="1"/>
  <c r="L555" i="1"/>
  <c r="M555" i="1"/>
  <c r="N555" i="1"/>
  <c r="L556" i="1"/>
  <c r="M556" i="1"/>
  <c r="N556" i="1"/>
  <c r="L557" i="1"/>
  <c r="M557" i="1"/>
  <c r="N557" i="1"/>
  <c r="L558" i="1"/>
  <c r="M558" i="1"/>
  <c r="N558" i="1"/>
  <c r="L559" i="1"/>
  <c r="M559" i="1"/>
  <c r="N559" i="1"/>
  <c r="L560" i="1"/>
  <c r="M560" i="1"/>
  <c r="N560" i="1"/>
  <c r="L561" i="1"/>
  <c r="M561" i="1"/>
  <c r="N561" i="1"/>
  <c r="L562" i="1"/>
  <c r="M562" i="1"/>
  <c r="N562" i="1"/>
  <c r="L563" i="1"/>
  <c r="M563" i="1"/>
  <c r="N563" i="1"/>
  <c r="L564" i="1"/>
  <c r="M564" i="1"/>
  <c r="N564" i="1"/>
  <c r="L565" i="1"/>
  <c r="M565" i="1"/>
  <c r="N565" i="1"/>
  <c r="L566" i="1"/>
  <c r="M566" i="1"/>
  <c r="N566" i="1"/>
  <c r="L567" i="1"/>
  <c r="M567" i="1"/>
  <c r="N567" i="1"/>
  <c r="L568" i="1"/>
  <c r="M568" i="1"/>
  <c r="N568" i="1"/>
  <c r="L569" i="1"/>
  <c r="M569" i="1"/>
  <c r="N569" i="1"/>
  <c r="L570" i="1"/>
  <c r="M570" i="1"/>
  <c r="N570" i="1"/>
  <c r="L571" i="1"/>
  <c r="M571" i="1"/>
  <c r="N571" i="1"/>
  <c r="L572" i="1"/>
  <c r="M572" i="1"/>
  <c r="N572" i="1"/>
  <c r="L573" i="1"/>
  <c r="M573" i="1"/>
  <c r="N573" i="1"/>
  <c r="L574" i="1"/>
  <c r="M574" i="1"/>
  <c r="N574" i="1"/>
  <c r="L575" i="1"/>
  <c r="M575" i="1"/>
  <c r="N575" i="1"/>
  <c r="L576" i="1"/>
  <c r="M576" i="1"/>
  <c r="N576" i="1"/>
  <c r="L577" i="1"/>
  <c r="M577" i="1"/>
  <c r="N577" i="1"/>
  <c r="L578" i="1"/>
  <c r="M578" i="1"/>
  <c r="N578" i="1"/>
  <c r="L579" i="1"/>
  <c r="M579" i="1"/>
  <c r="N579" i="1"/>
  <c r="L580" i="1"/>
  <c r="M580" i="1"/>
  <c r="N580" i="1"/>
  <c r="L581" i="1"/>
  <c r="M581" i="1"/>
  <c r="N581" i="1"/>
  <c r="L582" i="1"/>
  <c r="M582" i="1"/>
  <c r="N582" i="1"/>
  <c r="L583" i="1"/>
  <c r="M583" i="1"/>
  <c r="N583" i="1"/>
  <c r="L584" i="1"/>
  <c r="M584" i="1"/>
  <c r="N584" i="1"/>
  <c r="L585" i="1"/>
  <c r="M585" i="1"/>
  <c r="N585" i="1"/>
  <c r="L586" i="1"/>
  <c r="M586" i="1"/>
  <c r="N586" i="1"/>
  <c r="L587" i="1"/>
  <c r="M587" i="1"/>
  <c r="N587" i="1"/>
  <c r="L588" i="1"/>
  <c r="M588" i="1"/>
  <c r="N588" i="1"/>
  <c r="L589" i="1"/>
  <c r="M589" i="1"/>
  <c r="N589" i="1"/>
  <c r="L590" i="1"/>
  <c r="M590" i="1"/>
  <c r="N590" i="1"/>
  <c r="L591" i="1"/>
  <c r="M591" i="1"/>
  <c r="N591" i="1"/>
  <c r="L592" i="1"/>
  <c r="M592" i="1"/>
  <c r="N592" i="1"/>
  <c r="L593" i="1"/>
  <c r="M593" i="1"/>
  <c r="N593" i="1"/>
  <c r="L594" i="1"/>
  <c r="M594" i="1"/>
  <c r="N594" i="1"/>
  <c r="L595" i="1"/>
  <c r="M595" i="1"/>
  <c r="N595" i="1"/>
  <c r="L596" i="1"/>
  <c r="M596" i="1"/>
  <c r="N596" i="1"/>
  <c r="L597" i="1"/>
  <c r="M597" i="1"/>
  <c r="N597" i="1"/>
  <c r="L598" i="1"/>
  <c r="M598" i="1"/>
  <c r="N598" i="1"/>
  <c r="L599" i="1"/>
  <c r="M599" i="1"/>
  <c r="N599" i="1"/>
  <c r="L600" i="1"/>
  <c r="M600" i="1"/>
  <c r="N600" i="1"/>
  <c r="L601" i="1"/>
  <c r="M601" i="1"/>
  <c r="N601" i="1"/>
  <c r="L602" i="1"/>
  <c r="M602" i="1"/>
  <c r="N602" i="1"/>
  <c r="L603" i="1"/>
  <c r="M603" i="1"/>
  <c r="N603" i="1"/>
  <c r="L604" i="1"/>
  <c r="M604" i="1"/>
  <c r="N604" i="1"/>
  <c r="L605" i="1"/>
  <c r="M605" i="1"/>
  <c r="N605" i="1"/>
  <c r="L606" i="1"/>
  <c r="M606" i="1"/>
  <c r="N606" i="1"/>
  <c r="L607" i="1"/>
  <c r="M607" i="1"/>
  <c r="N607" i="1"/>
  <c r="L608" i="1"/>
  <c r="M608" i="1"/>
  <c r="N608" i="1"/>
  <c r="L609" i="1"/>
  <c r="M609" i="1"/>
  <c r="N609" i="1"/>
  <c r="L610" i="1"/>
  <c r="M610" i="1"/>
  <c r="N610" i="1"/>
  <c r="L611" i="1"/>
  <c r="M611" i="1"/>
  <c r="N611" i="1"/>
  <c r="L612" i="1"/>
  <c r="M612" i="1"/>
  <c r="N612" i="1"/>
  <c r="L613" i="1"/>
  <c r="M613" i="1"/>
  <c r="N613" i="1"/>
  <c r="L614" i="1"/>
  <c r="M614" i="1"/>
  <c r="N614" i="1"/>
  <c r="L615" i="1"/>
  <c r="M615" i="1"/>
  <c r="N615" i="1"/>
  <c r="L616" i="1"/>
  <c r="M616" i="1"/>
  <c r="N616" i="1"/>
  <c r="L617" i="1"/>
  <c r="M617" i="1"/>
  <c r="N617" i="1"/>
  <c r="L618" i="1"/>
  <c r="M618" i="1"/>
  <c r="N618" i="1"/>
  <c r="L619" i="1"/>
  <c r="M619" i="1"/>
  <c r="N619" i="1"/>
  <c r="L620" i="1"/>
  <c r="M620" i="1"/>
  <c r="N620" i="1"/>
  <c r="L621" i="1"/>
  <c r="M621" i="1"/>
  <c r="N621" i="1"/>
  <c r="L622" i="1"/>
  <c r="M622" i="1"/>
  <c r="N622" i="1"/>
  <c r="L623" i="1"/>
  <c r="M623" i="1"/>
  <c r="N623" i="1"/>
  <c r="L624" i="1"/>
  <c r="M624" i="1"/>
  <c r="N624" i="1"/>
  <c r="L625" i="1"/>
  <c r="M625" i="1"/>
  <c r="N625" i="1"/>
  <c r="L626" i="1"/>
  <c r="M626" i="1"/>
  <c r="N626" i="1"/>
  <c r="L627" i="1"/>
  <c r="M627" i="1"/>
  <c r="N627" i="1"/>
  <c r="L628" i="1"/>
  <c r="M628" i="1"/>
  <c r="N628" i="1"/>
  <c r="L629" i="1"/>
  <c r="M629" i="1"/>
  <c r="N629" i="1"/>
  <c r="L630" i="1"/>
  <c r="M630" i="1"/>
  <c r="N630" i="1"/>
  <c r="L631" i="1"/>
  <c r="M631" i="1"/>
  <c r="N631" i="1"/>
  <c r="L632" i="1"/>
  <c r="M632" i="1"/>
  <c r="N632" i="1"/>
  <c r="L633" i="1"/>
  <c r="M633" i="1"/>
  <c r="N633" i="1"/>
  <c r="L634" i="1"/>
  <c r="M634" i="1"/>
  <c r="N634" i="1"/>
  <c r="L635" i="1"/>
  <c r="M635" i="1"/>
  <c r="N635" i="1"/>
  <c r="L636" i="1"/>
  <c r="M636" i="1"/>
  <c r="N636" i="1"/>
  <c r="L637" i="1"/>
  <c r="M637" i="1"/>
  <c r="N637" i="1"/>
  <c r="L638" i="1"/>
  <c r="M638" i="1"/>
  <c r="N638" i="1"/>
  <c r="L639" i="1"/>
  <c r="M639" i="1"/>
  <c r="N639" i="1"/>
  <c r="L640" i="1"/>
  <c r="M640" i="1"/>
  <c r="N640" i="1"/>
  <c r="L641" i="1"/>
  <c r="M641" i="1"/>
  <c r="N641" i="1"/>
  <c r="L642" i="1"/>
  <c r="M642" i="1"/>
  <c r="N642" i="1"/>
  <c r="L643" i="1"/>
  <c r="M643" i="1"/>
  <c r="N643" i="1"/>
  <c r="L644" i="1"/>
  <c r="M644" i="1"/>
  <c r="N644" i="1"/>
  <c r="L645" i="1"/>
  <c r="M645" i="1"/>
  <c r="N645" i="1"/>
  <c r="L646" i="1"/>
  <c r="M646" i="1"/>
  <c r="N646" i="1"/>
  <c r="L647" i="1"/>
  <c r="M647" i="1"/>
  <c r="N647" i="1"/>
  <c r="L648" i="1"/>
  <c r="M648" i="1"/>
  <c r="N648" i="1"/>
  <c r="L649" i="1"/>
  <c r="M649" i="1"/>
  <c r="N649" i="1"/>
  <c r="L650" i="1"/>
  <c r="M650" i="1"/>
  <c r="N650" i="1"/>
  <c r="L651" i="1"/>
  <c r="M651" i="1"/>
  <c r="N651" i="1"/>
  <c r="L652" i="1"/>
  <c r="M652" i="1"/>
  <c r="N652" i="1"/>
  <c r="L653" i="1"/>
  <c r="M653" i="1"/>
  <c r="N653" i="1"/>
  <c r="L654" i="1"/>
  <c r="M654" i="1"/>
  <c r="N654" i="1"/>
  <c r="L655" i="1"/>
  <c r="M655" i="1"/>
  <c r="N655" i="1"/>
  <c r="L656" i="1"/>
  <c r="M656" i="1"/>
  <c r="N656" i="1"/>
  <c r="L657" i="1"/>
  <c r="M657" i="1"/>
  <c r="N657" i="1"/>
  <c r="L658" i="1"/>
  <c r="M658" i="1"/>
  <c r="N658" i="1"/>
  <c r="L659" i="1"/>
  <c r="M659" i="1"/>
  <c r="N659" i="1"/>
  <c r="L660" i="1"/>
  <c r="M660" i="1"/>
  <c r="N660" i="1"/>
  <c r="L661" i="1"/>
  <c r="M661" i="1"/>
  <c r="N661" i="1"/>
  <c r="L662" i="1"/>
  <c r="M662" i="1"/>
  <c r="N662" i="1"/>
  <c r="L663" i="1"/>
  <c r="M663" i="1"/>
  <c r="N663" i="1"/>
  <c r="L664" i="1"/>
  <c r="M664" i="1"/>
  <c r="N664" i="1"/>
  <c r="L665" i="1"/>
  <c r="M665" i="1"/>
  <c r="N665" i="1"/>
  <c r="L666" i="1"/>
  <c r="M666" i="1"/>
  <c r="N666" i="1"/>
  <c r="L667" i="1"/>
  <c r="M667" i="1"/>
  <c r="N667" i="1"/>
  <c r="L668" i="1"/>
  <c r="M668" i="1"/>
  <c r="N668" i="1"/>
  <c r="L669" i="1"/>
  <c r="M669" i="1"/>
  <c r="N669" i="1"/>
  <c r="L670" i="1"/>
  <c r="M670" i="1"/>
  <c r="N670" i="1"/>
  <c r="L671" i="1"/>
  <c r="M671" i="1"/>
  <c r="N671" i="1"/>
  <c r="L672" i="1"/>
  <c r="M672" i="1"/>
  <c r="N672" i="1"/>
  <c r="L673" i="1"/>
  <c r="M673" i="1"/>
  <c r="N673" i="1"/>
  <c r="L674" i="1"/>
  <c r="M674" i="1"/>
  <c r="N674" i="1"/>
  <c r="L675" i="1"/>
  <c r="M675" i="1"/>
  <c r="N675" i="1"/>
  <c r="L676" i="1"/>
  <c r="M676" i="1"/>
  <c r="N676" i="1"/>
  <c r="L677" i="1"/>
  <c r="M677" i="1"/>
  <c r="N677" i="1"/>
  <c r="L678" i="1"/>
  <c r="M678" i="1"/>
  <c r="N678" i="1"/>
  <c r="L679" i="1"/>
  <c r="M679" i="1"/>
  <c r="N679" i="1"/>
  <c r="L680" i="1"/>
  <c r="M680" i="1"/>
  <c r="N680" i="1"/>
  <c r="L681" i="1"/>
  <c r="M681" i="1"/>
  <c r="N681" i="1"/>
  <c r="L682" i="1"/>
  <c r="M682" i="1"/>
  <c r="N682" i="1"/>
  <c r="L683" i="1"/>
  <c r="M683" i="1"/>
  <c r="N683" i="1"/>
  <c r="L684" i="1"/>
  <c r="M684" i="1"/>
  <c r="N684" i="1"/>
  <c r="L685" i="1"/>
  <c r="M685" i="1"/>
  <c r="N685" i="1"/>
  <c r="L686" i="1"/>
  <c r="M686" i="1"/>
  <c r="N686" i="1"/>
  <c r="L687" i="1"/>
  <c r="M687" i="1"/>
  <c r="N687" i="1"/>
  <c r="L688" i="1"/>
  <c r="M688" i="1"/>
  <c r="N688" i="1"/>
  <c r="L689" i="1"/>
  <c r="M689" i="1"/>
  <c r="N689" i="1"/>
  <c r="L690" i="1"/>
  <c r="M690" i="1"/>
  <c r="N690" i="1"/>
  <c r="L691" i="1"/>
  <c r="M691" i="1"/>
  <c r="N691" i="1"/>
  <c r="L692" i="1"/>
  <c r="M692" i="1"/>
  <c r="N692" i="1"/>
  <c r="L693" i="1"/>
  <c r="M693" i="1"/>
  <c r="N693" i="1"/>
  <c r="L694" i="1"/>
  <c r="M694" i="1"/>
  <c r="N694" i="1"/>
  <c r="L695" i="1"/>
  <c r="M695" i="1"/>
  <c r="N695" i="1"/>
  <c r="L696" i="1"/>
  <c r="M696" i="1"/>
  <c r="N696" i="1"/>
  <c r="L697" i="1"/>
  <c r="M697" i="1"/>
  <c r="N697" i="1"/>
  <c r="L698" i="1"/>
  <c r="M698" i="1"/>
  <c r="N698" i="1"/>
  <c r="L699" i="1"/>
  <c r="M699" i="1"/>
  <c r="N699" i="1"/>
  <c r="L700" i="1"/>
  <c r="M700" i="1"/>
  <c r="N700" i="1"/>
  <c r="L701" i="1"/>
  <c r="M701" i="1"/>
  <c r="N701" i="1"/>
  <c r="L702" i="1"/>
  <c r="M702" i="1"/>
  <c r="N702" i="1"/>
  <c r="L703" i="1"/>
  <c r="M703" i="1"/>
  <c r="N703" i="1"/>
  <c r="L704" i="1"/>
  <c r="M704" i="1"/>
  <c r="N704" i="1"/>
  <c r="L705" i="1"/>
  <c r="M705" i="1"/>
  <c r="N705" i="1"/>
  <c r="L706" i="1"/>
  <c r="M706" i="1"/>
  <c r="N706" i="1"/>
  <c r="L707" i="1"/>
  <c r="M707" i="1"/>
  <c r="N707" i="1"/>
  <c r="L708" i="1"/>
  <c r="M708" i="1"/>
  <c r="N708" i="1"/>
  <c r="L709" i="1"/>
  <c r="M709" i="1"/>
  <c r="N709" i="1"/>
  <c r="L710" i="1"/>
  <c r="M710" i="1"/>
  <c r="N710" i="1"/>
  <c r="L711" i="1"/>
  <c r="M711" i="1"/>
  <c r="N711" i="1"/>
  <c r="L712" i="1"/>
  <c r="M712" i="1"/>
  <c r="N712" i="1"/>
  <c r="L713" i="1"/>
  <c r="M713" i="1"/>
  <c r="N713" i="1"/>
  <c r="L714" i="1"/>
  <c r="M714" i="1"/>
  <c r="N714" i="1"/>
  <c r="L715" i="1"/>
  <c r="M715" i="1"/>
  <c r="N715" i="1"/>
  <c r="L716" i="1"/>
  <c r="M716" i="1"/>
  <c r="N716" i="1"/>
  <c r="L717" i="1"/>
  <c r="M717" i="1"/>
  <c r="N717" i="1"/>
  <c r="L718" i="1"/>
  <c r="M718" i="1"/>
  <c r="N718" i="1"/>
  <c r="L719" i="1"/>
  <c r="M719" i="1"/>
  <c r="N719" i="1"/>
  <c r="L720" i="1"/>
  <c r="M720" i="1"/>
  <c r="N720" i="1"/>
  <c r="L721" i="1"/>
  <c r="M721" i="1"/>
  <c r="N721" i="1"/>
  <c r="L722" i="1"/>
  <c r="M722" i="1"/>
  <c r="N722" i="1"/>
  <c r="L723" i="1"/>
  <c r="M723" i="1"/>
  <c r="N723" i="1"/>
  <c r="L724" i="1"/>
  <c r="M724" i="1"/>
  <c r="N724" i="1"/>
  <c r="L725" i="1"/>
  <c r="M725" i="1"/>
  <c r="N725" i="1"/>
  <c r="L726" i="1"/>
  <c r="M726" i="1"/>
  <c r="N726" i="1"/>
  <c r="L727" i="1"/>
  <c r="M727" i="1"/>
  <c r="N727" i="1"/>
  <c r="L728" i="1"/>
  <c r="M728" i="1"/>
  <c r="N728" i="1"/>
  <c r="L729" i="1"/>
  <c r="M729" i="1"/>
  <c r="N729" i="1"/>
  <c r="L730" i="1"/>
  <c r="M730" i="1"/>
  <c r="N730" i="1"/>
  <c r="L731" i="1"/>
  <c r="M731" i="1"/>
  <c r="N731" i="1"/>
  <c r="L732" i="1"/>
  <c r="M732" i="1"/>
  <c r="N732" i="1"/>
  <c r="L733" i="1"/>
  <c r="M733" i="1"/>
  <c r="N733" i="1"/>
  <c r="L734" i="1"/>
  <c r="M734" i="1"/>
  <c r="N734" i="1"/>
  <c r="L735" i="1"/>
  <c r="M735" i="1"/>
  <c r="N735" i="1"/>
  <c r="L736" i="1"/>
  <c r="M736" i="1"/>
  <c r="N736" i="1"/>
  <c r="L737" i="1"/>
  <c r="M737" i="1"/>
  <c r="N737" i="1"/>
  <c r="L738" i="1"/>
  <c r="M738" i="1"/>
  <c r="N738" i="1"/>
  <c r="L739" i="1"/>
  <c r="M739" i="1"/>
  <c r="N739" i="1"/>
  <c r="L740" i="1"/>
  <c r="M740" i="1"/>
  <c r="N740" i="1"/>
  <c r="L741" i="1"/>
  <c r="M741" i="1"/>
  <c r="N741" i="1"/>
  <c r="L742" i="1"/>
  <c r="M742" i="1"/>
  <c r="N742" i="1"/>
  <c r="L743" i="1"/>
  <c r="M743" i="1"/>
  <c r="N743" i="1"/>
  <c r="L744" i="1"/>
  <c r="M744" i="1"/>
  <c r="N744" i="1"/>
  <c r="L745" i="1"/>
  <c r="M745" i="1"/>
  <c r="N745" i="1"/>
  <c r="L746" i="1"/>
  <c r="M746" i="1"/>
  <c r="N746" i="1"/>
  <c r="L747" i="1"/>
  <c r="M747" i="1"/>
  <c r="N747" i="1"/>
  <c r="L748" i="1"/>
  <c r="M748" i="1"/>
  <c r="N748" i="1"/>
  <c r="L749" i="1"/>
  <c r="M749" i="1"/>
  <c r="N749" i="1"/>
  <c r="L750" i="1"/>
  <c r="M750" i="1"/>
  <c r="N750" i="1"/>
  <c r="L751" i="1"/>
  <c r="M751" i="1"/>
  <c r="N751" i="1"/>
  <c r="L752" i="1"/>
  <c r="M752" i="1"/>
  <c r="N752" i="1"/>
  <c r="L753" i="1"/>
  <c r="M753" i="1"/>
  <c r="N753" i="1"/>
  <c r="L754" i="1"/>
  <c r="M754" i="1"/>
  <c r="N754" i="1"/>
  <c r="L755" i="1"/>
  <c r="M755" i="1"/>
  <c r="N755" i="1"/>
  <c r="L756" i="1"/>
  <c r="M756" i="1"/>
  <c r="N756" i="1"/>
  <c r="L757" i="1"/>
  <c r="M757" i="1"/>
  <c r="N757" i="1"/>
  <c r="L758" i="1"/>
  <c r="M758" i="1"/>
  <c r="N758" i="1"/>
  <c r="L759" i="1"/>
  <c r="M759" i="1"/>
  <c r="N759" i="1"/>
  <c r="L760" i="1"/>
  <c r="M760" i="1"/>
  <c r="N760" i="1"/>
  <c r="L761" i="1"/>
  <c r="M761" i="1"/>
  <c r="N761" i="1"/>
  <c r="L762" i="1"/>
  <c r="M762" i="1"/>
  <c r="N762" i="1"/>
  <c r="L763" i="1"/>
  <c r="M763" i="1"/>
  <c r="N763" i="1"/>
  <c r="L764" i="1"/>
  <c r="M764" i="1"/>
  <c r="N764" i="1"/>
  <c r="L765" i="1"/>
  <c r="M765" i="1"/>
  <c r="N765" i="1"/>
  <c r="L766" i="1"/>
  <c r="M766" i="1"/>
  <c r="N766" i="1"/>
  <c r="L767" i="1"/>
  <c r="M767" i="1"/>
  <c r="N767" i="1"/>
  <c r="L768" i="1"/>
  <c r="M768" i="1"/>
  <c r="N768" i="1"/>
  <c r="L769" i="1"/>
  <c r="M769" i="1"/>
  <c r="N769" i="1"/>
  <c r="L770" i="1"/>
  <c r="M770" i="1"/>
  <c r="N770" i="1"/>
  <c r="L771" i="1"/>
  <c r="M771" i="1"/>
  <c r="N771" i="1"/>
  <c r="L772" i="1"/>
  <c r="M772" i="1"/>
  <c r="N772" i="1"/>
  <c r="L773" i="1"/>
  <c r="M773" i="1"/>
  <c r="N773" i="1"/>
  <c r="L774" i="1"/>
  <c r="M774" i="1"/>
  <c r="N774" i="1"/>
  <c r="L775" i="1"/>
  <c r="M775" i="1"/>
  <c r="N775" i="1"/>
  <c r="L776" i="1"/>
  <c r="M776" i="1"/>
  <c r="N776" i="1"/>
  <c r="L777" i="1"/>
  <c r="M777" i="1"/>
  <c r="N777" i="1"/>
  <c r="L778" i="1"/>
  <c r="M778" i="1"/>
  <c r="N778" i="1"/>
  <c r="L779" i="1"/>
  <c r="M779" i="1"/>
  <c r="N779" i="1"/>
  <c r="L780" i="1"/>
  <c r="M780" i="1"/>
  <c r="N780" i="1"/>
  <c r="L781" i="1"/>
  <c r="M781" i="1"/>
  <c r="N781" i="1"/>
  <c r="L782" i="1"/>
  <c r="M782" i="1"/>
  <c r="N782" i="1"/>
  <c r="L783" i="1"/>
  <c r="M783" i="1"/>
  <c r="N783" i="1"/>
  <c r="L784" i="1"/>
  <c r="M784" i="1"/>
  <c r="N784" i="1"/>
  <c r="L785" i="1"/>
  <c r="M785" i="1"/>
  <c r="N785" i="1"/>
  <c r="L786" i="1"/>
  <c r="M786" i="1"/>
  <c r="N786" i="1"/>
  <c r="L787" i="1"/>
  <c r="M787" i="1"/>
  <c r="N787" i="1"/>
  <c r="L788" i="1"/>
  <c r="M788" i="1"/>
  <c r="N788" i="1"/>
  <c r="L789" i="1"/>
  <c r="M789" i="1"/>
  <c r="N789" i="1"/>
  <c r="L790" i="1"/>
  <c r="M790" i="1"/>
  <c r="N790" i="1"/>
  <c r="L791" i="1"/>
  <c r="M791" i="1"/>
  <c r="N791" i="1"/>
  <c r="L792" i="1"/>
  <c r="M792" i="1"/>
  <c r="N792" i="1"/>
  <c r="L793" i="1"/>
  <c r="M793" i="1"/>
  <c r="N793" i="1"/>
  <c r="L794" i="1"/>
  <c r="M794" i="1"/>
  <c r="N794" i="1"/>
  <c r="L795" i="1"/>
  <c r="M795" i="1"/>
  <c r="N795" i="1"/>
  <c r="L796" i="1"/>
  <c r="M796" i="1"/>
  <c r="N796" i="1"/>
  <c r="L797" i="1"/>
  <c r="M797" i="1"/>
  <c r="N797" i="1"/>
  <c r="L798" i="1"/>
  <c r="M798" i="1"/>
  <c r="N798" i="1"/>
  <c r="L799" i="1"/>
  <c r="M799" i="1"/>
  <c r="N799" i="1"/>
  <c r="L800" i="1"/>
  <c r="M800" i="1"/>
  <c r="N800" i="1"/>
  <c r="L801" i="1"/>
  <c r="M801" i="1"/>
  <c r="N801" i="1"/>
  <c r="L802" i="1"/>
  <c r="M802" i="1"/>
  <c r="N802" i="1"/>
  <c r="L803" i="1"/>
  <c r="M803" i="1"/>
  <c r="N803" i="1"/>
  <c r="L804" i="1"/>
  <c r="M804" i="1"/>
  <c r="N804" i="1"/>
  <c r="L805" i="1"/>
  <c r="M805" i="1"/>
  <c r="N805" i="1"/>
  <c r="L806" i="1"/>
  <c r="M806" i="1"/>
  <c r="N806" i="1"/>
  <c r="L807" i="1"/>
  <c r="M807" i="1"/>
  <c r="N807" i="1"/>
  <c r="L808" i="1"/>
  <c r="M808" i="1"/>
  <c r="N808" i="1"/>
  <c r="L809" i="1"/>
  <c r="M809" i="1"/>
  <c r="N809" i="1"/>
  <c r="L810" i="1"/>
  <c r="M810" i="1"/>
  <c r="N810" i="1"/>
  <c r="L811" i="1"/>
  <c r="M811" i="1"/>
  <c r="N811" i="1"/>
  <c r="L812" i="1"/>
  <c r="M812" i="1"/>
  <c r="N812" i="1"/>
  <c r="L813" i="1"/>
  <c r="M813" i="1"/>
  <c r="N813" i="1"/>
  <c r="L814" i="1"/>
  <c r="M814" i="1"/>
  <c r="N814" i="1"/>
  <c r="L815" i="1"/>
  <c r="M815" i="1"/>
  <c r="N815" i="1"/>
  <c r="L816" i="1"/>
  <c r="M816" i="1"/>
  <c r="N816" i="1"/>
  <c r="L817" i="1"/>
  <c r="M817" i="1"/>
  <c r="N817" i="1"/>
  <c r="L818" i="1"/>
  <c r="M818" i="1"/>
  <c r="N818" i="1"/>
  <c r="L819" i="1"/>
  <c r="M819" i="1"/>
  <c r="N819" i="1"/>
  <c r="L820" i="1"/>
  <c r="M820" i="1"/>
  <c r="N820" i="1"/>
  <c r="L821" i="1"/>
  <c r="M821" i="1"/>
  <c r="N821" i="1"/>
  <c r="L822" i="1"/>
  <c r="M822" i="1"/>
  <c r="N822" i="1"/>
  <c r="L823" i="1"/>
  <c r="M823" i="1"/>
  <c r="N823" i="1"/>
  <c r="L824" i="1"/>
  <c r="M824" i="1"/>
  <c r="N824" i="1"/>
  <c r="L825" i="1"/>
  <c r="M825" i="1"/>
  <c r="N825" i="1"/>
  <c r="L826" i="1"/>
  <c r="M826" i="1"/>
  <c r="N826" i="1"/>
  <c r="L827" i="1"/>
  <c r="M827" i="1"/>
  <c r="N827" i="1"/>
  <c r="L828" i="1"/>
  <c r="M828" i="1"/>
  <c r="N828" i="1"/>
  <c r="L829" i="1"/>
  <c r="M829" i="1"/>
  <c r="N829" i="1"/>
  <c r="L830" i="1"/>
  <c r="M830" i="1"/>
  <c r="N830" i="1"/>
  <c r="L831" i="1"/>
  <c r="M831" i="1"/>
  <c r="N831" i="1"/>
  <c r="L832" i="1"/>
  <c r="M832" i="1"/>
  <c r="N832" i="1"/>
  <c r="L833" i="1"/>
  <c r="M833" i="1"/>
  <c r="N833" i="1"/>
  <c r="L834" i="1"/>
  <c r="M834" i="1"/>
  <c r="N834" i="1"/>
  <c r="L835" i="1"/>
  <c r="M835" i="1"/>
  <c r="N835" i="1"/>
  <c r="L836" i="1"/>
  <c r="M836" i="1"/>
  <c r="N836" i="1"/>
  <c r="L837" i="1"/>
  <c r="M837" i="1"/>
  <c r="N837" i="1"/>
  <c r="L838" i="1"/>
  <c r="M838" i="1"/>
  <c r="N838" i="1"/>
  <c r="L839" i="1"/>
  <c r="M839" i="1"/>
  <c r="N839" i="1"/>
  <c r="L840" i="1"/>
  <c r="M840" i="1"/>
  <c r="N840" i="1"/>
  <c r="L841" i="1"/>
  <c r="M841" i="1"/>
  <c r="N841" i="1"/>
  <c r="L842" i="1"/>
  <c r="M842" i="1"/>
  <c r="N842" i="1"/>
  <c r="L843" i="1"/>
  <c r="M843" i="1"/>
  <c r="N843" i="1"/>
  <c r="L844" i="1"/>
  <c r="M844" i="1"/>
  <c r="N844" i="1"/>
  <c r="L845" i="1"/>
  <c r="M845" i="1"/>
  <c r="N845" i="1"/>
  <c r="L846" i="1"/>
  <c r="M846" i="1"/>
  <c r="N846" i="1"/>
  <c r="L847" i="1"/>
  <c r="M847" i="1"/>
  <c r="N847" i="1"/>
  <c r="L848" i="1"/>
  <c r="M848" i="1"/>
  <c r="N848" i="1"/>
  <c r="L849" i="1"/>
  <c r="M849" i="1"/>
  <c r="N849" i="1"/>
  <c r="L850" i="1"/>
  <c r="M850" i="1"/>
  <c r="N850" i="1"/>
  <c r="L851" i="1"/>
  <c r="M851" i="1"/>
  <c r="N851" i="1"/>
  <c r="L852" i="1"/>
  <c r="M852" i="1"/>
  <c r="N852" i="1"/>
  <c r="L853" i="1"/>
  <c r="M853" i="1"/>
  <c r="N853" i="1"/>
  <c r="L854" i="1"/>
  <c r="M854" i="1"/>
  <c r="N854" i="1"/>
  <c r="L855" i="1"/>
  <c r="M855" i="1"/>
  <c r="N855" i="1"/>
  <c r="L856" i="1"/>
  <c r="M856" i="1"/>
  <c r="N856" i="1"/>
  <c r="L857" i="1"/>
  <c r="M857" i="1"/>
  <c r="N857" i="1"/>
  <c r="L858" i="1"/>
  <c r="M858" i="1"/>
  <c r="N858" i="1"/>
  <c r="L859" i="1"/>
  <c r="M859" i="1"/>
  <c r="N859" i="1"/>
  <c r="L860" i="1"/>
  <c r="M860" i="1"/>
  <c r="N860" i="1"/>
  <c r="L861" i="1"/>
  <c r="M861" i="1"/>
  <c r="N861" i="1"/>
  <c r="L862" i="1"/>
  <c r="M862" i="1"/>
  <c r="N862" i="1"/>
  <c r="L863" i="1"/>
  <c r="M863" i="1"/>
  <c r="N863" i="1"/>
  <c r="L864" i="1"/>
  <c r="M864" i="1"/>
  <c r="N864" i="1"/>
  <c r="L865" i="1"/>
  <c r="M865" i="1"/>
  <c r="N865" i="1"/>
  <c r="L866" i="1"/>
  <c r="M866" i="1"/>
  <c r="N866" i="1"/>
  <c r="L867" i="1"/>
  <c r="M867" i="1"/>
  <c r="N867" i="1"/>
  <c r="L868" i="1"/>
  <c r="M868" i="1"/>
  <c r="N868" i="1"/>
  <c r="L869" i="1"/>
  <c r="M869" i="1"/>
  <c r="N869" i="1"/>
  <c r="L870" i="1"/>
  <c r="M870" i="1"/>
  <c r="N870" i="1"/>
  <c r="L871" i="1"/>
  <c r="M871" i="1"/>
  <c r="N871" i="1"/>
  <c r="L872" i="1"/>
  <c r="M872" i="1"/>
  <c r="N872" i="1"/>
  <c r="L873" i="1"/>
  <c r="M873" i="1"/>
  <c r="N873" i="1"/>
  <c r="L874" i="1"/>
  <c r="M874" i="1"/>
  <c r="N874" i="1"/>
  <c r="L875" i="1"/>
  <c r="M875" i="1"/>
  <c r="N875" i="1"/>
  <c r="L876" i="1"/>
  <c r="M876" i="1"/>
  <c r="N876" i="1"/>
  <c r="L877" i="1"/>
  <c r="M877" i="1"/>
  <c r="N877" i="1"/>
  <c r="L878" i="1"/>
  <c r="M878" i="1"/>
  <c r="N878" i="1"/>
  <c r="L879" i="1"/>
  <c r="M879" i="1"/>
  <c r="N879" i="1"/>
  <c r="L880" i="1"/>
  <c r="M880" i="1"/>
  <c r="N880" i="1"/>
  <c r="L881" i="1"/>
  <c r="M881" i="1"/>
  <c r="N881" i="1"/>
  <c r="L882" i="1"/>
  <c r="M882" i="1"/>
  <c r="N882" i="1"/>
  <c r="L883" i="1"/>
  <c r="M883" i="1"/>
  <c r="N883" i="1"/>
  <c r="L884" i="1"/>
  <c r="M884" i="1"/>
  <c r="N884" i="1"/>
  <c r="L885" i="1"/>
  <c r="M885" i="1"/>
  <c r="N885" i="1"/>
  <c r="L886" i="1"/>
  <c r="M886" i="1"/>
  <c r="N886" i="1"/>
  <c r="L887" i="1"/>
  <c r="M887" i="1"/>
  <c r="N887" i="1"/>
  <c r="L888" i="1"/>
  <c r="M888" i="1"/>
  <c r="N888" i="1"/>
  <c r="L889" i="1"/>
  <c r="M889" i="1"/>
  <c r="N889" i="1"/>
  <c r="L890" i="1"/>
  <c r="M890" i="1"/>
  <c r="N890" i="1"/>
  <c r="L891" i="1"/>
  <c r="M891" i="1"/>
  <c r="N891" i="1"/>
  <c r="L892" i="1"/>
  <c r="M892" i="1"/>
  <c r="N892" i="1"/>
  <c r="L893" i="1"/>
  <c r="M893" i="1"/>
  <c r="N893" i="1"/>
  <c r="L894" i="1"/>
  <c r="M894" i="1"/>
  <c r="N894" i="1"/>
  <c r="L895" i="1"/>
  <c r="M895" i="1"/>
  <c r="N895" i="1"/>
  <c r="L896" i="1"/>
  <c r="M896" i="1"/>
  <c r="N896" i="1"/>
  <c r="L897" i="1"/>
  <c r="M897" i="1"/>
  <c r="N897" i="1"/>
  <c r="L898" i="1"/>
  <c r="M898" i="1"/>
  <c r="N898" i="1"/>
  <c r="L899" i="1"/>
  <c r="M899" i="1"/>
  <c r="N899" i="1"/>
  <c r="L900" i="1"/>
  <c r="M900" i="1"/>
  <c r="N900" i="1"/>
  <c r="L901" i="1"/>
  <c r="M901" i="1"/>
  <c r="N901" i="1"/>
  <c r="L902" i="1"/>
  <c r="M902" i="1"/>
  <c r="N902" i="1"/>
  <c r="L903" i="1"/>
  <c r="M903" i="1"/>
  <c r="N903" i="1"/>
  <c r="L904" i="1"/>
  <c r="M904" i="1"/>
  <c r="N904" i="1"/>
  <c r="L905" i="1"/>
  <c r="M905" i="1"/>
  <c r="N905" i="1"/>
  <c r="L906" i="1"/>
  <c r="M906" i="1"/>
  <c r="N906" i="1"/>
  <c r="L907" i="1"/>
  <c r="M907" i="1"/>
  <c r="N907" i="1"/>
  <c r="L908" i="1"/>
  <c r="M908" i="1"/>
  <c r="N908" i="1"/>
  <c r="L909" i="1"/>
  <c r="M909" i="1"/>
  <c r="N909" i="1"/>
  <c r="L910" i="1"/>
  <c r="M910" i="1"/>
  <c r="N910" i="1"/>
  <c r="L911" i="1"/>
  <c r="M911" i="1"/>
  <c r="N911" i="1"/>
  <c r="L912" i="1"/>
  <c r="M912" i="1"/>
  <c r="N912" i="1"/>
  <c r="L913" i="1"/>
  <c r="M913" i="1"/>
  <c r="N913" i="1"/>
  <c r="L914" i="1"/>
  <c r="M914" i="1"/>
  <c r="N914" i="1"/>
  <c r="L915" i="1"/>
  <c r="M915" i="1"/>
  <c r="N915" i="1"/>
  <c r="L916" i="1"/>
  <c r="M916" i="1"/>
  <c r="N916" i="1"/>
  <c r="L917" i="1"/>
  <c r="M917" i="1"/>
  <c r="N917" i="1"/>
  <c r="L918" i="1"/>
  <c r="M918" i="1"/>
  <c r="N918" i="1"/>
  <c r="L919" i="1"/>
  <c r="M919" i="1"/>
  <c r="N919" i="1"/>
  <c r="L920" i="1"/>
  <c r="M920" i="1"/>
  <c r="N920" i="1"/>
  <c r="L921" i="1"/>
  <c r="M921" i="1"/>
  <c r="N921" i="1"/>
  <c r="L922" i="1"/>
  <c r="M922" i="1"/>
  <c r="N922" i="1"/>
  <c r="L923" i="1"/>
  <c r="M923" i="1"/>
  <c r="N923" i="1"/>
  <c r="L924" i="1"/>
  <c r="M924" i="1"/>
  <c r="N924" i="1"/>
  <c r="L925" i="1"/>
  <c r="M925" i="1"/>
  <c r="N925" i="1"/>
  <c r="L926" i="1"/>
  <c r="M926" i="1"/>
  <c r="N926" i="1"/>
  <c r="L927" i="1"/>
  <c r="M927" i="1"/>
  <c r="N927" i="1"/>
  <c r="L928" i="1"/>
  <c r="M928" i="1"/>
  <c r="N928" i="1"/>
  <c r="L929" i="1"/>
  <c r="M929" i="1"/>
  <c r="N929" i="1"/>
  <c r="L930" i="1"/>
  <c r="M930" i="1"/>
  <c r="N930" i="1"/>
  <c r="L931" i="1"/>
  <c r="M931" i="1"/>
  <c r="N931" i="1"/>
  <c r="L932" i="1"/>
  <c r="M932" i="1"/>
  <c r="N932" i="1"/>
  <c r="L933" i="1"/>
  <c r="M933" i="1"/>
  <c r="N933" i="1"/>
  <c r="L934" i="1"/>
  <c r="M934" i="1"/>
  <c r="N934" i="1"/>
  <c r="L935" i="1"/>
  <c r="M935" i="1"/>
  <c r="N935" i="1"/>
  <c r="L936" i="1"/>
  <c r="M936" i="1"/>
  <c r="N936" i="1"/>
  <c r="L937" i="1"/>
  <c r="M937" i="1"/>
  <c r="N937" i="1"/>
  <c r="L938" i="1"/>
  <c r="M938" i="1"/>
  <c r="N938" i="1"/>
  <c r="L939" i="1"/>
  <c r="M939" i="1"/>
  <c r="N939" i="1"/>
  <c r="L940" i="1"/>
  <c r="M940" i="1"/>
  <c r="N940" i="1"/>
  <c r="L941" i="1"/>
  <c r="M941" i="1"/>
  <c r="N941" i="1"/>
  <c r="L942" i="1"/>
  <c r="M942" i="1"/>
  <c r="N942" i="1"/>
  <c r="L943" i="1"/>
  <c r="M943" i="1"/>
  <c r="N943" i="1"/>
  <c r="L944" i="1"/>
  <c r="M944" i="1"/>
  <c r="N944" i="1"/>
  <c r="L945" i="1"/>
  <c r="M945" i="1"/>
  <c r="N945" i="1"/>
  <c r="L946" i="1"/>
  <c r="M946" i="1"/>
  <c r="N946" i="1"/>
  <c r="L947" i="1"/>
  <c r="M947" i="1"/>
  <c r="N947" i="1"/>
  <c r="L948" i="1"/>
  <c r="M948" i="1"/>
  <c r="N948" i="1"/>
  <c r="L949" i="1"/>
  <c r="M949" i="1"/>
  <c r="N949" i="1"/>
  <c r="L950" i="1"/>
  <c r="M950" i="1"/>
  <c r="N950" i="1"/>
  <c r="L951" i="1"/>
  <c r="M951" i="1"/>
  <c r="N951" i="1"/>
  <c r="L952" i="1"/>
  <c r="M952" i="1"/>
  <c r="N952" i="1"/>
  <c r="L953" i="1"/>
  <c r="M953" i="1"/>
  <c r="N953" i="1"/>
  <c r="L954" i="1"/>
  <c r="M954" i="1"/>
  <c r="N954" i="1"/>
  <c r="L955" i="1"/>
  <c r="M955" i="1"/>
  <c r="N955" i="1"/>
  <c r="L956" i="1"/>
  <c r="M956" i="1"/>
  <c r="N956" i="1"/>
  <c r="L957" i="1"/>
  <c r="M957" i="1"/>
  <c r="N957" i="1"/>
  <c r="L958" i="1"/>
  <c r="M958" i="1"/>
  <c r="N958" i="1"/>
  <c r="L959" i="1"/>
  <c r="M959" i="1"/>
  <c r="N959" i="1"/>
  <c r="L960" i="1"/>
  <c r="M960" i="1"/>
  <c r="N960" i="1"/>
  <c r="L961" i="1"/>
  <c r="M961" i="1"/>
  <c r="N961" i="1"/>
  <c r="L962" i="1"/>
  <c r="M962" i="1"/>
  <c r="N962" i="1"/>
  <c r="L963" i="1"/>
  <c r="M963" i="1"/>
  <c r="N963" i="1"/>
  <c r="L964" i="1"/>
  <c r="M964" i="1"/>
  <c r="N964" i="1"/>
  <c r="L965" i="1"/>
  <c r="M965" i="1"/>
  <c r="N965" i="1"/>
  <c r="L966" i="1"/>
  <c r="M966" i="1"/>
  <c r="N966" i="1"/>
  <c r="L967" i="1"/>
  <c r="M967" i="1"/>
  <c r="N967" i="1"/>
  <c r="L968" i="1"/>
  <c r="M968" i="1"/>
  <c r="N968" i="1"/>
  <c r="L969" i="1"/>
  <c r="M969" i="1"/>
  <c r="N969" i="1"/>
  <c r="L970" i="1"/>
  <c r="M970" i="1"/>
  <c r="N970" i="1"/>
  <c r="L971" i="1"/>
  <c r="M971" i="1"/>
  <c r="N971" i="1"/>
  <c r="L972" i="1"/>
  <c r="M972" i="1"/>
  <c r="N972" i="1"/>
  <c r="L973" i="1"/>
  <c r="M973" i="1"/>
  <c r="N973" i="1"/>
  <c r="L974" i="1"/>
  <c r="M974" i="1"/>
  <c r="N974" i="1"/>
  <c r="L975" i="1"/>
  <c r="M975" i="1"/>
  <c r="N975" i="1"/>
  <c r="L976" i="1"/>
  <c r="M976" i="1"/>
  <c r="N976" i="1"/>
  <c r="L977" i="1"/>
  <c r="M977" i="1"/>
  <c r="N977" i="1"/>
  <c r="L978" i="1"/>
  <c r="M978" i="1"/>
  <c r="N978" i="1"/>
  <c r="L979" i="1"/>
  <c r="M979" i="1"/>
  <c r="N979" i="1"/>
  <c r="L980" i="1"/>
  <c r="M980" i="1"/>
  <c r="N980" i="1"/>
  <c r="L981" i="1"/>
  <c r="M981" i="1"/>
  <c r="N981" i="1"/>
  <c r="L982" i="1"/>
  <c r="M982" i="1"/>
  <c r="N982" i="1"/>
  <c r="L983" i="1"/>
  <c r="M983" i="1"/>
  <c r="N983" i="1"/>
  <c r="L984" i="1"/>
  <c r="M984" i="1"/>
  <c r="N984" i="1"/>
  <c r="L985" i="1"/>
  <c r="M985" i="1"/>
  <c r="N985" i="1"/>
  <c r="L986" i="1"/>
  <c r="M986" i="1"/>
  <c r="N986" i="1"/>
  <c r="L987" i="1"/>
  <c r="M987" i="1"/>
  <c r="N987" i="1"/>
  <c r="L988" i="1"/>
  <c r="M988" i="1"/>
  <c r="N988" i="1"/>
  <c r="L989" i="1"/>
  <c r="M989" i="1"/>
  <c r="N989" i="1"/>
  <c r="L990" i="1"/>
  <c r="M990" i="1"/>
  <c r="N990" i="1"/>
  <c r="L991" i="1"/>
  <c r="M991" i="1"/>
  <c r="N991" i="1"/>
  <c r="L992" i="1"/>
  <c r="M992" i="1"/>
  <c r="N992" i="1"/>
  <c r="L993" i="1"/>
  <c r="M993" i="1"/>
  <c r="N993" i="1"/>
  <c r="L994" i="1"/>
  <c r="M994" i="1"/>
  <c r="N994" i="1"/>
  <c r="L995" i="1"/>
  <c r="M995" i="1"/>
  <c r="N995" i="1"/>
  <c r="L996" i="1"/>
  <c r="M996" i="1"/>
  <c r="N996" i="1"/>
  <c r="L997" i="1"/>
  <c r="M997" i="1"/>
  <c r="N997" i="1"/>
  <c r="L998" i="1"/>
  <c r="M998" i="1"/>
  <c r="N998" i="1"/>
  <c r="L999" i="1"/>
  <c r="M999" i="1"/>
  <c r="N999" i="1"/>
  <c r="L1000" i="1"/>
  <c r="M1000" i="1"/>
  <c r="N1000" i="1"/>
  <c r="L1001" i="1"/>
  <c r="M1001" i="1"/>
  <c r="N1001" i="1"/>
  <c r="L1002" i="1"/>
  <c r="M1002" i="1"/>
  <c r="N1002" i="1"/>
  <c r="L1003" i="1"/>
  <c r="M1003" i="1"/>
  <c r="N1003" i="1"/>
  <c r="L1004" i="1"/>
  <c r="M1004" i="1"/>
  <c r="N1004" i="1"/>
  <c r="L1005" i="1"/>
  <c r="M1005" i="1"/>
  <c r="N1005" i="1"/>
  <c r="L1006" i="1"/>
  <c r="M1006" i="1"/>
  <c r="N1006" i="1"/>
  <c r="L1007" i="1"/>
  <c r="M1007" i="1"/>
  <c r="N1007" i="1"/>
  <c r="L1008" i="1"/>
  <c r="M1008" i="1"/>
  <c r="N1008" i="1"/>
  <c r="L1009" i="1"/>
  <c r="M1009" i="1"/>
  <c r="N1009" i="1"/>
  <c r="L1010" i="1"/>
  <c r="M1010" i="1"/>
  <c r="N1010" i="1"/>
  <c r="L1011" i="1"/>
  <c r="M1011" i="1"/>
  <c r="N1011" i="1"/>
  <c r="L1012" i="1"/>
  <c r="M1012" i="1"/>
  <c r="N1012" i="1"/>
  <c r="L1013" i="1"/>
  <c r="M1013" i="1"/>
  <c r="N1013" i="1"/>
  <c r="L1014" i="1"/>
  <c r="M1014" i="1"/>
  <c r="N1014" i="1"/>
  <c r="L1015" i="1"/>
  <c r="M1015" i="1"/>
  <c r="N1015" i="1"/>
  <c r="L1016" i="1"/>
  <c r="M1016" i="1"/>
  <c r="N1016" i="1"/>
  <c r="L1017" i="1"/>
  <c r="M1017" i="1"/>
  <c r="N1017" i="1"/>
  <c r="L1018" i="1"/>
  <c r="M1018" i="1"/>
  <c r="N1018" i="1"/>
  <c r="L1019" i="1"/>
  <c r="M1019" i="1"/>
  <c r="N1019" i="1"/>
  <c r="L1020" i="1"/>
  <c r="M1020" i="1"/>
  <c r="N1020" i="1"/>
  <c r="L1021" i="1"/>
  <c r="M1021" i="1"/>
  <c r="N1021" i="1"/>
  <c r="L1022" i="1"/>
  <c r="M1022" i="1"/>
  <c r="N1022" i="1"/>
  <c r="L1023" i="1"/>
  <c r="M1023" i="1"/>
  <c r="N1023" i="1"/>
  <c r="L1024" i="1"/>
  <c r="M1024" i="1"/>
  <c r="N1024" i="1"/>
  <c r="L1025" i="1"/>
  <c r="M1025" i="1"/>
  <c r="N1025" i="1"/>
  <c r="L1026" i="1"/>
  <c r="M1026" i="1"/>
  <c r="N1026" i="1"/>
  <c r="L1027" i="1"/>
  <c r="M1027" i="1"/>
  <c r="N1027" i="1"/>
  <c r="L1028" i="1"/>
  <c r="M1028" i="1"/>
  <c r="N1028" i="1"/>
  <c r="L1029" i="1"/>
  <c r="M1029" i="1"/>
  <c r="N1029" i="1"/>
  <c r="L1030" i="1"/>
  <c r="M1030" i="1"/>
  <c r="N1030" i="1"/>
  <c r="L1031" i="1"/>
  <c r="M1031" i="1"/>
  <c r="N1031" i="1"/>
  <c r="L1032" i="1"/>
  <c r="M1032" i="1"/>
  <c r="N1032" i="1"/>
  <c r="L1033" i="1"/>
  <c r="M1033" i="1"/>
  <c r="N1033" i="1"/>
  <c r="L1034" i="1"/>
  <c r="M1034" i="1"/>
  <c r="N1034" i="1"/>
  <c r="L1035" i="1"/>
  <c r="M1035" i="1"/>
  <c r="N1035" i="1"/>
  <c r="L1036" i="1"/>
  <c r="M1036" i="1"/>
  <c r="N1036" i="1"/>
  <c r="L1037" i="1"/>
  <c r="M1037" i="1"/>
  <c r="N1037" i="1"/>
  <c r="L1038" i="1"/>
  <c r="M1038" i="1"/>
  <c r="N1038" i="1"/>
  <c r="L1039" i="1"/>
  <c r="M1039" i="1"/>
  <c r="N1039" i="1"/>
  <c r="L1040" i="1"/>
  <c r="M1040" i="1"/>
  <c r="N1040" i="1"/>
  <c r="L1041" i="1"/>
  <c r="M1041" i="1"/>
  <c r="N1041" i="1"/>
  <c r="L1042" i="1"/>
  <c r="M1042" i="1"/>
  <c r="N1042" i="1"/>
  <c r="L1043" i="1"/>
  <c r="M1043" i="1"/>
  <c r="N1043" i="1"/>
  <c r="L1044" i="1"/>
  <c r="M1044" i="1"/>
  <c r="N1044" i="1"/>
  <c r="L1045" i="1"/>
  <c r="M1045" i="1"/>
  <c r="N1045" i="1"/>
  <c r="L1046" i="1"/>
  <c r="M1046" i="1"/>
  <c r="N1046" i="1"/>
  <c r="L1047" i="1"/>
  <c r="M1047" i="1"/>
  <c r="N1047" i="1"/>
  <c r="L1048" i="1"/>
  <c r="M1048" i="1"/>
  <c r="N1048" i="1"/>
  <c r="L1049" i="1"/>
  <c r="M1049" i="1"/>
  <c r="N1049" i="1"/>
  <c r="L1050" i="1"/>
  <c r="M1050" i="1"/>
  <c r="N1050" i="1"/>
  <c r="L1051" i="1"/>
  <c r="M1051" i="1"/>
  <c r="N1051" i="1"/>
  <c r="L1052" i="1"/>
  <c r="M1052" i="1"/>
  <c r="N1052" i="1"/>
  <c r="L1053" i="1"/>
  <c r="M1053" i="1"/>
  <c r="N1053" i="1"/>
  <c r="L1054" i="1"/>
  <c r="M1054" i="1"/>
  <c r="N1054" i="1"/>
  <c r="L1055" i="1"/>
  <c r="M1055" i="1"/>
  <c r="N1055" i="1"/>
  <c r="L1056" i="1"/>
  <c r="M1056" i="1"/>
  <c r="N1056" i="1"/>
  <c r="L1057" i="1"/>
  <c r="M1057" i="1"/>
  <c r="N1057" i="1"/>
  <c r="L1058" i="1"/>
  <c r="M1058" i="1"/>
  <c r="N1058" i="1"/>
  <c r="L1059" i="1"/>
  <c r="M1059" i="1"/>
  <c r="N1059" i="1"/>
  <c r="L1060" i="1"/>
  <c r="M1060" i="1"/>
  <c r="N1060" i="1"/>
  <c r="L1061" i="1"/>
  <c r="M1061" i="1"/>
  <c r="N1061" i="1"/>
  <c r="L1062" i="1"/>
  <c r="M1062" i="1"/>
  <c r="N1062" i="1"/>
  <c r="L1063" i="1"/>
  <c r="M1063" i="1"/>
  <c r="N1063" i="1"/>
  <c r="L1064" i="1"/>
  <c r="M1064" i="1"/>
  <c r="N1064" i="1"/>
  <c r="L1065" i="1"/>
  <c r="M1065" i="1"/>
  <c r="N1065" i="1"/>
  <c r="L1066" i="1"/>
  <c r="M1066" i="1"/>
  <c r="N1066" i="1"/>
  <c r="L1067" i="1"/>
  <c r="M1067" i="1"/>
  <c r="N1067" i="1"/>
  <c r="L1068" i="1"/>
  <c r="M1068" i="1"/>
  <c r="N1068" i="1"/>
  <c r="L1069" i="1"/>
  <c r="M1069" i="1"/>
  <c r="N1069" i="1"/>
  <c r="L1070" i="1"/>
  <c r="M1070" i="1"/>
  <c r="N1070" i="1"/>
  <c r="L1071" i="1"/>
  <c r="M1071" i="1"/>
  <c r="N1071" i="1"/>
  <c r="L1072" i="1"/>
  <c r="M1072" i="1"/>
  <c r="N1072" i="1"/>
  <c r="L1073" i="1"/>
  <c r="M1073" i="1"/>
  <c r="N1073" i="1"/>
  <c r="L1074" i="1"/>
  <c r="M1074" i="1"/>
  <c r="N1074" i="1"/>
  <c r="L1075" i="1"/>
  <c r="M1075" i="1"/>
  <c r="N1075" i="1"/>
  <c r="L1076" i="1"/>
  <c r="M1076" i="1"/>
  <c r="N1076" i="1"/>
  <c r="L1077" i="1"/>
  <c r="M1077" i="1"/>
  <c r="N1077" i="1"/>
  <c r="L1078" i="1"/>
  <c r="M1078" i="1"/>
  <c r="N1078" i="1"/>
  <c r="L1079" i="1"/>
  <c r="M1079" i="1"/>
  <c r="N1079" i="1"/>
  <c r="L1080" i="1"/>
  <c r="M1080" i="1"/>
  <c r="N1080" i="1"/>
  <c r="L1081" i="1"/>
  <c r="M1081" i="1"/>
  <c r="N1081" i="1"/>
  <c r="L1082" i="1"/>
  <c r="M1082" i="1"/>
  <c r="N1082" i="1"/>
  <c r="L1083" i="1"/>
  <c r="M1083" i="1"/>
  <c r="N1083" i="1"/>
  <c r="L1084" i="1"/>
  <c r="M1084" i="1"/>
  <c r="N1084" i="1"/>
  <c r="L1085" i="1"/>
  <c r="M1085" i="1"/>
  <c r="N1085" i="1"/>
  <c r="L1086" i="1"/>
  <c r="M1086" i="1"/>
  <c r="N1086" i="1"/>
  <c r="L1087" i="1"/>
  <c r="M1087" i="1"/>
  <c r="N1087" i="1"/>
  <c r="L1088" i="1"/>
  <c r="M1088" i="1"/>
  <c r="N1088" i="1"/>
  <c r="L1089" i="1"/>
  <c r="M1089" i="1"/>
  <c r="N1089" i="1"/>
  <c r="L1090" i="1"/>
  <c r="M1090" i="1"/>
  <c r="N1090" i="1"/>
  <c r="L1091" i="1"/>
  <c r="M1091" i="1"/>
  <c r="N1091" i="1"/>
  <c r="L1092" i="1"/>
  <c r="M1092" i="1"/>
  <c r="N1092" i="1"/>
  <c r="L1093" i="1"/>
  <c r="M1093" i="1"/>
  <c r="N1093" i="1"/>
  <c r="L1094" i="1"/>
  <c r="M1094" i="1"/>
  <c r="N1094" i="1"/>
  <c r="L1095" i="1"/>
  <c r="M1095" i="1"/>
  <c r="N1095" i="1"/>
  <c r="L1096" i="1"/>
  <c r="M1096" i="1"/>
  <c r="N1096" i="1"/>
  <c r="L1097" i="1"/>
  <c r="M1097" i="1"/>
  <c r="N1097" i="1"/>
  <c r="L1098" i="1"/>
  <c r="M1098" i="1"/>
  <c r="N1098" i="1"/>
  <c r="L1099" i="1"/>
  <c r="M1099" i="1"/>
  <c r="N1099" i="1"/>
  <c r="L1100" i="1"/>
  <c r="M1100" i="1"/>
  <c r="N1100" i="1"/>
  <c r="L1101" i="1"/>
  <c r="M1101" i="1"/>
  <c r="N1101" i="1"/>
  <c r="L1102" i="1"/>
  <c r="M1102" i="1"/>
  <c r="N1102" i="1"/>
  <c r="L1103" i="1"/>
  <c r="M1103" i="1"/>
  <c r="N1103" i="1"/>
  <c r="L1104" i="1"/>
  <c r="M1104" i="1"/>
  <c r="N1104" i="1"/>
  <c r="L1105" i="1"/>
  <c r="M1105" i="1"/>
  <c r="N1105" i="1"/>
  <c r="L1106" i="1"/>
  <c r="M1106" i="1"/>
  <c r="N1106" i="1"/>
  <c r="L1107" i="1"/>
  <c r="M1107" i="1"/>
  <c r="N1107" i="1"/>
  <c r="L1108" i="1"/>
  <c r="M1108" i="1"/>
  <c r="N1108" i="1"/>
  <c r="L1109" i="1"/>
  <c r="M1109" i="1"/>
  <c r="N1109" i="1"/>
  <c r="L1110" i="1"/>
  <c r="M1110" i="1"/>
  <c r="N1110" i="1"/>
  <c r="L1111" i="1"/>
  <c r="M1111" i="1"/>
  <c r="N1111" i="1"/>
  <c r="L1112" i="1"/>
  <c r="M1112" i="1"/>
  <c r="N1112" i="1"/>
  <c r="L1113" i="1"/>
  <c r="M1113" i="1"/>
  <c r="N1113" i="1"/>
  <c r="L1114" i="1"/>
  <c r="M1114" i="1"/>
  <c r="N1114" i="1"/>
  <c r="L1115" i="1"/>
  <c r="M1115" i="1"/>
  <c r="N1115" i="1"/>
  <c r="L1116" i="1"/>
  <c r="M1116" i="1"/>
  <c r="N1116" i="1"/>
  <c r="L1117" i="1"/>
  <c r="M1117" i="1"/>
  <c r="N1117" i="1"/>
  <c r="L1118" i="1"/>
  <c r="M1118" i="1"/>
  <c r="N1118" i="1"/>
  <c r="L1119" i="1"/>
  <c r="M1119" i="1"/>
  <c r="N1119" i="1"/>
  <c r="L1120" i="1"/>
  <c r="M1120" i="1"/>
  <c r="N1120" i="1"/>
  <c r="L1121" i="1"/>
  <c r="M1121" i="1"/>
  <c r="N1121" i="1"/>
  <c r="L1122" i="1"/>
  <c r="M1122" i="1"/>
  <c r="N1122" i="1"/>
  <c r="L1123" i="1"/>
  <c r="M1123" i="1"/>
  <c r="N1123" i="1"/>
  <c r="L1124" i="1"/>
  <c r="M1124" i="1"/>
  <c r="N1124" i="1"/>
  <c r="L1125" i="1"/>
  <c r="M1125" i="1"/>
  <c r="N1125" i="1"/>
  <c r="L1126" i="1"/>
  <c r="M1126" i="1"/>
  <c r="N1126" i="1"/>
  <c r="L1127" i="1"/>
  <c r="M1127" i="1"/>
  <c r="N1127" i="1"/>
  <c r="L1128" i="1"/>
  <c r="M1128" i="1"/>
  <c r="N1128" i="1"/>
  <c r="L1129" i="1"/>
  <c r="M1129" i="1"/>
  <c r="N1129" i="1"/>
  <c r="L1130" i="1"/>
  <c r="M1130" i="1"/>
  <c r="N1130" i="1"/>
  <c r="L1131" i="1"/>
  <c r="M1131" i="1"/>
  <c r="N1131" i="1"/>
  <c r="L1132" i="1"/>
  <c r="M1132" i="1"/>
  <c r="N1132" i="1"/>
  <c r="L1133" i="1"/>
  <c r="M1133" i="1"/>
  <c r="N1133" i="1"/>
  <c r="L1134" i="1"/>
  <c r="M1134" i="1"/>
  <c r="N1134" i="1"/>
  <c r="L1135" i="1"/>
  <c r="M1135" i="1"/>
  <c r="N1135" i="1"/>
  <c r="L1136" i="1"/>
  <c r="M1136" i="1"/>
  <c r="N1136" i="1"/>
  <c r="L1137" i="1"/>
  <c r="M1137" i="1"/>
  <c r="N1137" i="1"/>
  <c r="L1138" i="1"/>
  <c r="M1138" i="1"/>
  <c r="N1138" i="1"/>
  <c r="L1139" i="1"/>
  <c r="M1139" i="1"/>
  <c r="N1139" i="1"/>
  <c r="L1140" i="1"/>
  <c r="M1140" i="1"/>
  <c r="N1140" i="1"/>
  <c r="L1141" i="1"/>
  <c r="M1141" i="1"/>
  <c r="N1141" i="1"/>
  <c r="L1142" i="1"/>
  <c r="M1142" i="1"/>
  <c r="N1142" i="1"/>
  <c r="L1143" i="1"/>
  <c r="M1143" i="1"/>
  <c r="N1143" i="1"/>
  <c r="L1144" i="1"/>
  <c r="M1144" i="1"/>
  <c r="N1144" i="1"/>
  <c r="L1145" i="1"/>
  <c r="M1145" i="1"/>
  <c r="N1145" i="1"/>
  <c r="L1146" i="1"/>
  <c r="M1146" i="1"/>
  <c r="N1146" i="1"/>
  <c r="L1147" i="1"/>
  <c r="M1147" i="1"/>
  <c r="N1147" i="1"/>
  <c r="L1148" i="1"/>
  <c r="M1148" i="1"/>
  <c r="N1148" i="1"/>
  <c r="L1149" i="1"/>
  <c r="M1149" i="1"/>
  <c r="N1149" i="1"/>
  <c r="L1150" i="1"/>
  <c r="M1150" i="1"/>
  <c r="N1150" i="1"/>
  <c r="L1151" i="1"/>
  <c r="M1151" i="1"/>
  <c r="N1151" i="1"/>
  <c r="L1152" i="1"/>
  <c r="M1152" i="1"/>
  <c r="N1152" i="1"/>
  <c r="L1153" i="1"/>
  <c r="M1153" i="1"/>
  <c r="N1153" i="1"/>
  <c r="L1154" i="1"/>
  <c r="M1154" i="1"/>
  <c r="N1154" i="1"/>
  <c r="L1155" i="1"/>
  <c r="M1155" i="1"/>
  <c r="N1155" i="1"/>
  <c r="L1156" i="1"/>
  <c r="M1156" i="1"/>
  <c r="N1156" i="1"/>
  <c r="L1157" i="1"/>
  <c r="M1157" i="1"/>
  <c r="N1157" i="1"/>
  <c r="L1158" i="1"/>
  <c r="M1158" i="1"/>
  <c r="N1158" i="1"/>
  <c r="L1159" i="1"/>
  <c r="M1159" i="1"/>
  <c r="N1159" i="1"/>
  <c r="L1160" i="1"/>
  <c r="M1160" i="1"/>
  <c r="N1160" i="1"/>
  <c r="L1161" i="1"/>
  <c r="M1161" i="1"/>
  <c r="N1161" i="1"/>
  <c r="L1162" i="1"/>
  <c r="M1162" i="1"/>
  <c r="N1162" i="1"/>
  <c r="L1163" i="1"/>
  <c r="M1163" i="1"/>
  <c r="N1163" i="1"/>
  <c r="L1164" i="1"/>
  <c r="M1164" i="1"/>
  <c r="N1164" i="1"/>
  <c r="L1165" i="1"/>
  <c r="M1165" i="1"/>
  <c r="N1165" i="1"/>
  <c r="L1166" i="1"/>
  <c r="M1166" i="1"/>
  <c r="N1166" i="1"/>
  <c r="L1167" i="1"/>
  <c r="M1167" i="1"/>
  <c r="N1167" i="1"/>
  <c r="L1168" i="1"/>
  <c r="M1168" i="1"/>
  <c r="N1168" i="1"/>
  <c r="L1169" i="1"/>
  <c r="M1169" i="1"/>
  <c r="N1169" i="1"/>
  <c r="L1170" i="1"/>
  <c r="M1170" i="1"/>
  <c r="N1170" i="1"/>
  <c r="L1171" i="1"/>
  <c r="M1171" i="1"/>
  <c r="N1171" i="1"/>
  <c r="L1172" i="1"/>
  <c r="M1172" i="1"/>
  <c r="N1172" i="1"/>
  <c r="L1173" i="1"/>
  <c r="M1173" i="1"/>
  <c r="N1173" i="1"/>
  <c r="L1174" i="1"/>
  <c r="M1174" i="1"/>
  <c r="N1174" i="1"/>
  <c r="L1175" i="1"/>
  <c r="M1175" i="1"/>
  <c r="N1175" i="1"/>
  <c r="L1176" i="1"/>
  <c r="M1176" i="1"/>
  <c r="N1176" i="1"/>
  <c r="L1177" i="1"/>
  <c r="M1177" i="1"/>
  <c r="N1177" i="1"/>
  <c r="L1178" i="1"/>
  <c r="M1178" i="1"/>
  <c r="N1178" i="1"/>
  <c r="L1179" i="1"/>
  <c r="M1179" i="1"/>
  <c r="N1179" i="1"/>
  <c r="L1180" i="1"/>
  <c r="M1180" i="1"/>
  <c r="N1180" i="1"/>
  <c r="L1181" i="1"/>
  <c r="M1181" i="1"/>
  <c r="N1181" i="1"/>
  <c r="L1182" i="1"/>
  <c r="M1182" i="1"/>
  <c r="N1182" i="1"/>
  <c r="L1183" i="1"/>
  <c r="M1183" i="1"/>
  <c r="N1183" i="1"/>
  <c r="L1184" i="1"/>
  <c r="M1184" i="1"/>
  <c r="N1184" i="1"/>
  <c r="L1185" i="1"/>
  <c r="M1185" i="1"/>
  <c r="N1185" i="1"/>
  <c r="L1186" i="1"/>
  <c r="M1186" i="1"/>
  <c r="N1186" i="1"/>
  <c r="L1187" i="1"/>
  <c r="M1187" i="1"/>
  <c r="N1187" i="1"/>
  <c r="L1188" i="1"/>
  <c r="M1188" i="1"/>
  <c r="N1188" i="1"/>
  <c r="L1189" i="1"/>
  <c r="M1189" i="1"/>
  <c r="N1189" i="1"/>
  <c r="L1190" i="1"/>
  <c r="M1190" i="1"/>
  <c r="N1190" i="1"/>
  <c r="L1191" i="1"/>
  <c r="M1191" i="1"/>
  <c r="N1191" i="1"/>
  <c r="L1192" i="1"/>
  <c r="M1192" i="1"/>
  <c r="N1192" i="1"/>
  <c r="L1193" i="1"/>
  <c r="M1193" i="1"/>
  <c r="N1193" i="1"/>
  <c r="L1194" i="1"/>
  <c r="M1194" i="1"/>
  <c r="N1194" i="1"/>
  <c r="L1195" i="1"/>
  <c r="M1195" i="1"/>
  <c r="N1195" i="1"/>
  <c r="L1196" i="1"/>
  <c r="M1196" i="1"/>
  <c r="N1196" i="1"/>
  <c r="L1197" i="1"/>
  <c r="M1197" i="1"/>
  <c r="N1197" i="1"/>
  <c r="L1198" i="1"/>
  <c r="M1198" i="1"/>
  <c r="N1198" i="1"/>
  <c r="L1199" i="1"/>
  <c r="M1199" i="1"/>
  <c r="N1199" i="1"/>
  <c r="L1200" i="1"/>
  <c r="M1200" i="1"/>
  <c r="N1200" i="1"/>
  <c r="L1201" i="1"/>
  <c r="M1201" i="1"/>
  <c r="N1201" i="1"/>
  <c r="L1202" i="1"/>
  <c r="M1202" i="1"/>
  <c r="N1202" i="1"/>
  <c r="L1203" i="1"/>
  <c r="M1203" i="1"/>
  <c r="N1203" i="1"/>
  <c r="L1204" i="1"/>
  <c r="M1204" i="1"/>
  <c r="N1204" i="1"/>
  <c r="L1205" i="1"/>
  <c r="M1205" i="1"/>
  <c r="N1205" i="1"/>
  <c r="L1206" i="1"/>
  <c r="M1206" i="1"/>
  <c r="N1206" i="1"/>
  <c r="L1207" i="1"/>
  <c r="M1207" i="1"/>
  <c r="N1207" i="1"/>
  <c r="L1208" i="1"/>
  <c r="M1208" i="1"/>
  <c r="N1208" i="1"/>
  <c r="L1209" i="1"/>
  <c r="M1209" i="1"/>
  <c r="N1209" i="1"/>
  <c r="L1210" i="1"/>
  <c r="M1210" i="1"/>
  <c r="N1210" i="1"/>
  <c r="L1211" i="1"/>
  <c r="M1211" i="1"/>
  <c r="N1211" i="1"/>
  <c r="L1212" i="1"/>
  <c r="M1212" i="1"/>
  <c r="N1212" i="1"/>
  <c r="L1213" i="1"/>
  <c r="M1213" i="1"/>
  <c r="N1213" i="1"/>
  <c r="L1214" i="1"/>
  <c r="M1214" i="1"/>
  <c r="N1214" i="1"/>
  <c r="L1215" i="1"/>
  <c r="M1215" i="1"/>
  <c r="N1215" i="1"/>
  <c r="L1216" i="1"/>
  <c r="M1216" i="1"/>
  <c r="N1216" i="1"/>
  <c r="L1217" i="1"/>
  <c r="M1217" i="1"/>
  <c r="N1217" i="1"/>
  <c r="L1218" i="1"/>
  <c r="M1218" i="1"/>
  <c r="N1218" i="1"/>
  <c r="L1219" i="1"/>
  <c r="M1219" i="1"/>
  <c r="N1219" i="1"/>
  <c r="L1220" i="1"/>
  <c r="M1220" i="1"/>
  <c r="N1220" i="1"/>
  <c r="L1221" i="1"/>
  <c r="M1221" i="1"/>
  <c r="N1221" i="1"/>
  <c r="N2" i="1"/>
  <c r="M2" i="1"/>
  <c r="L2" i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2" i="2"/>
</calcChain>
</file>

<file path=xl/sharedStrings.xml><?xml version="1.0" encoding="utf-8"?>
<sst xmlns="http://schemas.openxmlformats.org/spreadsheetml/2006/main" count="15338" uniqueCount="2928">
  <si>
    <t>Title</t>
  </si>
  <si>
    <t>Brand</t>
  </si>
  <si>
    <t>Size</t>
  </si>
  <si>
    <t>Size Unit</t>
  </si>
  <si>
    <t>Product Code</t>
  </si>
  <si>
    <t>Min Day</t>
  </si>
  <si>
    <t>Max Day</t>
  </si>
  <si>
    <t>SKU System</t>
  </si>
  <si>
    <t>Mapped SKU(s)</t>
  </si>
  <si>
    <t>Map ID(s)</t>
  </si>
  <si>
    <t>Map Status</t>
  </si>
  <si>
    <t>Francesco Rinaldi Pasta Sauce Chunky Three Cheese Jar - 24 Oz</t>
  </si>
  <si>
    <t>Francesco Rinaldi</t>
  </si>
  <si>
    <t>ounce</t>
  </si>
  <si>
    <t>instacart</t>
  </si>
  <si>
    <t>Mapped</t>
  </si>
  <si>
    <t>Carfagna's Little Meatball Sauce</t>
  </si>
  <si>
    <t>Carfagna's</t>
  </si>
  <si>
    <t>Rao's Sauce, Roasted Garlic 24 Oz</t>
  </si>
  <si>
    <t>Rao's</t>
  </si>
  <si>
    <t>Monte Bene Spicy Marinara Pasta Sauce, 24 oz</t>
  </si>
  <si>
    <t>Brand: Monte Bene</t>
  </si>
  <si>
    <t>Nanina's In The Park Vodka Sauce Premium Quality Gourmet Pasta Sauce, 23.25 oz</t>
  </si>
  <si>
    <t>Nanina's In The Park</t>
  </si>
  <si>
    <t>Prego Pasta Sauce, Italian Tomato Sauce with Roasted Garlic &amp; Parmesan Cheese</t>
  </si>
  <si>
    <t>Prego</t>
  </si>
  <si>
    <t>BertolliÂ® D'italia Marinara Sauce 24.7 Oz. Jar</t>
  </si>
  <si>
    <t>Bertolli</t>
  </si>
  <si>
    <t>Rao's, Tomato Basil Sauce, 15.5 Oz</t>
  </si>
  <si>
    <t>Visit the Rao's Store</t>
  </si>
  <si>
    <t>No Map</t>
  </si>
  <si>
    <t>Dell Alpe Marinara Sauce - 28 Oz</t>
  </si>
  <si>
    <t>Dell'Alpe</t>
  </si>
  <si>
    <t>STEFANO Faita - Rose Pasta Sauce</t>
  </si>
  <si>
    <t>STEFANO Faita</t>
  </si>
  <si>
    <t>fluid ounce</t>
  </si>
  <si>
    <t>CENTO All Purpose Pasta Sauce, 26 oz</t>
  </si>
  <si>
    <t>Cento</t>
  </si>
  <si>
    <t>Calandra's Roasted Garlic Chunky Basil Sauce, 32 oz</t>
  </si>
  <si>
    <t>Calandra's</t>
  </si>
  <si>
    <t>Orti Di Calabria Tomato &amp; Basil Pasta Sauce, 24.3 oz</t>
  </si>
  <si>
    <t>Orti Di Calabria</t>
  </si>
  <si>
    <t>Paesana Sauce Vodka - 25 Oz</t>
  </si>
  <si>
    <t>Paesana</t>
  </si>
  <si>
    <t>Mezzetta Family Recipes Tomato Basil Sauce</t>
  </si>
  <si>
    <t>mezzetta</t>
  </si>
  <si>
    <t>Ragu Old World Style Sauce Flavored with Meat, 3 pk./45 oz.</t>
  </si>
  <si>
    <t>Ragu</t>
  </si>
  <si>
    <t>Dell Alpe Marinara Sauce - 25 Oz</t>
  </si>
  <si>
    <t>Orti Di Calabria Vodka Pasta Sauce, 24.3 oz</t>
  </si>
  <si>
    <t>Mids Pasta Sauce, Traditional Meatless, Quart Size!</t>
  </si>
  <si>
    <t>Mids</t>
  </si>
  <si>
    <t>Brooklyn's Best Silver Star Vodka Con Pancetta, 25 oz</t>
  </si>
  <si>
    <t>Silver Star</t>
  </si>
  <si>
    <t>Severino, Sauce Vodka Cream, 15 Ounce</t>
  </si>
  <si>
    <t>Severino</t>
  </si>
  <si>
    <t>Prego Three Cheese Italian Sauce Family Size, 45 oz</t>
  </si>
  <si>
    <t>Classico - Roma Spicy Red Pepper Sauce</t>
  </si>
  <si>
    <t>Classico</t>
  </si>
  <si>
    <t>Yo Mamas Foods Tomato Sauce Original Marinara - 25 Oz</t>
  </si>
  <si>
    <t>Yo Mama's</t>
  </si>
  <si>
    <t>Sacla Pasta Sauce, Marinara 23.6 oz</t>
  </si>
  <si>
    <t>Sacla</t>
  </si>
  <si>
    <t>Wild Mushroom Pasta Sauce, 25.5 OZ</t>
  </si>
  <si>
    <t>DAVES GOURMET</t>
  </si>
  <si>
    <t>Orti Di Calabria Arrabbiata Pasta Sauce, 24.3 oz</t>
  </si>
  <si>
    <t>Gino Angelini Organic Arrabiata Pasta Sauce</t>
  </si>
  <si>
    <t>gino angelini</t>
  </si>
  <si>
    <t>Rao's Homemade | Tomato Basil Sauce | 24 oz</t>
  </si>
  <si>
    <t>Prego Italian Tomato Pasta Sauce Flavored with Meat, 67 oz Jar</t>
  </si>
  <si>
    <t>Hunt's Pasta Sauce, Traditional 24 oz</t>
  </si>
  <si>
    <t>Hunt's</t>
  </si>
  <si>
    <t>Jesben Sauce, Italian Tomato, Peppers &amp; Herbs</t>
  </si>
  <si>
    <t>Jesben</t>
  </si>
  <si>
    <t>Ragu Hidden Heroes Pasta Sauce for Kids, Creamy Tomato Squad, 14 oz</t>
  </si>
  <si>
    <t>RAGÃš</t>
  </si>
  <si>
    <t>Prego Mini-Meatball Meat Sauce, 24 oz</t>
  </si>
  <si>
    <t>Classico - Sweet Basil Marinara Sauce</t>
  </si>
  <si>
    <t>Clevelands Own Little Italy Pasta Sauce - 32 Oz</t>
  </si>
  <si>
    <t>Cleveland's Own Little Italy</t>
  </si>
  <si>
    <t>Bertolli Garlic Vodka Sauce 24 oz</t>
  </si>
  <si>
    <t>De Massimo's Sauce, Tomato Basil</t>
  </si>
  <si>
    <t>De Massimo's</t>
  </si>
  <si>
    <t>Taste of The Hill Pasta Sauce, 24 oz</t>
  </si>
  <si>
    <t>Taste of The Hill</t>
  </si>
  <si>
    <t>Dei Fratelli Pasta Sauce, Traditional 24 oz</t>
  </si>
  <si>
    <t>Dei Fratelli</t>
  </si>
  <si>
    <t>Yo Mamas Roasted Garlic Tomato Sauce - 16 Oz</t>
  </si>
  <si>
    <t>Cravings By Chrissy Teigen Creamy Tomato Pasta Sauce</t>
  </si>
  <si>
    <t>cravings by chrissy teigen</t>
  </si>
  <si>
    <t>Mid's Pasta Sauce, Italian Sausage 28 Oz</t>
  </si>
  <si>
    <t>Mid's</t>
  </si>
  <si>
    <t>Pasta Sauce Marinara Premium Quality Gourmet</t>
  </si>
  <si>
    <t>Poblano Pasta Sauce</t>
  </si>
  <si>
    <t>Poblano Farm</t>
  </si>
  <si>
    <t>Newman's Own Pasta Sauce Marinara, 24.0 OZ</t>
  </si>
  <si>
    <t>Newman's Own</t>
  </si>
  <si>
    <t>Classico - Di Lombardia Rose Pasta Sauce</t>
  </si>
  <si>
    <t>SEGGIANO Organic Puttanesca Pasta Sauce, 24 OZ</t>
  </si>
  <si>
    <t>Brand: Seggiano</t>
  </si>
  <si>
    <t>Prego Spicy Marinara</t>
  </si>
  <si>
    <t>Prego - Pasta Sauce Original</t>
  </si>
  <si>
    <t>Frik &amp; Frak Pasta Sauce K.I.S.S. - 24 Oz</t>
  </si>
  <si>
    <t>Miscellaneous</t>
  </si>
  <si>
    <t>Primal Kitchen Vodka Sauce, No Dairy</t>
  </si>
  <si>
    <t>Primal Kitchen</t>
  </si>
  <si>
    <t>Prego Chunky Tomato, Onion &amp; Garlic Pasta Sauce, 45 oz</t>
  </si>
  <si>
    <t>Gino Angelini Foods Organic Pasta Sauce Marinara - 24 Oz</t>
  </si>
  <si>
    <t>Philomenas Homemade Marinara Sauce - 24 Oz</t>
  </si>
  <si>
    <t>Moms Pasta Sauce Special Marinara Jar - 24 Oz</t>
  </si>
  <si>
    <t>Mom's</t>
  </si>
  <si>
    <t>Muir Glen Muir Glen Pasta Sauce Spicy Arrabiata</t>
  </si>
  <si>
    <t>Muir Glen</t>
  </si>
  <si>
    <t>Nonna Pia's - Basil Marinara Sauce</t>
  </si>
  <si>
    <t>Nonna Pia's</t>
  </si>
  <si>
    <t>Michael Angelo's Marinara, Vine-Ripened Tomatoes, Slow Simmered, Spicy</t>
  </si>
  <si>
    <t>Michael Angelo's</t>
  </si>
  <si>
    <t>Filippo Berio Tomato Basil Sauce, 24 oz</t>
  </si>
  <si>
    <t>Filippo Berio</t>
  </si>
  <si>
    <t>Prego Sweet Sausage and Roasted Peppers Pasta Sauce - 23.5 Oz</t>
  </si>
  <si>
    <t>Organic Tomato Basil Sauce, 24 OZ</t>
  </si>
  <si>
    <t>Botticelli</t>
  </si>
  <si>
    <t>Prego Italian Pasta Sauce Flavored With Meat, 45 oz Jar</t>
  </si>
  <si>
    <t>PregoÂ®</t>
  </si>
  <si>
    <t>California Olive Ranch Sauce, Garden Basil 25 oz</t>
  </si>
  <si>
    <t>California Olive Ranch</t>
  </si>
  <si>
    <t>Dell Alpe Arrabbita Sauce - 25 Oz</t>
  </si>
  <si>
    <t>Classico - Roasted Garlic &amp; Onion Spaghetti Pasta Sauce</t>
  </si>
  <si>
    <t>Sonoma Gourmet Roasted Veggie</t>
  </si>
  <si>
    <t>sonoma gourmet</t>
  </si>
  <si>
    <t>Sonoma Gourmet</t>
  </si>
  <si>
    <t>Jersey Italian Gravy Sunday Dinner Pasta Sauce - 24 Oz</t>
  </si>
  <si>
    <t>Jersey Italian Gravy</t>
  </si>
  <si>
    <t>Botticelli Rossa Alfredo Sauce, 14.5 oz</t>
  </si>
  <si>
    <t>Rao's Homemade Sauce, Tomato Basil 24 Oz</t>
  </si>
  <si>
    <t>Rao's Homemade</t>
  </si>
  <si>
    <t>Tantillo Arrabbiata Spicy Pasta Sauce</t>
  </si>
  <si>
    <t>Tantillo Foods</t>
  </si>
  <si>
    <t>Organicville Pasta Sauce, Organic, Italian Herb</t>
  </si>
  <si>
    <t>Organicville</t>
  </si>
  <si>
    <t>Francesco Rinaldi Sauce, Traditional  No Salt Added</t>
  </si>
  <si>
    <t>P&amp;S Tomato Sauce, 32 oz</t>
  </si>
  <si>
    <t>P&amp;S</t>
  </si>
  <si>
    <t>Classico - Bolognese Pasta Sauce</t>
  </si>
  <si>
    <t>Mantova, Pasta Sauce, Pomodoro Sauce</t>
  </si>
  <si>
    <t xml:space="preserve"> Cucina Antica Tomato Basil Cooking Sauce</t>
  </si>
  <si>
    <t>Mezzetta Parmesan Reggiano Pasta Sauce - 24 Oz</t>
  </si>
  <si>
    <t>Mezzetta</t>
  </si>
  <si>
    <t>261505, 261504</t>
  </si>
  <si>
    <t>Bertolli Sauce, Marinara 23 Oz</t>
  </si>
  <si>
    <t>IL MULINO TOMATO BASIL</t>
  </si>
  <si>
    <t>Carfagnas Pasta Sauce, Original Family Recipe</t>
  </si>
  <si>
    <t>Unknown</t>
  </si>
  <si>
    <t>Paesana - Plant Based Bolognese</t>
  </si>
  <si>
    <t>Local Folks Foods Mushroom &amp; Garden Vegetable Pasta Sauce</t>
  </si>
  <si>
    <t>Carbone Fra Diavolo Italian Simmer Sauce</t>
  </si>
  <si>
    <t>Carbone</t>
  </si>
  <si>
    <t>Cucina Antica - Tuscany Pumpkin Pasta Sauce - 25oz (Pack of 6) - Gluten Free - Glass Jars</t>
  </si>
  <si>
    <t>Visit the Cucina Antica Store</t>
  </si>
  <si>
    <t>Rizzo Homemade Pasta Sauce</t>
  </si>
  <si>
    <t>MANTOVA ORG TOM TRUFFLE SAUCE</t>
  </si>
  <si>
    <t>BertolliÂ® Rustic Cutâ„¢ Sweet Peppers and Portobello Mushrooms Pasta Sauce</t>
  </si>
  <si>
    <t>Monjunis Salsa Di Pomidoro, 32.5 Oz</t>
  </si>
  <si>
    <t>Brand: Monjunis</t>
  </si>
  <si>
    <t>MadeWith Marinara Organic Pasta Sauce - 24 Ounce</t>
  </si>
  <si>
    <t>MadeWith</t>
  </si>
  <si>
    <t>Graziano Bros. Calabrian Pasta Sauce w/Italian Sausage</t>
  </si>
  <si>
    <t>Fody Arrabbiata Pasta Sauce, No Onion No Garlic</t>
  </si>
  <si>
    <t>Fody</t>
  </si>
  <si>
    <t>Francesco Rinaldi Sauce, Traditional Mushroom</t>
  </si>
  <si>
    <t>Cascones Cascone's Original Pasta Sauce 26 Oz</t>
  </si>
  <si>
    <t>Cascone's</t>
  </si>
  <si>
    <t>Charlie's On 6th - Classic Pasta Sauce (26 Oz)</t>
  </si>
  <si>
    <t>CHARLIE'S ON 6TH</t>
  </si>
  <si>
    <t>Naturas Tomato Sauce W Cheese - 7.1 OZ</t>
  </si>
  <si>
    <t>Natura's</t>
  </si>
  <si>
    <t>Nonna Pia's - Arrabiata Pasta Sauce</t>
  </si>
  <si>
    <t>Germano's Pomodoro Classic Tomato Sauce</t>
  </si>
  <si>
    <t>Annarino's Italian Marinara Sauce</t>
  </si>
  <si>
    <t>Classico Italian Sausage With Peppers &amp; Onions Pasta Sauce 24 oz</t>
  </si>
  <si>
    <t>SIMMER PASTA SAUCE TRUFFLE VODKA</t>
  </si>
  <si>
    <t>PregoÂ® Plant Protein Traditional Pasta Sauce, 24 oz Jar</t>
  </si>
  <si>
    <t>Bellino Spaghetti Sauce - 26 Oz</t>
  </si>
  <si>
    <t>Bellino</t>
  </si>
  <si>
    <t>Mezzetta Napa Valley Homemade Sauce Wild Mushroom Jar - 25 Oz</t>
  </si>
  <si>
    <t>Victoria Sauce, Marinara 24 Oz</t>
  </si>
  <si>
    <t>Victoria</t>
  </si>
  <si>
    <t>SAUCE PSTA CHRD TOM BAS</t>
  </si>
  <si>
    <t>Luigi Bonura's Sicilian Pasta Sauce, 26.0 OZ</t>
  </si>
  <si>
    <t>Luigi Bonura's</t>
  </si>
  <si>
    <t>Rao's Homemade Marinara Sauce, 22 oz., 2 pk.</t>
  </si>
  <si>
    <t>Casa Visco Marinara Pasta Sauce</t>
  </si>
  <si>
    <t>Casa Visco</t>
  </si>
  <si>
    <t>Frank's All Natural Original Marinara Pasta Sauce</t>
  </si>
  <si>
    <t>Frank's</t>
  </si>
  <si>
    <t>Dell Amore Marinara Sauce Original Recipe Jar - 25 Oz</t>
  </si>
  <si>
    <t>Dell Amore</t>
  </si>
  <si>
    <t>Ragu Marinara Sauce, Chunky 24 oz</t>
  </si>
  <si>
    <t>Buitoni Meat Sauce, Refrigerated Pasta Sauce</t>
  </si>
  <si>
    <t>Buitoni</t>
  </si>
  <si>
    <t>Gefen</t>
  </si>
  <si>
    <t>Paesana Beyond Meat Bolognese - 25OZ</t>
  </si>
  <si>
    <t>Livwell Pasta Sauce, Vegetable &amp; Herb</t>
  </si>
  <si>
    <t>Livwell</t>
  </si>
  <si>
    <t>Racconto Riserva Plant Based Sausage Marinara Sauce, 24 oz</t>
  </si>
  <si>
    <t>Racconto</t>
  </si>
  <si>
    <t>CARINARA Spicy Cracked Pepper Pasta Sauce</t>
  </si>
  <si>
    <t>Scarpetta Tuscan Vodka Sauce, 19.8 oz</t>
  </si>
  <si>
    <t>Scarpetta</t>
  </si>
  <si>
    <t>Primal Kitchen Roasted Garlic Marinara Sauce 24 oz</t>
  </si>
  <si>
    <t>PRIMAL KITCHEN</t>
  </si>
  <si>
    <t>Classico - Tomato &amp; Pesto Spaghetti Pasta Sauce</t>
  </si>
  <si>
    <t>Hunt's Pasta Sauce, Premium, Meat Flavored 24 oz</t>
  </si>
  <si>
    <t>Mezzetta Family Recipes Sensitive Marinara - 24.5 Oz</t>
  </si>
  <si>
    <t>DAVE'S GOURMET Creamy Parmesan Ramano Pasta Sauce</t>
  </si>
  <si>
    <t>DAVE'S GOURMET</t>
  </si>
  <si>
    <t>Barilla - Vero Gusto Sicilian Oregano</t>
  </si>
  <si>
    <t>Victoria Marinara Pasta Sauce</t>
  </si>
  <si>
    <t>Newman's Own Pasta Sauce, Organic, Olive Oil, Basil &amp; Garlic 23.5 oz</t>
  </si>
  <si>
    <t>Capa Di Roma Fresh Basil Sauce</t>
  </si>
  <si>
    <t>Capa Di Roma</t>
  </si>
  <si>
    <t>Rao's Caramelized Onion Sauce</t>
  </si>
  <si>
    <t>Rao's Homemade Tomato Basil Sauce, 22 oz., 2 pk.</t>
  </si>
  <si>
    <t>PregoÂ® Roasted Garlic And Herb Pasta Sauce 45.000 Oz</t>
  </si>
  <si>
    <t>Scarpetta Pasta Sauce, Fresh, Marinara</t>
  </si>
  <si>
    <t>Classico Creamy Ricotta Pasta Sauce 24 oz</t>
  </si>
  <si>
    <t>Ragu Cheese Creations Parmesan &amp; Romano Sauce</t>
  </si>
  <si>
    <t>MOM's Spag Garlic Basil - 24 Ounce</t>
  </si>
  <si>
    <t>MOM'S</t>
  </si>
  <si>
    <t>Mid's Pasta Sauce, Three Cheese 28 Oz</t>
  </si>
  <si>
    <t>Francesco Rinaldi, Classic Marinara Sauce, 24 Oz, Low Fat, Gluten-Free, No Saturated Fat</t>
  </si>
  <si>
    <t>Ragu Old World Style Sauce Flavored with Meat, Made with Olive Oil, Perfect for Italian Style Meals at Home, 4.4 oz, 4 Count</t>
  </si>
  <si>
    <t>Botticelli Pasta Sauce, Caramelized Onion, Premium 24 Oz</t>
  </si>
  <si>
    <t>Luigi Del Conte Spicy Ala Vodka Sauce</t>
  </si>
  <si>
    <t>Botticelli - Primavera Sauce</t>
  </si>
  <si>
    <t>Classico - Bolognese Spaghetti Pasta Sauce</t>
  </si>
  <si>
    <t>Giusto Marinara Sauce</t>
  </si>
  <si>
    <t>La Famiglia DelGrosso Uncle Fred's Fireworks Pasta Sauce</t>
  </si>
  <si>
    <t>DelGrosso</t>
  </si>
  <si>
    <t>Ferrara Red Clam Sauce, 15 oz</t>
  </si>
  <si>
    <t>Ferrara</t>
  </si>
  <si>
    <t>Sclafani All Purpose Marinara Sauce, 16 oz</t>
  </si>
  <si>
    <t>Sclafani</t>
  </si>
  <si>
    <t>PregoÂ® Mushroom &amp; Green Pepper Pasta Sauce</t>
  </si>
  <si>
    <t>Racconto Bolognese Pasta Sauce - 24 Oz</t>
  </si>
  <si>
    <t>Primal Kitchen Arrabbiata Marinara Sauce</t>
  </si>
  <si>
    <t>Osm Romanoff Sauce - 13 Oz</t>
  </si>
  <si>
    <t>O Sole Mio</t>
  </si>
  <si>
    <t>Rigazzis - Fine Italian Pasta Sauce (33 Oz)</t>
  </si>
  <si>
    <t>RIGAZZIS</t>
  </si>
  <si>
    <t>Muir Glen Organic Pasta Sauce, Roasted Garlic, 25.5 oz</t>
  </si>
  <si>
    <t>Muir Glen Organic</t>
  </si>
  <si>
    <t>Boves Organic Roasted Garlic Pasta Sauce</t>
  </si>
  <si>
    <t>Bove's</t>
  </si>
  <si>
    <t>Francesco Rinaldi Sauce, Tomato, Garlic &amp; Onion 45 oz</t>
  </si>
  <si>
    <t>Rao's Homemade Arrabbiata Sauce, 32 oz, Tomato Sauce, All Purpose, Keto Friendly Pasta Sauce, Premium Quality Tomatoes from Italy &amp; Crushed Red Pepper</t>
  </si>
  <si>
    <t>266870, 266871</t>
  </si>
  <si>
    <t>Classico - Florentine Spinach and Cheese Pasta Sauce</t>
  </si>
  <si>
    <t>Tuttorosso Pasta Sauce, Natural, Marinara</t>
  </si>
  <si>
    <t>Tuttorosso</t>
  </si>
  <si>
    <t>Only Goodness - ONLY GOODNESS Orgnc Arbbta Pasta Sauce</t>
  </si>
  <si>
    <t>Only Goodness</t>
  </si>
  <si>
    <t>All Nat Pasta Sauce Mushroom</t>
  </si>
  <si>
    <t>Lidias Marinara 25 Oz</t>
  </si>
  <si>
    <t>LIDIAS</t>
  </si>
  <si>
    <t>Muir Glen Organic Organic Tomato Basil Pasta Sauce, 23.5 oz</t>
  </si>
  <si>
    <t>Mids Pasta Sauce, Garlic &amp; Onion</t>
  </si>
  <si>
    <t>Hunt's Pasta Sauce, Premium, Cheese &amp; Garlic 24 oz</t>
  </si>
  <si>
    <t>Cucina Antica Cooking Sauce,  Spicy Arrabbiata</t>
  </si>
  <si>
    <t>Cucina Antica</t>
  </si>
  <si>
    <t>Pasta Jays Sauce Pasta Creamy Tomato - 25 Oz</t>
  </si>
  <si>
    <t>Pasta Jay's</t>
  </si>
  <si>
    <t>Organico BelloÂ® Tomato Basil Pasta Sauce</t>
  </si>
  <si>
    <t>Organico Bello</t>
  </si>
  <si>
    <t>Bertolli Vodka Sauce, 24 oz., 3 pk.</t>
  </si>
  <si>
    <t>Paesana Tomato Basil Pasta Sauce, 25 oz</t>
  </si>
  <si>
    <t>DelGrosso Pasta Sauce, Three Cheese</t>
  </si>
  <si>
    <t>Daves Gourmet Organic Pasta Sauce Red Heirloom - 25.5 Oz</t>
  </si>
  <si>
    <t>Dave's Gourmet</t>
  </si>
  <si>
    <t>Chef Pasquale's "Hometown" Tomato Sauce with Mushrooms</t>
  </si>
  <si>
    <t>Antonia Carlo Handcrafted Tomato Basil Marinara Sauce</t>
  </si>
  <si>
    <t>Jersey Italian Gravy Arrabiata Sauce, 6 PK</t>
  </si>
  <si>
    <t>Pirros Pasta Sauce Rustic Vodka - 24 Oz</t>
  </si>
  <si>
    <t>PIRRO'S</t>
  </si>
  <si>
    <t>LaDoriaArrab, PLCHD cont-3rd party agency</t>
  </si>
  <si>
    <t>LaDoria</t>
  </si>
  <si>
    <t>Huntâ€™s Spaghetti Sauce, Traditional, 26.5 oz Can</t>
  </si>
  <si>
    <t>The Sonoma Kitchen Zinfandel Roasted Garlic Sauce</t>
  </si>
  <si>
    <t>n/a - Classico Portabella Mushroom</t>
  </si>
  <si>
    <t>Classico Pasta Sauce, Tomato &amp; Basil</t>
  </si>
  <si>
    <t>Ginos Spaghetti Sauce</t>
  </si>
  <si>
    <t>Ginos Salad Dressing</t>
  </si>
  <si>
    <t>Stonewall Kitchen Mom's Meatloaf Sauce</t>
  </si>
  <si>
    <t>Stonewall Kitchen</t>
  </si>
  <si>
    <t>STEFANO Faita - Arrabbiata Tomato Pasta Sauce</t>
  </si>
  <si>
    <t>LaRosa's Original Pasta Sauce- 24oz PET Jar</t>
  </si>
  <si>
    <t>LaRosa's</t>
  </si>
  <si>
    <t>Muir Glen Pasta Sauce, Organic, Tomato Basil 25.5 oz</t>
  </si>
  <si>
    <t>Sauce Marinara, 16 OZ</t>
  </si>
  <si>
    <t>CUCINA FRESCA</t>
  </si>
  <si>
    <t>Ponti Tomato &amp; Roasted Garlic Italian Pasta Sauce</t>
  </si>
  <si>
    <t>Mia Cucina Marinara Fra Diavolo Tomato Sauce, 24 oz</t>
  </si>
  <si>
    <t>Mia Cucina</t>
  </si>
  <si>
    <t>Victoria Organic Toasted Garlic Pasta Sauce 24 oz</t>
  </si>
  <si>
    <t>Sclafani Spaghetti Sauce</t>
  </si>
  <si>
    <t>Natura's Creole Style Pasta Sauce With Vegetables 7.1 Oz</t>
  </si>
  <si>
    <t>Classico - Fire Roasted Tomato &amp; Garlic Spaghetti Pa</t>
  </si>
  <si>
    <t>DelGrosso All Natural Pasta Sauce Mushroom</t>
  </si>
  <si>
    <t>PregoÂ® Roasted Garlic &amp; Herb Pasta Sauce 24.000 oz</t>
  </si>
  <si>
    <t>DeNunzioâ€™s Specialty Foods Jarred Spaghetti Sauce</t>
  </si>
  <si>
    <t>DeNunzioâ€™s Specialty Foods</t>
  </si>
  <si>
    <t>Michaels Of Brooklyn Fresh Tomato &amp; Basil 16 oz</t>
  </si>
  <si>
    <t>Michaels of Brooklyn</t>
  </si>
  <si>
    <t>Classico Marinara Pasta Sauce, 24 OZ</t>
  </si>
  <si>
    <t>Ciao Pappy</t>
  </si>
  <si>
    <t>Lucini Organic Oil-Free Tuscan Tomato Marinara, 16.5 Oz</t>
  </si>
  <si>
    <t>Visit the Lucini Store</t>
  </si>
  <si>
    <t>Delallo Pasta Sauce, Roasted Garlic</t>
  </si>
  <si>
    <t>Delallo</t>
  </si>
  <si>
    <t>Bertolli Sauce, Olive Oil &amp; Garlic 24 Oz</t>
  </si>
  <si>
    <t>Scimeca's Famous Home Made Recipe Marinara Sauce</t>
  </si>
  <si>
    <t>CLASSICO - Italian Sausage, Peppers &amp; Onions Spaghetti Sauce.</t>
  </si>
  <si>
    <t>CLASSICO</t>
  </si>
  <si>
    <t>Capa Di Roma Marinara Sauce</t>
  </si>
  <si>
    <t>Mezzetta Family Recipes Marinara Family Size - 32 Fl. Oz.</t>
  </si>
  <si>
    <t>LIVWELL Calabrian Chili Pepper Romesco Sauce - 16 Oz</t>
  </si>
  <si>
    <t>Dei Fratelli Italian Sauce, All Purpose 28 oz</t>
  </si>
  <si>
    <t>Generic Mid's Sausage Pasta Sauce</t>
  </si>
  <si>
    <t>TantilloÂ® Reserve Porcini &amp; Black Truffle Pasta Sauce</t>
  </si>
  <si>
    <t>NONNA PIAS Puttanesca Pasta Sauce, 19.4 OZ</t>
  </si>
  <si>
    <t>Brand: NONNA PIAS</t>
  </si>
  <si>
    <t>Botticelli Pasta Sauce, Premium, Marinara 24 oz</t>
  </si>
  <si>
    <t>Delgrosso Organic Sauce Pasta Tmo Bsl - 24 Oz</t>
  </si>
  <si>
    <t>Cucina &amp; Amore Arrabbiata Pasta Sauce</t>
  </si>
  <si>
    <t>Cucina &amp; Amore</t>
  </si>
  <si>
    <t>Lidias Pasta Sauce Vodka Jar - 25 Oz</t>
  </si>
  <si>
    <t>Lidias</t>
  </si>
  <si>
    <t>Cucina Moderna Fire Roasted Vodka Sauce Pasta - 20 Oz</t>
  </si>
  <si>
    <t>Cucina Moderna</t>
  </si>
  <si>
    <t>Ragu Sauce, Mama's Special Garden, Chunky 24 oz</t>
  </si>
  <si>
    <t>Mezzetta Marinara, Truffle, Porcini &amp; Cream 24 oz</t>
  </si>
  <si>
    <t>Ginos Marinara Sauce With Mushrooms</t>
  </si>
  <si>
    <t>GERARDOS MARINA</t>
  </si>
  <si>
    <t>Cento Pasta Sauce Marinara Passata - 25 Oz</t>
  </si>
  <si>
    <t>Isola Marinara Pasta Sauce</t>
  </si>
  <si>
    <t>Don Pomodoro Sauce Arrabbiata Jar - 24.3 Oz</t>
  </si>
  <si>
    <t>Don Pomodoro</t>
  </si>
  <si>
    <t>RAGU SPAGHETTI SAUCE MEAT</t>
  </si>
  <si>
    <t>RAGU</t>
  </si>
  <si>
    <t>Yo Mamas Foods Tomato Sauce Bellisima Basil - 25 Oz</t>
  </si>
  <si>
    <t>Classico - Di Firenze Florentine Spinach &amp; Cheese Pasta Sauce</t>
  </si>
  <si>
    <t>Classico Spicy Tomato &amp; Basil Pasta Sauce - 24 Oz</t>
  </si>
  <si>
    <t>Fontecchio's Gourmet Marinara Sauce</t>
  </si>
  <si>
    <t>Rao's Homemade Roasted Garlic Sauce, 2 pk./22 oz.</t>
  </si>
  <si>
    <t>Antonio Carlo Gourmet Sauce, Roasted Garlic, 24 oz</t>
  </si>
  <si>
    <t>Rao's Homemade Roasted Red Pepper Sauce, Red Pepper Pasta Sauce, 24 Oz</t>
  </si>
  <si>
    <t>Prego Traditional Italian Sauce 24 oz (1 lb 8 oz) 680 g</t>
  </si>
  <si>
    <t>Classico Sun-Dried Tomato Alfredo Spaghetti Pasta Sauce, 15 oz. Jar</t>
  </si>
  <si>
    <t>Ragu Sauce, Chunky Garden Vegetable 24 oz</t>
  </si>
  <si>
    <t>Ragu Chunky Sauteed Onion and Garlic Pasta Sauce - 24 Oz</t>
  </si>
  <si>
    <t>Botticelli, Sauce Vodka Creamy Organic, 24 Ounce</t>
  </si>
  <si>
    <t>Visit the Botticelli Store</t>
  </si>
  <si>
    <t>O' SOLE MIO Marinara Sauce</t>
  </si>
  <si>
    <t>O' SOLE MIO</t>
  </si>
  <si>
    <t>Butternut Squash Pasta Sauce, 14.5 oz</t>
  </si>
  <si>
    <t>BELLA ITALIA</t>
  </si>
  <si>
    <t>Ragu Sauce, Garden Combination, Chunky 24 Oz</t>
  </si>
  <si>
    <t>mezzetta pasta sauce caramelized onion marinara</t>
  </si>
  <si>
    <t>Michaels Of Brooklyn Vodka Sauce - 15 Oz</t>
  </si>
  <si>
    <t>Michaels Of Brooklyn</t>
  </si>
  <si>
    <t>Fra Diavolo Sauce, 25 OZ</t>
  </si>
  <si>
    <t>Lynora's</t>
  </si>
  <si>
    <t>Authentica - World Cuisine Puttanesca Sauce</t>
  </si>
  <si>
    <t>Authentica</t>
  </si>
  <si>
    <t>Kissino All Natural Original Marinara Pasta Sauce - 25 Oz</t>
  </si>
  <si>
    <t>Newmans Own Marinara Pasta Sauce - 24 Oz</t>
  </si>
  <si>
    <t>Carfagna's Pasta Sauce, The Sicilian 1 qt</t>
  </si>
  <si>
    <t>Gefen Pasta Sauce Classic Marinara - 26 Oz</t>
  </si>
  <si>
    <t>Spinellis Sauce Co Classic Marinara Sauce, 26 Oz</t>
  </si>
  <si>
    <t>Brand: Spinelli's</t>
  </si>
  <si>
    <t>Sacla' Tomato &amp; Roasted Garlic Pasta Sauce, 24.0 oz</t>
  </si>
  <si>
    <t>Sacla'</t>
  </si>
  <si>
    <t>Creamy Calabrian Marinara Pasta Sauce, 24 OZ</t>
  </si>
  <si>
    <t>Classic Spicy Tomato Sauce, 16 OZ</t>
  </si>
  <si>
    <t>Jules Tomato Sauce</t>
  </si>
  <si>
    <t>Jar Goods</t>
  </si>
  <si>
    <t>TantilloÂ® Reserve Tomato &amp; Basil Pasta Sauce</t>
  </si>
  <si>
    <t>Sauce Spicy Tomato, 24 OZ</t>
  </si>
  <si>
    <t>LUCIAS KITCHEN</t>
  </si>
  <si>
    <t>Organic Rustic Tomato Basil Pasta Sauce, 16.5 OZ</t>
  </si>
  <si>
    <t>LUCINI</t>
  </si>
  <si>
    <t>Hoboken Farms Basil Marinara Sauce 25 oz</t>
  </si>
  <si>
    <t>Hoboken Farms</t>
  </si>
  <si>
    <t>Prego Cremini Pomodoro with Roasted Garlic Italian Sauce 23.5 oz (1 lb 7.5 oz) 666 g</t>
  </si>
  <si>
    <t>Rao's Homemade Vodka Sauce, 22 oz., 2 pk.</t>
  </si>
  <si>
    <t>wise pies classic marinara</t>
  </si>
  <si>
    <t>DelGrosso Aunt Cindy's Roasted Garlic Pasta Sauce, 26 oz</t>
  </si>
  <si>
    <t>Antonio Carlo Handcrafted Original Recipe Marinara Sauce</t>
  </si>
  <si>
    <t>Marinara Sauce, 25 OZ</t>
  </si>
  <si>
    <t>Sauz Vodka Sauce Creamy Calabrian - 25 OZ</t>
  </si>
  <si>
    <t>Sauz</t>
  </si>
  <si>
    <t>Gia Russa Pasta Sauce, Select, Marinara 24 Oz</t>
  </si>
  <si>
    <t>Gia Russa</t>
  </si>
  <si>
    <t>Ragu Old World Style Traditional Sauce 24 oz</t>
  </si>
  <si>
    <t>Pomi Marinara Sauce 26.46 Oz</t>
  </si>
  <si>
    <t>Pomi</t>
  </si>
  <si>
    <t>Giusto Sapore Tomato and Basil Sauce</t>
  </si>
  <si>
    <t>Paesana Organic Sicilian Gravy Sauce - 25OZ</t>
  </si>
  <si>
    <t>Raccnto Riserva Marinara - 24 Oz</t>
  </si>
  <si>
    <t>Stonewall Kitchen Butternut Squash Pasta Sauce, 18.5 oz</t>
  </si>
  <si>
    <t>Campo Doro Pasta Sauce Sicilian Cherry Tomatoes - 6.35 OZ</t>
  </si>
  <si>
    <t>Campo d'Oro</t>
  </si>
  <si>
    <t>BELLA ITALIA Organic Tomato &amp; Basil Pasta Sauce, 13.9 OZ</t>
  </si>
  <si>
    <t>Brand: BELLA ITALIA</t>
  </si>
  <si>
    <t>Scimeca's Famous Home Made Recipe Spaghetti Sauce</t>
  </si>
  <si>
    <t>Jersey Italian Gravy Clasic Marinara, 12 PK</t>
  </si>
  <si>
    <t>Bertolli Sauce, Five Cheese 24 oz</t>
  </si>
  <si>
    <t>Delallo Pasta Sauce, Premium, Tomato Basil</t>
  </si>
  <si>
    <t>Boves Pasta Sauce Roasted Garlic - 24 Oz</t>
  </si>
  <si>
    <t>Yo Mama's Foods Spicy Marinara Sauce</t>
  </si>
  <si>
    <t>Yo Mama's Foods</t>
  </si>
  <si>
    <t>Le Sauce &amp; Co. Classic Marinara Gourmet Pasta Sauce, 8.8 oz, 2 Serving Pouch</t>
  </si>
  <si>
    <t>LeSauce</t>
  </si>
  <si>
    <t>Ragu Chunky Garden Combination Pasta Sauce</t>
  </si>
  <si>
    <t>ragu</t>
  </si>
  <si>
    <t>Ragu Sauce, Traditional, Old World Style 4 Ea</t>
  </si>
  <si>
    <t>Rao's, Reserve Balsamic Marinara Pasta Sauce, 19 Oz</t>
  </si>
  <si>
    <t>Carmine's Homemade Classic Italian Fra Diavolo Sauce, 32 oz</t>
  </si>
  <si>
    <t>Carmine's</t>
  </si>
  <si>
    <t>CENTO Hot Spicy Arrabbiata Pasta Sauce, 25.5 oz</t>
  </si>
  <si>
    <t>Huntâ€™s Roasted Garlic &amp; Onion Pasta Sauce, 24 oz. Can</t>
  </si>
  <si>
    <t>Annarino's Meat Italian Sauce</t>
  </si>
  <si>
    <t>Yo Mama's Foods Spicy Marinara Sauce, 2 PK</t>
  </si>
  <si>
    <t>Mama Mancini's Spaghetti Sauce &amp; Beef Meatballs</t>
  </si>
  <si>
    <t>Mama Mancini's</t>
  </si>
  <si>
    <t>Le Sauce &amp; Co. Spicy Pomodoro Gourmet Pasta Sauce, 8.8 oz, 2 Serving Pouch</t>
  </si>
  <si>
    <t>Classico - Vodka Sauce Spaghetti Pasta Sauce</t>
  </si>
  <si>
    <t>Newman's Own: Sockarooni Pasta Sauce, 24 Oz</t>
  </si>
  <si>
    <t>Delgrosso Pasta Sauce, Pure Olive Oil &amp; Herbs</t>
  </si>
  <si>
    <t>Delgrosso</t>
  </si>
  <si>
    <t>NONNA PIAS Siciliana Pasta Sauce, 19.4 OZ</t>
  </si>
  <si>
    <t>Classico Four Cheese Pasta Sauce, Classico Tomato &amp; Four Cheese 600ML</t>
  </si>
  <si>
    <t>Victoria - Cacciatore Simmer Sauce</t>
  </si>
  <si>
    <t>Mids Pasta Sauce</t>
  </si>
  <si>
    <t>Pastene Sauce Tomato Basil - 24 Oz</t>
  </si>
  <si>
    <t>Pastene</t>
  </si>
  <si>
    <t>RAO'S Red Wine Marinara Limited Reserve</t>
  </si>
  <si>
    <t>RAO'S</t>
  </si>
  <si>
    <t>Meat Pasta Sauce, 24 oz</t>
  </si>
  <si>
    <t>Reggano</t>
  </si>
  <si>
    <t>Mantova Italian Traditional Tomato Roasted Garlic Sauce</t>
  </si>
  <si>
    <t>Mantova</t>
  </si>
  <si>
    <t>The Silver Palate San Marzano Pasta Sauce Marinara Jar - 25 Oz</t>
  </si>
  <si>
    <t>The Silver Palate</t>
  </si>
  <si>
    <t>ITS A UTICA THING ! Sauce, for Chicken Riggie, Classic</t>
  </si>
  <si>
    <t>ITS A UTICA THING !</t>
  </si>
  <si>
    <t>Pastene Vodka Pasta Sauce</t>
  </si>
  <si>
    <t>IT S A UTICA THING! Riggie Sauce, Roasted Garlic</t>
  </si>
  <si>
    <t>IT S A UTICA THING!</t>
  </si>
  <si>
    <t>Newman's Own Fire Roasted Tomato &amp; Garlic Pasta Sauce, 24 oz</t>
  </si>
  <si>
    <t>Organic Eggplant Sauce, 24 oz</t>
  </si>
  <si>
    <t>Seggiano</t>
  </si>
  <si>
    <t>ANDUCCI - Asiago &amp; Roasted Garlic Sauce</t>
  </si>
  <si>
    <t>ANDUCCI</t>
  </si>
  <si>
    <t>Michael's of Brooklyn Pasta Sauce, Putanesca gluten free, 32 oz</t>
  </si>
  <si>
    <t>Visit the Michaels Of Brooklyn Store</t>
  </si>
  <si>
    <t>Classico Four Cheese Pasta Sauce, 24 oz Jar</t>
  </si>
  <si>
    <t>Classico Vodka Sauce Pasta Sauce, Classico Vodka Sauce 600ML</t>
  </si>
  <si>
    <t>Bertolli Pasta Sauce, Vodka</t>
  </si>
  <si>
    <t>Organic Tomato Basil Pasta Sauce, 24 OZ</t>
  </si>
  <si>
    <t>BIONATURAE</t>
  </si>
  <si>
    <t>Del Monte Pasta Sauce, Traditional</t>
  </si>
  <si>
    <t>Del Monte</t>
  </si>
  <si>
    <t>Scardigno's Marinara Sauce, 28 oz</t>
  </si>
  <si>
    <t>Scardigno's</t>
  </si>
  <si>
    <t>ITS A UTICA THING ! Sauce, Vodka Riggie</t>
  </si>
  <si>
    <t>Ragu Old World Style Traditional Sauce, 3 pk./45 oz.</t>
  </si>
  <si>
    <t>Prego 100% Natural Italian Pasta Sauce, Traditional</t>
  </si>
  <si>
    <t>Mutti Tomato &amp; Basil Pasta Sauce - 24 Oz.</t>
  </si>
  <si>
    <t>Mias Kitchen</t>
  </si>
  <si>
    <t>Just Like Home Sauce Bolognese Chicago-Style</t>
  </si>
  <si>
    <t>Just Like Home Kitchen Recipes</t>
  </si>
  <si>
    <t>Anducci - Anducci 3 Cheese Marinara Sauce</t>
  </si>
  <si>
    <t>Anducci</t>
  </si>
  <si>
    <t>Lucini Sauce Tomato Artichoke Tomato Hearty Bottle - 25.5 Oz</t>
  </si>
  <si>
    <t>Lucini</t>
  </si>
  <si>
    <t>Osem Pasta Sauce - 17 OZ</t>
  </si>
  <si>
    <t>Osem</t>
  </si>
  <si>
    <t>Le Sauce &amp; Co Pasta Sauce Classic Marinara - 8.8 OZ</t>
  </si>
  <si>
    <t>Le Sauce</t>
  </si>
  <si>
    <t>SIMMER Organic Basil Tomato Pasta Sauce, 8 OZ</t>
  </si>
  <si>
    <t>Simmer</t>
  </si>
  <si>
    <t>Boves Organic Spicy Marinara Pasta Sauce</t>
  </si>
  <si>
    <t>VESPER BROTHERS Sauce Tomato Signature Spicy, 24 OZ</t>
  </si>
  <si>
    <t>Brand: Vesper Brothers</t>
  </si>
  <si>
    <t>Local Folks Foods Tomato &amp; Herb Marinara Sauce</t>
  </si>
  <si>
    <t>Giannotti Marinara Sauce</t>
  </si>
  <si>
    <t>Carbone Arrabbiata Pasta Sauce</t>
  </si>
  <si>
    <t>SEGGIANO Organic Garlic Marinara Pasta Sauce, 24 OZ</t>
  </si>
  <si>
    <t>Sacla Tomato Cherry &amp; Basil</t>
  </si>
  <si>
    <t>Prego Italian Tomato Pasta Sauce Flavored With Meat, Value Size Jar, 38 oz</t>
  </si>
  <si>
    <t>Gia Russa Pasta Sauce, Select, Tomato Basil</t>
  </si>
  <si>
    <t>Rustichella D Abruzzo Tomato Sauce Arrabbiata Jar - 23.9 Oz</t>
  </si>
  <si>
    <t>Rustichella d'Abruzzo</t>
  </si>
  <si>
    <t>Paesana Marinara Traditional Pasta Sauce, 25 oz</t>
  </si>
  <si>
    <t>Victoria Avocado Oil Marinara Sauce 24 oz</t>
  </si>
  <si>
    <t>PregoÂ® Parmesan Basil Pasta Sauce 24.000 Oz</t>
  </si>
  <si>
    <t>Calandra's Marinara Sauce, 32 oz</t>
  </si>
  <si>
    <t>Rao's Homemade Pasta Sauce, Roasted Garlic</t>
  </si>
  <si>
    <t>Raos</t>
  </si>
  <si>
    <t>Organico BelloÂ® Delicate Recipeâ„¢ Organic Pasta Sauce</t>
  </si>
  <si>
    <t>Schiavone's All Purpose Italian Sauce</t>
  </si>
  <si>
    <t>Yo Mama's Foods No Sugar Added, Low Carb, Marinara Sauce</t>
  </si>
  <si>
    <t>Villa Valenti Traditional Pasta Sauce</t>
  </si>
  <si>
    <t>Mutti Tomato Sauce, With Basil &amp; Oregano 14 Oz</t>
  </si>
  <si>
    <t>Mutti</t>
  </si>
  <si>
    <t>Yo Mama's Sensitive Marinara Tomato Sauce, 25 oz</t>
  </si>
  <si>
    <t>MEZZETTA SAUCE PSTA TOM SWT BASL N</t>
  </si>
  <si>
    <t>Visit the Mezzetta Store</t>
  </si>
  <si>
    <t>Gefen Sauce Pasta Spicy - 26 Oz</t>
  </si>
  <si>
    <t>Cajun Power Pasta Sauce, Marinara 32 oz</t>
  </si>
  <si>
    <t>Cajun Power</t>
  </si>
  <si>
    <t>Fody Tomato &amp; Basil Pasta Sauce</t>
  </si>
  <si>
    <t>DAVE's Gourmet Pasta Sauce Organic Roasted Garlic &amp; Sweet Basil - 25.5 Ounce - 1 Count</t>
  </si>
  <si>
    <t>Dave's Gourmet Pasta Sauce, Hearty Marinara, Organic 25.5 Oz</t>
  </si>
  <si>
    <t>Francesco Rinaldi Sauce, Tomato &amp; Basil 24 oz</t>
  </si>
  <si>
    <t>Terlato Kitchen Sauce Tomato Basil - 24 Oz</t>
  </si>
  <si>
    <t>Terlato Kitchen</t>
  </si>
  <si>
    <t>Ooma Tesoros Marinara Sauce, 26 Oz</t>
  </si>
  <si>
    <t>Brand: Ooma Tesoros</t>
  </si>
  <si>
    <t>TantilloÂ® Reserve Pomodoro Marinara Pasta Sauce</t>
  </si>
  <si>
    <t>Gino's Spicy Diavolo Marinara</t>
  </si>
  <si>
    <t>Michael Angelo's Secret Marinara Pasta Sauce - 24 Oz</t>
  </si>
  <si>
    <t>Muir Glen Organic Italian Herb Pasta Sauce, No Sugar Added, 23.5 oz.</t>
  </si>
  <si>
    <t>Brand: Muir Glen</t>
  </si>
  <si>
    <t>Luigi Del Conte Country-Style Marinara Sauce</t>
  </si>
  <si>
    <t>Scarpetta Cherry Tomato Sauce, 19.8 oz</t>
  </si>
  <si>
    <t>Paesana Pasta Sauce Organic Marinara - 25 Oz</t>
  </si>
  <si>
    <t>Muir Glen Organic No Sugar Added Garden Vegetable Pasta Sauce 23.5 oz</t>
  </si>
  <si>
    <t>Mezzetta Marinara, Whole Garlic &amp; Sweet Basil 24 oz</t>
  </si>
  <si>
    <t>Cortazzo Marinara Sauce, Pomodoro</t>
  </si>
  <si>
    <t>Cortazzo</t>
  </si>
  <si>
    <t>Ragu Traditional Spaghetti Sauce, 3 Ct./45 oz.- Pasta Sauces</t>
  </si>
  <si>
    <t>Pomodoro Sauce, 24 oz</t>
  </si>
  <si>
    <t>Tresca</t>
  </si>
  <si>
    <t>Antonio Carlo Gourmet Sauce, Arrabbiata, 24 oz</t>
  </si>
  <si>
    <t>Cento San Marzano Tomato Sauce, Vodka</t>
  </si>
  <si>
    <t>Prego Chunky Garden Combo Italian Sauce, 23.75 oz</t>
  </si>
  <si>
    <t>Ginos Marinara Sauce</t>
  </si>
  <si>
    <t>Cucina Antica - Tomato Basil Pasta Sauce - 32oz (Pack of 6) - Non GMO, Whole 30 Approved, Gluten Free</t>
  </si>
  <si>
    <t>Newman's Own Pasta Sauce, Sockarooni 24 oz</t>
  </si>
  <si>
    <t>261525, 261526</t>
  </si>
  <si>
    <t>Prego Pasta Sauce, Tomato Sauce with Italian Sausage &amp; Garlic, 44 Ounce Jar</t>
  </si>
  <si>
    <t>Boves Pasta Sauce Roasted Vodka - 24 Oz</t>
  </si>
  <si>
    <t>Mamma DiSalvo's Authentic Original Recipe Italian Sauce</t>
  </si>
  <si>
    <t>Delgrosso Pasta Sauce, Meat Flavored</t>
  </si>
  <si>
    <t>Hoboken Farms Low Sodium Marinara Sauce, 25 oz</t>
  </si>
  <si>
    <t>Giovanni Rana Homestyle Sauce Meat Lovers Premium Pasta Topping Jar (Share Size, 11oz)</t>
  </si>
  <si>
    <t>Giovanni Rana</t>
  </si>
  <si>
    <t>Vesper Brothers, Sauce Tomato Signature, 24 Ounce-Best of America</t>
  </si>
  <si>
    <t>Francesco Rinaldi Pasta Sauce, Original Recipe 24 oz</t>
  </si>
  <si>
    <t>Classico Tomato and Basil Pasta Sauce (32 oz., 3 pk.)</t>
  </si>
  <si>
    <t>The Kraft Heinz Company</t>
  </si>
  <si>
    <t>Hunt's Pasta Sauce, Mushroom 24 oz</t>
  </si>
  <si>
    <t>TUTTOROSSO TRADITIONAL PASTA SAUCE</t>
  </si>
  <si>
    <t>TUTTOROSSO</t>
  </si>
  <si>
    <t>Carbone World Famous Spicy Vodka Sauce, 24 oz</t>
  </si>
  <si>
    <t>Prego - Pasta Sauce - Mushroom &amp; Herb</t>
  </si>
  <si>
    <t>Sauz Marinara Sauce Summer Lemon - 25 OZ</t>
  </si>
  <si>
    <t>Di Bruno Bros. Arrabbiata Spicy Tomato Sauce, 24 oz</t>
  </si>
  <si>
    <t>Di Bruno Bros.</t>
  </si>
  <si>
    <t>Michaels Of Brooklyn Sauce Arrabbiata Jar - 32 Oz</t>
  </si>
  <si>
    <t>WALDEN FARMS TOMATO BASIL PASTA SAUCE</t>
  </si>
  <si>
    <t>WALDEN FARMS</t>
  </si>
  <si>
    <t>Ethnic Cottage Marinara Jersey Tomato Sauce, 25 oz</t>
  </si>
  <si>
    <t>Ethnic Cottage</t>
  </si>
  <si>
    <t>Muir Glen Organic Classic Marinara Pasta Sauce, No Sugar Added, 23.5 oz.</t>
  </si>
  <si>
    <t>Carbone Classic Vodka Sauce, 24 oz</t>
  </si>
  <si>
    <t>Silver Palate Roasted Garlic Pasta Sauce - 25 OZ</t>
  </si>
  <si>
    <t>Fody Plant-Based Bolognese Sensitive Pasta Sauce 19.4 oz</t>
  </si>
  <si>
    <t>Montova Pasta Sauce Organic Tomato Basil</t>
  </si>
  <si>
    <t>Montova</t>
  </si>
  <si>
    <t>DeLallo Pomodoro Fresco, Spicy Vodka</t>
  </si>
  <si>
    <t>DeLallo</t>
  </si>
  <si>
    <t>Tonelli Marinara Sauce Original - 25 Oz</t>
  </si>
  <si>
    <t>Tonnelli</t>
  </si>
  <si>
    <t>Mid's Pasta Sauce, Marinara, Spicy</t>
  </si>
  <si>
    <t>Red Gold Spaghetti Sauce</t>
  </si>
  <si>
    <t>Yo Mama's Foods Keto Marinara Pasta Sauce, 12 PK</t>
  </si>
  <si>
    <t>Bertolli Vineyard Marinara Sauce, 24 oz</t>
  </si>
  <si>
    <t>Bertolli Pasta Sauce Variety Pack, Tomato &amp; Basil and Olive Oil &amp; Garlic, 3 pk./24 oz.</t>
  </si>
  <si>
    <t>Ragu Sauce, Flavored with Meat</t>
  </si>
  <si>
    <t>Cento Marinara Pasta Sauce, 18 oz</t>
  </si>
  <si>
    <t>Rao's Homemade Bolognese Sauce 24 oz, Tomato Sauce, All Purpose, Keto Friendly Pasta Sauce, Premium Quality Tomatoes from Italy, Beef, Pork &amp; Pancetta</t>
  </si>
  <si>
    <t>Montebello Sauce Pasta Basil Marnra - 19.75 Oz</t>
  </si>
  <si>
    <t>Montebello</t>
  </si>
  <si>
    <t>Ragu Kettle Cooked Roasted Garlic Pasta - 24 Oz</t>
  </si>
  <si>
    <t>Pasta Too Sauce, Meat Flavored, with Pork</t>
  </si>
  <si>
    <t>Pasta Too</t>
  </si>
  <si>
    <t>Mid's Pasta Sauce, Hearty Vegetable 28 Oz</t>
  </si>
  <si>
    <t>The Sonoma Kitchen Cabernet Marinara Sauce</t>
  </si>
  <si>
    <t>The Sonoma Kitchen</t>
  </si>
  <si>
    <t>Mimi's Gourmet Pasta Sauce</t>
  </si>
  <si>
    <t>Mimi's Gourmet</t>
  </si>
  <si>
    <t>Prego Pasta Sauce, Italian Tomato Sauce with Fresh Mushrooms, 45 Ounce Jar</t>
  </si>
  <si>
    <t>Rao's Homemade, Marinara Sauce, 15.5 oz</t>
  </si>
  <si>
    <t>Victoria Sauce Marinara Low Sodium Jar - 24 Oz</t>
  </si>
  <si>
    <t>Mamma DiSalvo's Authentic Original Recipe Marinara Sauce</t>
  </si>
  <si>
    <t>Lucini Italia Roasted Garlic Marinara Organic Sauce</t>
  </si>
  <si>
    <t>Lucini Italia</t>
  </si>
  <si>
    <t>Classico Four Cheese Pasta Sauce, 3 pk./32 oz.</t>
  </si>
  <si>
    <t>Yo Mama's Foods Keto Tomato Basil Pasta And Spaghetti Sauce, 3 PK</t>
  </si>
  <si>
    <t>PregoÂ® Traditional Sensitive Recipe Low Fodmap Pasta Sauce 23.750 oz</t>
  </si>
  <si>
    <t>Cucina &amp; Amore Pasta Sauce Italian Basilico Tomato Basil &amp; Garlic Jar - 16.8 Oz</t>
  </si>
  <si>
    <t>Frik &amp; Frak Sauce, Classic Marinara</t>
  </si>
  <si>
    <t>Frik &amp; Frak</t>
  </si>
  <si>
    <t>ORGANICO BELLO Organic Mama's Recipe Pasta Sauce, 25 OZ</t>
  </si>
  <si>
    <t>Visit the Organico Bello Store</t>
  </si>
  <si>
    <t>Newman's Own Organic Pasta Sauce, Marinara</t>
  </si>
  <si>
    <t>Heirloom Tomato Sauce, 15 OZ</t>
  </si>
  <si>
    <t>Artisola</t>
  </si>
  <si>
    <t>266398, 266397</t>
  </si>
  <si>
    <t>Mid's Pasta Sauce, Tomato &amp; Roasted Garlic 28 Oz</t>
  </si>
  <si>
    <t>Rao's Homemade Marinara Sauce, 24 oz, All Purpose Tomato Sauce, Pasta Sauce, Carb Conscious, Keto Friendly, All Natural, Premium Quality, With Italian Tomatoes &amp; Olive Oil</t>
  </si>
  <si>
    <t>Orti Di Calabria Butternut Squash Pasta Sauce, 24.3 oz</t>
  </si>
  <si>
    <t>Gino Angelini Foods Pasta Sauce Pomodorini - 24 Oz</t>
  </si>
  <si>
    <t>Gino Angelini</t>
  </si>
  <si>
    <t>Bono Pasta Sauce, Roasted Garlic 24 oz</t>
  </si>
  <si>
    <t>Bono</t>
  </si>
  <si>
    <t>Organicville Organic Pasta Sauce Tomato Basil</t>
  </si>
  <si>
    <t>Nonna Pia's - Puttansca Pasta Sauce</t>
  </si>
  <si>
    <t>Yo Mama's Foods Keto Tomato Basil Pasta And Spaghetti Sauce, 6 PK</t>
  </si>
  <si>
    <t>Bertolli Sauce, Roasted Garlic 23 oz</t>
  </si>
  <si>
    <t>Hunt's Premium Four Cheese Pasta Sauce</t>
  </si>
  <si>
    <t>Prego Pasta Sauce, Italian Tomato Sauce with Meat, 45 Ounce Jar</t>
  </si>
  <si>
    <t>Sun of Italy Marinara Pasta Sauce</t>
  </si>
  <si>
    <t>Sun Of Italy</t>
  </si>
  <si>
    <t>Italiamo cherry tomato sauce</t>
  </si>
  <si>
    <t>Gefn Ns Pasta Sauce - 25 Oz</t>
  </si>
  <si>
    <t>Bertolli Organic Olive Oil, Basil and Garlic Sauce, 3 pk./24 oz.</t>
  </si>
  <si>
    <t>count</t>
  </si>
  <si>
    <t>Pinton Salas para Pastas</t>
  </si>
  <si>
    <t>PINTON</t>
  </si>
  <si>
    <t>Sal Judy Hs Chunky Sauce</t>
  </si>
  <si>
    <t>Sal &amp; Judy's</t>
  </si>
  <si>
    <t>Francesco Rinaldi Pasta Sauce, Traditional</t>
  </si>
  <si>
    <t>TantilloÂ® Reserve Pomodoro Sauce</t>
  </si>
  <si>
    <t>Mids Pasta Sauces Mids Pasta Sauce, 32 oz</t>
  </si>
  <si>
    <t>Rao's, Arrabbiata Sauce, 15.5 OZ</t>
  </si>
  <si>
    <t>Sauces n Love Pasta Sauces, Arrabbiata</t>
  </si>
  <si>
    <t>Sauces n Love</t>
  </si>
  <si>
    <t>ConAgra Foods Hunts Pasta Sauce 26 oz</t>
  </si>
  <si>
    <t>BELLA ITALIA Calabrian Chile Arrabbiata Pasta Sauce, 15 OZ</t>
  </si>
  <si>
    <t>Brand: Guoml</t>
  </si>
  <si>
    <t>Yo Mama's Vodka Tomato Sauce 25 Oz</t>
  </si>
  <si>
    <t>Cucina Antica - Tomato Basil Sauce</t>
  </si>
  <si>
    <t>Paesana Pasta Sauce Roasted Garlic - 25 Oz</t>
  </si>
  <si>
    <t>Terlato Kitchen Sauce Pomodoro Jar - 24 Oz</t>
  </si>
  <si>
    <t>California Olive Ranch Marinara Sauce, California Style 25 oz</t>
  </si>
  <si>
    <t>Filippo Berio Traditional Pasta Sauce</t>
  </si>
  <si>
    <t>Stonewall Kitchen Sauce Traditional Marinara Jar - 18.5 Oz</t>
  </si>
  <si>
    <t>Jersey Italian Gravy Clasic Marinara, 6 PK</t>
  </si>
  <si>
    <t>LaRosa Pasta Sauce 16oz</t>
  </si>
  <si>
    <t>Lucini Sauce, Organic, Spicy Tuscan Tomato 25.5 Oz</t>
  </si>
  <si>
    <t>Mama Valerios Marinara Pasta Sauce</t>
  </si>
  <si>
    <t>Mama Valerio's</t>
  </si>
  <si>
    <t>Classico Tomato and Basil Pasta Sauce</t>
  </si>
  <si>
    <t>BarillaÂ® Vero Gustoâ„¢ Heritage Marinara Non-GMO Verified Pasta Sauce</t>
  </si>
  <si>
    <t>Barilla</t>
  </si>
  <si>
    <t>Pasta Sauce Vodka Premium Quality Gourmet</t>
  </si>
  <si>
    <t>Gino Angelini Amatriciana Pasta Sauce GF, 24 oz</t>
  </si>
  <si>
    <t>Terlato Kitchen Sauce Arrabiatta Jar - 24 Oz</t>
  </si>
  <si>
    <t>Pastene Pasta Sauce, Tomato Garlic 24.3 oz</t>
  </si>
  <si>
    <t>Ragu Traditional Sauce, Chunky 24 Oz</t>
  </si>
  <si>
    <t>CLASSICO - Di Capri Sun Dried Tomato Pasta Sauce</t>
  </si>
  <si>
    <t>Ragu Chunky Super Mushroom Sauce - 24 Ounce - 1 Count</t>
  </si>
  <si>
    <t>Yo Mama's Tomato Sauce, Burgundy Wine, French 25 Oz</t>
  </si>
  <si>
    <t>Jersey Italian Gravy Arrabiata Sauce, 12 PK</t>
  </si>
  <si>
    <t>PregoÂ® Creamy Tomato Basil Pasta Sauce, 23.5 oz Jar</t>
  </si>
  <si>
    <t>Organic Ville Sauce Pasta Marinara</t>
  </si>
  <si>
    <t>Paesana Pasta Sauce Organic Tomato &amp; Basil - 25 Oz</t>
  </si>
  <si>
    <t>Green Mill Pasta Sauce, Marinara</t>
  </si>
  <si>
    <t>green mill</t>
  </si>
  <si>
    <t>Botticelli Tomato &amp; Basil Premium Pasta Sauce, 34.8 oz</t>
  </si>
  <si>
    <t>Fra Diavolo Sauce, 25.5 oz</t>
  </si>
  <si>
    <t>Bionaturae Organic Arrabbiata Pasta Sauce - Tomato Sauce for Spaghetti, Pizza, &amp; Lasagna, Gluten Free, Non GMO, No Added Sugar, Kosher, Glyphosate Free, Made in Italy, Tastes like Homemade - 24 oz Jar</t>
  </si>
  <si>
    <t>Visit the bionaturae Store</t>
  </si>
  <si>
    <t>Sonoma Gourmet Roasted Garlic</t>
  </si>
  <si>
    <t>Cascone's Marinara</t>
  </si>
  <si>
    <t>Little Italy Bronx Sauce Tomato Basil - 24 Oz</t>
  </si>
  <si>
    <t>Little Italy in the Bronx</t>
  </si>
  <si>
    <t>Classico - Tomato &amp; Pesto Sauce</t>
  </si>
  <si>
    <t>Capozzi's Spicy Marinara Sauce</t>
  </si>
  <si>
    <t>ConAgra Foods Hunts Premium Pasta Sauce 26.5 oz</t>
  </si>
  <si>
    <t>Cucina Antica Garlic Marinara Sauce, 32 oz</t>
  </si>
  <si>
    <t>Pompilio's Bolognese Marinara Pasta Sauce</t>
  </si>
  <si>
    <t>Pastene Sauce, Red Clam, Italian Style 15 oz</t>
  </si>
  <si>
    <t>Racconto Pasta Sauce, Platinum, Marinara 24 oz (1 lb 8 oz) 680 g</t>
  </si>
  <si>
    <t>Primal Kitchen Creamy Sundried Tomato and Herb Sauce, 15 oz</t>
  </si>
  <si>
    <t>Michaels Of Brooklyn Tomato &amp; Basil, Fresh 32 oz</t>
  </si>
  <si>
    <t>Michaels of Brooklyn Low Sodium Marinara Sauce, 16 oz</t>
  </si>
  <si>
    <t>De Lallo Clam Sauce, Red, Italian Style 10.5 oz</t>
  </si>
  <si>
    <t>Dell Amore Marinara Sauce Sweet Basil &amp; Garlic Jar - 25 Oz</t>
  </si>
  <si>
    <t>Minimalist Marinara Pasta Sauce</t>
  </si>
  <si>
    <t>Sclafani All Purpose Marinara Sauce, 32 oz</t>
  </si>
  <si>
    <t>Monjunis Pasta Sauce - 15 Oz</t>
  </si>
  <si>
    <t>Monjunis</t>
  </si>
  <si>
    <t>Pizza Girl Pasta Sauce, Vodka, Organic</t>
  </si>
  <si>
    <t>Pizza Girl</t>
  </si>
  <si>
    <t>Germano's Basilico Tomato Basil Sauce</t>
  </si>
  <si>
    <t>Pasta Too Vodka Sauce</t>
  </si>
  <si>
    <t>Victoria Vodka Sauce</t>
  </si>
  <si>
    <t>victoria</t>
  </si>
  <si>
    <t>Jar Goods, Tomato Sauce, Classic Red</t>
  </si>
  <si>
    <t>Little Italy In The Bronx Pasta Sauce 24 oz</t>
  </si>
  <si>
    <t>Sauz Sage and Thyme Marinara Tomato Sauce - 25oz</t>
  </si>
  <si>
    <t>Mantova Basil Sauce - 24 Oz</t>
  </si>
  <si>
    <t>Bongiovi Brand Marinara Pasta Sauce, 24 oz</t>
  </si>
  <si>
    <t>Bongiovi Brand</t>
  </si>
  <si>
    <t>Mushroom Pepper Sauce, 16 oz</t>
  </si>
  <si>
    <t>SIMMER</t>
  </si>
  <si>
    <t>Classico Traditional Sweet Basil Pasta Sauce - 24 Oz</t>
  </si>
  <si>
    <t>262565, 262564</t>
  </si>
  <si>
    <t>Primal Kitchen - Tomato Basil Marinara</t>
  </si>
  <si>
    <t>Prego Chunky Tomato - Onion and Garlic Pasta Sauce - 24 Oz</t>
  </si>
  <si>
    <t>Sauz Wild Rosemary Marinara</t>
  </si>
  <si>
    <t>sauz</t>
  </si>
  <si>
    <t>CARINARA The Original Pasta Sauce</t>
  </si>
  <si>
    <t>Dairy Free Vodka Sauce, 7.5 OZ</t>
  </si>
  <si>
    <t>KITE HILL</t>
  </si>
  <si>
    <t>Frik And Frak Sauce Handsome Devil</t>
  </si>
  <si>
    <t>Francesco Rinaldi Garden Herb Sauce, 24 oz</t>
  </si>
  <si>
    <t>Muir Glen Organic Pasta Sauce Italian Herb - 25.5 Oz</t>
  </si>
  <si>
    <t>DeNunzioâ€™s Specialty Foods Jarred Marinara Sauce</t>
  </si>
  <si>
    <t>Made With Pasta Sauce, Organic, Roasted Garlic 25 oz</t>
  </si>
  <si>
    <t>Made With</t>
  </si>
  <si>
    <t>WisePies Spicy Marinara Roasted Red Bell Pepper Pasta Sauce</t>
  </si>
  <si>
    <t>WisePies</t>
  </si>
  <si>
    <t>wise pies hatch grn chile marinara</t>
  </si>
  <si>
    <t>otamot Spicy Organic Sauce</t>
  </si>
  <si>
    <t>otamot</t>
  </si>
  <si>
    <t>Bertolli Organic Marinara Sauce with Italian Herbs &amp; Fresh Garlic, 24 oz</t>
  </si>
  <si>
    <t>Barilla Roasted Garlic Pasta Sauce - 24 Oz</t>
  </si>
  <si>
    <t>Victoria Marinara Sauce</t>
  </si>
  <si>
    <t>Jersey Italian Gravy - 24 Oz</t>
  </si>
  <si>
    <t>Carfagnas Pasta Sauces 1 qt</t>
  </si>
  <si>
    <t>Carfagnas</t>
  </si>
  <si>
    <t>Mezzetta Sauce, Roasted Garlic</t>
  </si>
  <si>
    <t>Lucini Italia Organic Tuscan Tomato Sauce 24 oz</t>
  </si>
  <si>
    <t>Dell Alpe Sauce Tomatoe Basil - 25 Oz</t>
  </si>
  <si>
    <t>Dell Alpe</t>
  </si>
  <si>
    <t>Only Goodness - Organic Roasted Garlic Pasta Sauce</t>
  </si>
  <si>
    <t>CLASSICO - Di Piemonte Red Wine &amp; Herb Pasta Sauce</t>
  </si>
  <si>
    <t>Ragu Chunky Tomato, Garlic and Onion Pasta Sauce, Made with Diced Tomatoes, 3 pk./45 oz.</t>
  </si>
  <si>
    <t>Muir Glen Pasta Sauce, Spicy Arrabbiata, No Sugar Added</t>
  </si>
  <si>
    <t>Primal Kitchen Veggie Marinara Sauce, 15.5 OZ</t>
  </si>
  <si>
    <t>Visit the Primal Kitchen Store</t>
  </si>
  <si>
    <t>Ragu Old World Style Marinara Sauce - 23.9 Oz</t>
  </si>
  <si>
    <t>Yo Mama's Foods Marinara Magnifica Gourmet Pasta Sauce, 2 PK</t>
  </si>
  <si>
    <t>Francesco Rinaldi Marinara Sauce, 45 oz</t>
  </si>
  <si>
    <t>San Marzano Sauce Arrabbiata Jar - 24 Oz</t>
  </si>
  <si>
    <t>Ferrara Vodka Pasta Sauce, 16 oz</t>
  </si>
  <si>
    <t>Pemberton's Basil Pomodoro Pasta Sauce</t>
  </si>
  <si>
    <t>Pemberton's</t>
  </si>
  <si>
    <t>Organic Marinara Pasta Sauce, 20 OZ</t>
  </si>
  <si>
    <t>BIANCO DINAPOLI</t>
  </si>
  <si>
    <t>Ethnic Cottage Tomato Sauce, Jersey, Vodka</t>
  </si>
  <si>
    <t>Emerils Roasted Gaaahlic Pasta Sauce 25 oz</t>
  </si>
  <si>
    <t>Emerils</t>
  </si>
  <si>
    <t>Paesana Sauce Marinara Natrl - 40 Oz</t>
  </si>
  <si>
    <t>Victoria Organic Pasta Sauce, Tomato Herb, 24 Ounce</t>
  </si>
  <si>
    <t>Brand: Victoria</t>
  </si>
  <si>
    <t>Paesana Marinara Low Sodium Pasta Sauce, 25 oz</t>
  </si>
  <si>
    <t>Del Grosso Chef John's Tomato Basil Sauce 26 oz</t>
  </si>
  <si>
    <t>Pastene Autentico San Marzano Tomato Sauce - 16 Oz</t>
  </si>
  <si>
    <t>Casa Visco - Sauce Psta Hmstyle</t>
  </si>
  <si>
    <t>Frik &amp; Frak The Sauce Classic Marinara - 24 Oz</t>
  </si>
  <si>
    <t>Bella Terra Bolognese Sauce - 24 Oz</t>
  </si>
  <si>
    <t>Roasted Garlic Fra Diavolo, 26 OZ</t>
  </si>
  <si>
    <t>SPINELLIS SAUCE CO</t>
  </si>
  <si>
    <t>Prego Creamy Tomato Pasta Sauce With Ricotta Cheese, 24 Oz - 23.75OZ</t>
  </si>
  <si>
    <t>Classico Marinara Pasta Sauce with Plum Tomatoes &amp; Olive Oil, 24 oz Jar</t>
  </si>
  <si>
    <t>Gia Russa Vodka Pasta Sauce</t>
  </si>
  <si>
    <t>Classico - Fire Roast Tomato &amp; Garlic Pasta Sauce</t>
  </si>
  <si>
    <t>MIDS GARLIC &amp; ONION PASTA SAUCE</t>
  </si>
  <si>
    <t>MIDS</t>
  </si>
  <si>
    <t>Vict Ls Tomato Bas</t>
  </si>
  <si>
    <t>Carbone Arrabbiata Sauce - 24 Oz</t>
  </si>
  <si>
    <t>Mia Cucina Original Marinara Sauce, 24 oz</t>
  </si>
  <si>
    <t>Boves Of Vermont Sauce Pasta Marinara, 24 oz</t>
  </si>
  <si>
    <t>Brand: Boves</t>
  </si>
  <si>
    <t>Victoria Organic Pasta Sauce, Pomodoro, 24 Ounce</t>
  </si>
  <si>
    <t>Del Monte, Meat Flavored Pasta Sauce, 24 oz, Shelf Stable, Metal Can</t>
  </si>
  <si>
    <t>Sal &amp; Judys Sal &amp; Judys Italian Sauce, 25 oz</t>
  </si>
  <si>
    <t>Victoria Low Sodium Vodka Sauce, 24 oz</t>
  </si>
  <si>
    <t>CLASSICO VODKA SAUCE</t>
  </si>
  <si>
    <t>DelGrosso Uncle Jim'sÂ Puttanesca Sauce, 26 oz</t>
  </si>
  <si>
    <t>Botticelli Foods Spicy Vodka Sauce - 24 Oz</t>
  </si>
  <si>
    <t>Mama Valerio's Pasta Sauce with Meat</t>
  </si>
  <si>
    <t>Emerils Home Style Marinara Pasta Sauce 25 oz</t>
  </si>
  <si>
    <t>Mid's Pasta Sauce, Marinara 28 Oz</t>
  </si>
  <si>
    <t>Sonoma Gourmet - Tomato Asiago Sauce</t>
  </si>
  <si>
    <t>Victoria Tomato Basil Sauce, 24 oz</t>
  </si>
  <si>
    <t>Pasta Jay'sÂ® Classic Marinara Pasta Sauce</t>
  </si>
  <si>
    <t>ANDUCCI - My Hot Headed Brother Sauce</t>
  </si>
  <si>
    <t>PregoÂ® Mushroom Pasta Sauce 67.000 oz</t>
  </si>
  <si>
    <t>ALLA FAMIGLIA Marinara Sauce, 24 OZ</t>
  </si>
  <si>
    <t>Brand: Alla Famiglia</t>
  </si>
  <si>
    <t>The Silver Palate Low Sodium Marinara Pasta Sauce, 25 oz</t>
  </si>
  <si>
    <t>Sacia Tomatos Cherry Arrabbiata - 24 Oz</t>
  </si>
  <si>
    <t>Alessi Pasta Sauce, Premium, Fra Diavolo Arrabbiata 24 Oz</t>
  </si>
  <si>
    <t>Alessi</t>
  </si>
  <si>
    <t>Di Bruno Bros. Vodka Cream Tomato Sauce, 24 oz</t>
  </si>
  <si>
    <t>The Pasta Queen Spicy Vodka Sauce, 24 oz Jar</t>
  </si>
  <si>
    <t>The Pasta Queen</t>
  </si>
  <si>
    <t>Gino's Spaghetti Sauce - Chunky Style</t>
  </si>
  <si>
    <t>Alessi Chunky Marinara Sauce</t>
  </si>
  <si>
    <t>Jersey Italian Marinara Sauce, 24 Oz</t>
  </si>
  <si>
    <t>Brand: Jersey Italian Gravy</t>
  </si>
  <si>
    <t>Balducci's Tomato Basil Sauce - 25 OZ</t>
  </si>
  <si>
    <t>EMERILS CHUNKY MARINARA</t>
  </si>
  <si>
    <t>EMERIL</t>
  </si>
  <si>
    <t>CANNIZZARO FAMIGLIA Arrabbiata, 16 OZ</t>
  </si>
  <si>
    <t>Brand: Cannizzaro Famiglia</t>
  </si>
  <si>
    <t>Authentica - World Cuisine Arrabiata Sauce</t>
  </si>
  <si>
    <t>Rao's Homemade Marinara, White Truffle 19 oz</t>
  </si>
  <si>
    <t>Mama Depandi Arrabbiata Sauce</t>
  </si>
  <si>
    <t>Amato's Pasta Sauce</t>
  </si>
  <si>
    <t>Amato's</t>
  </si>
  <si>
    <t>Bono Pasta Sauce, Tomato &amp; Basil 24 oz</t>
  </si>
  <si>
    <t>Delgrosso Pasta Sauce, Three Cheese</t>
  </si>
  <si>
    <t>Little Italy in the Bronx Italian Gravy Traditional Sunday Dinner Sauce, 24 oz</t>
  </si>
  <si>
    <t>Just Like Home Sauce Zesty Tomato Basil &amp; Cheese</t>
  </si>
  <si>
    <t>Racconto Arrabbiatta Pasta Sauce - 24 Oz</t>
  </si>
  <si>
    <t>Mezzetta Pasta Sauce Spicy Plum Tomato - 24 Oz</t>
  </si>
  <si>
    <t>Michaels of Brooklyn Filetto Di Pomodoro, 32 oz</t>
  </si>
  <si>
    <t>Puttanesca Sauce, 15.3 OZ</t>
  </si>
  <si>
    <t>SAUCES N LOVE</t>
  </si>
  <si>
    <t>Victoria Sauce Vod</t>
  </si>
  <si>
    <t>Jersey Italian Gravy Vodka Sauce, 24 oz</t>
  </si>
  <si>
    <t>Aiello's Italian Spaghetti Sauce</t>
  </si>
  <si>
    <t>DEL MONTE GARLIC ONION PASTA SAUCE</t>
  </si>
  <si>
    <t>DEL MONTE</t>
  </si>
  <si>
    <t>MOM's Pasta Sauce Traditional - 24 Ounce - 1 Count</t>
  </si>
  <si>
    <t>MOMS</t>
  </si>
  <si>
    <t>Brooklyn's Best Silver Star Fra D'Avolo Sauce, 25 oz</t>
  </si>
  <si>
    <t>Sauce Tomato Cream Vodka, 24 OZ</t>
  </si>
  <si>
    <t>RagÃº Kettle Cooked Tomato Basil Sauce, 24 oz</t>
  </si>
  <si>
    <t>RagÃº</t>
  </si>
  <si>
    <t>Carbone Sauce Sweet Pepper Onion - 24 OZ</t>
  </si>
  <si>
    <t>Orti Di Calabria Bolognese Tomato &amp; Pork Pasta Sauce, 24.3 oz</t>
  </si>
  <si>
    <t>Heat Tomato Pasta Sauce, 24 OZ</t>
  </si>
  <si>
    <t>Montes Fine Foods</t>
  </si>
  <si>
    <t>Carbone Fine Foods Spicy Vodka Pasta Sauce, 22 oz., 2 pk.</t>
  </si>
  <si>
    <t>Sonoma Gourmet Creamy Buffalo Ranch Pasta Sauce</t>
  </si>
  <si>
    <t>Chef Mel - 3 Cheese Pasta Sauce (24 Oz)</t>
  </si>
  <si>
    <t>CHEF MEL</t>
  </si>
  <si>
    <t>Classico - Roasted Portobello Mushroom</t>
  </si>
  <si>
    <t>Barilla - Vero Gusto Calabrian Marinara</t>
  </si>
  <si>
    <t>Taste Of The Hill - Mushroom &amp; Onion Pasta Sauce (26 Oz)</t>
  </si>
  <si>
    <t>TASTE OF THE HILL</t>
  </si>
  <si>
    <t>Mid's Pasta Sauce, Tomato Basil 28 Oz</t>
  </si>
  <si>
    <t>Ragu Old World Style Traditional Sauce, 8.5 lbs.</t>
  </si>
  <si>
    <t>Carbone Four Cheese Sauce 24 oz</t>
  </si>
  <si>
    <t>Prego Traditional Pasta Sauce, Jars, 3 pk./45 oz.</t>
  </si>
  <si>
    <t>Rao's Sauce, Italian Sausage &amp; Mushroom 24 Oz</t>
  </si>
  <si>
    <t>Just Like Home Sauce NY Lip Smackin' Garlic</t>
  </si>
  <si>
    <t>Bono, Pasta Sauce, Arrabbiata</t>
  </si>
  <si>
    <t>Daves Gourmet Organic Pasta Sauce Spicy Heirloom Jar - 25.5 Oz</t>
  </si>
  <si>
    <t>Four J Meatball Sauce, 24 oz</t>
  </si>
  <si>
    <t>Four J</t>
  </si>
  <si>
    <t>Taste of the Hill Four Cheese Pasta Sauce, 24 oz</t>
  </si>
  <si>
    <t>Little Italy Bronx Sauce Vodka Marinara - 24 Oz</t>
  </si>
  <si>
    <t>Delgrosso Pasta Sauce, Meatless</t>
  </si>
  <si>
    <t>Nonna Carmen Italian Style Spaghetti Sauce with Basil, 24 oz</t>
  </si>
  <si>
    <t>Nonna Carmen</t>
  </si>
  <si>
    <t>Pemberton's Arrabbiata Spicy Pasta Sauce</t>
  </si>
  <si>
    <t>FRANCESCO RINALDI MEAT SPAGHETTI SAUCE</t>
  </si>
  <si>
    <t>FRANCESCO RINALDI</t>
  </si>
  <si>
    <t>Sclafani Medium Fra Diavolo Sauce, 32 oz</t>
  </si>
  <si>
    <t>FRATELLI BUTTERNUT SQUASH SAUCE</t>
  </si>
  <si>
    <t>Only Goodness - Organic Marinara Pasta Sauce</t>
  </si>
  <si>
    <t>Raos Homemade Sauce Marinara Jar - 24 Oz</t>
  </si>
  <si>
    <t>Mantova - Mantova Organic Alfredo Garl</t>
  </si>
  <si>
    <t>Monte Bene Pasta Sauce, Vodka 24 oz</t>
  </si>
  <si>
    <t>Monte Bene</t>
  </si>
  <si>
    <t>Yo Mama's Foods Keto Spicy Marinara Sauce, 4 PK</t>
  </si>
  <si>
    <t>Prego Marinara Sauce</t>
  </si>
  <si>
    <t>LUCINI Organic Sensitive Pasta Sauce, 16.5 OZ</t>
  </si>
  <si>
    <t>Ragu Kettle Cooked Marinara Pasta Sauce - 24 Oz</t>
  </si>
  <si>
    <t>Prego Pasta Sauce, Garden Harvest ChunkyÂ Tomato Sauce with Onion and Garlic, 45 Ounce Jar</t>
  </si>
  <si>
    <t>Rao's Homemade Marinara Sauce, 32 oz</t>
  </si>
  <si>
    <t>Giusto Fra Diavolo</t>
  </si>
  <si>
    <t>Cucina Antica Garlic Marinara Sauce, 25 oz</t>
  </si>
  <si>
    <t xml:space="preserve">Mister C's Spaghetti Sauce </t>
  </si>
  <si>
    <t>Mister C's</t>
  </si>
  <si>
    <t>Classico Tomato &amp; Basil Pasta Sauce, 24 oz Jar</t>
  </si>
  <si>
    <t>Zias - Pasta Sauce (26 Oz)</t>
  </si>
  <si>
    <t>ZIAS</t>
  </si>
  <si>
    <t>Victoria Vodka Sauce, 40 oz</t>
  </si>
  <si>
    <t>Holla! Vodka Pasta Sauce by Frik &amp; Frak, No Sugar Added, No Preservatives, Gluten Free, 36 Month Shelf Life, Artisan Small Batch Crafted Pasta Sauces, 24 Oz Jar</t>
  </si>
  <si>
    <t>Visit the Frik &amp; Frak Store</t>
  </si>
  <si>
    <t>Little Venice Pasta Sauce</t>
  </si>
  <si>
    <t>Little Venice</t>
  </si>
  <si>
    <t>Prego Creamy Vodka Pasta Sauce, 24 oz Jar</t>
  </si>
  <si>
    <t>Pasta Prima Heirloom Marinara Sauce</t>
  </si>
  <si>
    <t>pasta prima</t>
  </si>
  <si>
    <t>Sauces N Love Pomodoro Basilico Pasta Sauce - 15.3 Oz.</t>
  </si>
  <si>
    <t>ClassicoÂ® Tomato &amp; Basil Pasta Sauce</t>
  </si>
  <si>
    <t>Papa Rico's Classic Red Sauce Mild</t>
  </si>
  <si>
    <t>Cajun Power Spghti Sce</t>
  </si>
  <si>
    <t>Sauz | Hot Honey Marinara (Single Jar) Thick &amp; Creamy- Gluten-Free, Non-GMO, and 100% Delicious - Crafted in Small Batches for Michelin-Star Delight - Clean ingredients 25 OZ</t>
  </si>
  <si>
    <t>Visit the Sauz Store</t>
  </si>
  <si>
    <t>Hunt's - Pasta Sauce, Thick &amp; Rich Spicy Red Pepper Chilies</t>
  </si>
  <si>
    <t>Primos Del Primo Red Sauce bottle Vegan and Gluten Free, 12.88 oz</t>
  </si>
  <si>
    <t>Del Primo</t>
  </si>
  <si>
    <t>De Massimos Sauce Pasta Tomato Basil - 32 Oz</t>
  </si>
  <si>
    <t>Francesco Rinaldi Savory Meat Sauce, 23.5 oz</t>
  </si>
  <si>
    <t>Muir Glen Pasta Sauce, Fire Roasted Tomato</t>
  </si>
  <si>
    <t>Minimalist Tomato Basil Pasta Sauce</t>
  </si>
  <si>
    <t>Bertolli Sauce, Organic, Fire Roasted Garlic Marinara 24 oz</t>
  </si>
  <si>
    <t>Orti Di Calabria Garlic Tomato &amp; Chili Stir In Sauce, 9.8 oz</t>
  </si>
  <si>
    <t>Mama Depandi Pomodoro Sauce</t>
  </si>
  <si>
    <t>Sonny's Spaghetti Sauce</t>
  </si>
  <si>
    <t>Bertolli Tomato and Basil Sauce - 24 Oz</t>
  </si>
  <si>
    <t>Jersey Tomato Co. Sauce Spicy - 24 Oz</t>
  </si>
  <si>
    <t>The Jersey Tomato Co.</t>
  </si>
  <si>
    <t>The Jersey Tomato Co</t>
  </si>
  <si>
    <t>Lidias Pasta Sauce Marinara - 32 Oz</t>
  </si>
  <si>
    <t>Lidia's</t>
  </si>
  <si>
    <t>Nanina's In The Park Tomato &amp; Basil Premium Quality Gourmet Pasta Sauce, 23.25 oz</t>
  </si>
  <si>
    <t>Carfagnas Sauce, Vodka</t>
  </si>
  <si>
    <t>Anthoninos - Taverna Marinara Sauce (24 Oz)</t>
  </si>
  <si>
    <t>ANTHONINOS</t>
  </si>
  <si>
    <t>Bertolli Pasta Sauce with Spicy Italian Sausage and Romano Cheese, Spaghetti Tomato Sauce, 24 oz</t>
  </si>
  <si>
    <t>Prego Fire Roasted Tomato Pasta Sauce - 23.5 Oz</t>
  </si>
  <si>
    <t>PREGO</t>
  </si>
  <si>
    <t>Pastene Kitchen Ready Seasoned Starter Pasta Sauce, 28 oz</t>
  </si>
  <si>
    <t>Filippo Berio Arrabbiata Sauce, 24 oz</t>
  </si>
  <si>
    <t>Bertolli Sauce, Creamy Rosa 24.7 ea</t>
  </si>
  <si>
    <t>Newman's Own Roasted Garlic Pasta Sauce 24 oz</t>
  </si>
  <si>
    <t>Only Goodness - Plant-Based Bolognese Style Pasta Sauce</t>
  </si>
  <si>
    <t>Classico Organic Tomato, Herbs &amp; Spices Pasta Sauce, 3 ct./32 oz.</t>
  </si>
  <si>
    <t>BELLA ITALIA Organic Tomato Ricotta Pasta Sauce, 13.9 OZ</t>
  </si>
  <si>
    <t>Bove's Organic Basil Pasta Sauce</t>
  </si>
  <si>
    <t>Pizza Girl Inc Pasta Sauce Arrabbiat Organic - 24 OZ</t>
  </si>
  <si>
    <t>Hunts Traditional Spaghetti Sauce - Case</t>
  </si>
  <si>
    <t>Hunts</t>
  </si>
  <si>
    <t>Delallo Marinara, Fat Free, Pomodoro Fresco</t>
  </si>
  <si>
    <t>Botticelli - Parmigiano Reggiano Pasta Sauce (24 Oz)</t>
  </si>
  <si>
    <t>BOTTICELLI</t>
  </si>
  <si>
    <t>Ragu No Sugar Added Traditional Sauce 24 oz</t>
  </si>
  <si>
    <t>MIDS PASTA SAUCE TRAD MEATLESS</t>
  </si>
  <si>
    <t>The Pasta Queen Arrabbiata Sauce, 24 oz Jar</t>
  </si>
  <si>
    <t>PregoÂ® Traditional Italian Pasta Sauce</t>
  </si>
  <si>
    <t>Rao's Homemade Tomato Sauce | Roasted Garlic | 24 oz | Versatile Pasta Sauce | Carb Conscious, Keto Friendly | All Natural, Premium Quality | Made with Sweet Italian Tomatoes and Caramelized Garlic</t>
  </si>
  <si>
    <t>Orti Di Calabria Mushroom Ragu, 22.9 oz</t>
  </si>
  <si>
    <t>Carbone Tomato And Basil Sauce - 24 Oz</t>
  </si>
  <si>
    <t>Yo Mama's Foods Keto Vodka Pasta Sauce, 2 PK</t>
  </si>
  <si>
    <t>Francesco Rinaldi Spicy Arrabbiata Marinara Sauce, 24 oz</t>
  </si>
  <si>
    <t>Tuscanini Napoletana Pasta Sauce, 24.3 oz</t>
  </si>
  <si>
    <t>Tuscanini</t>
  </si>
  <si>
    <t>Prego - Pasta Sauce - Tomato, Onion &amp; Garlic</t>
  </si>
  <si>
    <t>Agromonte Pasta Sauce of Cherry Tomato and Roasted Garlic</t>
  </si>
  <si>
    <t>Agromonte</t>
  </si>
  <si>
    <t>DeLalloÂ® Pomodoro Fresco Creamy Vodka Pasta Sauce</t>
  </si>
  <si>
    <t>Carbone Basil Tomato Sauce - 32 Oz</t>
  </si>
  <si>
    <t>Delallo Pomodoro Fresco, Tomato Basil 25.25 Oz</t>
  </si>
  <si>
    <t>Romano's Marinara Pasta Sauce</t>
  </si>
  <si>
    <t>Rao's Homemade Marinara Sauce</t>
  </si>
  <si>
    <t>Cucina &amp; Amore Puttanesca Pasta Sauce</t>
  </si>
  <si>
    <t>Sonoma Gourmet Creamy Parmesan Tomato Sauce  - 24.5 Oz</t>
  </si>
  <si>
    <t>Carbone Sauce, Mushroom</t>
  </si>
  <si>
    <t>Little Italy in the Bronx Sauce, Arrabbiata</t>
  </si>
  <si>
    <t>Rao's Mushroom &amp; Bell Pepper Sauce, 24oz</t>
  </si>
  <si>
    <t>Michael's of Brooklyn Marinara Sauce, 32 oz</t>
  </si>
  <si>
    <t>261670, 261671</t>
  </si>
  <si>
    <t>Nonna Pia's - Siciliana Pasta Sauce</t>
  </si>
  <si>
    <t>Carbone Italian Tomatoes Marinara 24 Oz</t>
  </si>
  <si>
    <t>Classico - Roasted Portobello Mushrooms Spaghetti Pasta Sauce</t>
  </si>
  <si>
    <t>Sonoma Gourmet Organic Vodka &amp; Cream Pasta Sauce, 25 oz</t>
  </si>
  <si>
    <t>Sauces n Love Pasta Sauces, Sugo Rosa</t>
  </si>
  <si>
    <t>newman's Own - Italian Sausage Peppers Sce</t>
  </si>
  <si>
    <t>Yo Mamas Foods Tomato Sauce Spicy Marinara - 25 Oz</t>
  </si>
  <si>
    <t>the meatball shop creamy tomato basil pasta sauce</t>
  </si>
  <si>
    <t>La Pasta Sauce Pink Vodka Pasta Tub</t>
  </si>
  <si>
    <t>CATELLI - Garden Select Garlic &amp; Onion</t>
  </si>
  <si>
    <t>CATELLI</t>
  </si>
  <si>
    <t>Barilla Fire Roasted Marinara</t>
  </si>
  <si>
    <t>Carbone Marinara Delicato Pasta Sauce</t>
  </si>
  <si>
    <t>Pizza Girl Inc Pasta Sauce Marinara Organic - 24 OZ</t>
  </si>
  <si>
    <t>Ragu Chunky Tomato, Garlic and Onion Pasta Sauce</t>
  </si>
  <si>
    <t>Bklyn Best Marinara Sce</t>
  </si>
  <si>
    <t>Sal &amp; Judys Italian Sauce, Original</t>
  </si>
  <si>
    <t>Sal &amp; Judys</t>
  </si>
  <si>
    <t>Classico - Italian Sausage Peppers &amp; Onion Sauce</t>
  </si>
  <si>
    <t>MadeWith Tomato Basil Organic Pasta Sauce - 24 Ounce</t>
  </si>
  <si>
    <t>Classico Tomato &amp; Basil Spaghetti Pasta Sauce</t>
  </si>
  <si>
    <t>Philomena Tomato Basil Sauce - 25 OZ</t>
  </si>
  <si>
    <t>Classico Pasta Sauce, Parmesan &amp; Romano 24 Oz</t>
  </si>
  <si>
    <t>Botticelli Foods Llc Sauce Diavolo - 24 Oz</t>
  </si>
  <si>
    <t>Newman's Own Fire Roasted Tomato &amp; Garlic Patsa Sauce</t>
  </si>
  <si>
    <t>The Pasta Queen Marinara Sauce, 24 oz Jar</t>
  </si>
  <si>
    <t>Yo Mama's Foods Keto Marinara Pasta Sauce, No Sugar Added</t>
  </si>
  <si>
    <t>Frescorti Marinara Pasta Sauce</t>
  </si>
  <si>
    <t>Frescorti</t>
  </si>
  <si>
    <t>Botticelli Pasta Sauce, Premium, Vegan, Bolognese 24 oz</t>
  </si>
  <si>
    <t>Creamy Tomato Vodka Sauce, 26 OZ</t>
  </si>
  <si>
    <t>THE SILVER PALATE Fra Diavolo Sauce</t>
  </si>
  <si>
    <t>THE SILVER PALATE</t>
  </si>
  <si>
    <t>Cucina Antica Tomato Basil Sauce, 25 oz</t>
  </si>
  <si>
    <t>Pompilio's Spicy Puttanesca Pasta Sauce</t>
  </si>
  <si>
    <t>Spinato's Vodka Cream Sauce</t>
  </si>
  <si>
    <t>Pasta Sauce, Grandma's Sausage &amp; Fennel 26 oz</t>
  </si>
  <si>
    <t>The Singing Chef</t>
  </si>
  <si>
    <t>Pirros Bolognese Sauce - 24 Oz</t>
  </si>
  <si>
    <t>Racconto Riserva Bolognese</t>
  </si>
  <si>
    <t>SEGGIANO Organic Basilico Pasta Sauce, 24 OZ</t>
  </si>
  <si>
    <t>Sonoma Gourmet - Spicy Serrano Marinara</t>
  </si>
  <si>
    <t>Prairie Harvest - Organic Roasted Garlic Pasta Sauce</t>
  </si>
  <si>
    <t>Prairie Harvest</t>
  </si>
  <si>
    <t>Muir Glen Pasta Sauce, Garden Vegetable 25.5 oz</t>
  </si>
  <si>
    <t>Casa Visco Carmellas Homestyle Sauce Spaghetti With Mushroom - 32 Oz</t>
  </si>
  <si>
    <t>Raos Sauce Tomato Basil - 32 Oz</t>
  </si>
  <si>
    <t>Paesana Sicilian Gravy Style Pasta Sauce, 25 oz</t>
  </si>
  <si>
    <t>Classico Roasted Garlic Pasta Sauce 24 oz</t>
  </si>
  <si>
    <t>De Massimo's Arrabbiata Sauce, Subtle Heat</t>
  </si>
  <si>
    <t>ANDUCCI - Anducci My Nonnas Garden Sauce</t>
  </si>
  <si>
    <t>Jersey Italian Gravy Vodka Sauce, 12 PK</t>
  </si>
  <si>
    <t>Sclafani Vodka Sauce with Real Cream</t>
  </si>
  <si>
    <t>Del Monte, Four Cheese Pasta Sauce, 24 oz, Shelf Stable, Aluminum Can</t>
  </si>
  <si>
    <t>Sauce Yellow Pasta</t>
  </si>
  <si>
    <t>Francesco Rinaldi Pasta Sauce, Tomato &amp; Basil</t>
  </si>
  <si>
    <t>Dell Alpe Sauce Pasta Vodka - 25 Oz</t>
  </si>
  <si>
    <t>Furmano's Spaghetti Sauce - Italian Style, 28 oz</t>
  </si>
  <si>
    <t>Furmano's</t>
  </si>
  <si>
    <t>Prego - Farmers Mkt Marinara Sce</t>
  </si>
  <si>
    <t>Casa Visco Meat Pasta Sauce</t>
  </si>
  <si>
    <t>Rao's Creamy Marinara Sauce 24oz - 24 OZ</t>
  </si>
  <si>
    <t>STEFANO Faita - Tomato Basil Pasta Sauce</t>
  </si>
  <si>
    <t>Eat Happy Kitchen Arrabbiata Spicy Marinara - 25 Oz</t>
  </si>
  <si>
    <t>Stonewall Kitchen Sauce Truffle Marinara Jar - 17.5 Oz</t>
  </si>
  <si>
    <t>Ragu Sauce, Traditional, Old World Style 14 oz</t>
  </si>
  <si>
    <t>LaDoriaBasil, PLCHD cont-3rd party agency</t>
  </si>
  <si>
    <t>PregoÂ® Chunky Tomato Basil and Garlic Pasta Sauce</t>
  </si>
  <si>
    <t>Goya - Sofrito Tomato Cooking Base (12 Oz)</t>
  </si>
  <si>
    <t>GOYA</t>
  </si>
  <si>
    <t>Amato's Marinara Sauce</t>
  </si>
  <si>
    <t>the meatball shop spicy-ish arrabbiata sauce, 24 oz</t>
  </si>
  <si>
    <t>Brooklyn's Best Silver Star Tomato &amp; Basil Sauce, 25 oz</t>
  </si>
  <si>
    <t>Prego Traditional Tomato Italian Pasta Sauce, Value Size Jar, 38 oz</t>
  </si>
  <si>
    <t>The Silver Palate Low Sodium San Marzano Blend Tomato Basil Pasta Sauce</t>
  </si>
  <si>
    <t>the silver palate</t>
  </si>
  <si>
    <t>Green Mill Tomato Basil Pasta Sauce, Gluten Free</t>
  </si>
  <si>
    <t>Green Mill</t>
  </si>
  <si>
    <t>Tomato Basil Sauce, 15 OZ</t>
  </si>
  <si>
    <t>ISOLA</t>
  </si>
  <si>
    <t>Mid's Marinara</t>
  </si>
  <si>
    <t>Organico Bello Organic Spicy Marinara Pasta Sauce</t>
  </si>
  <si>
    <t>Rao's Sauce, Tomato Herb 24 oz</t>
  </si>
  <si>
    <t>Pastene Tomato Sauce, The Chateau Restaurant 24 oz</t>
  </si>
  <si>
    <t>Green Mill Pasta Sauce, Bold, Gluten Free, Italian</t>
  </si>
  <si>
    <t>LIDIA'A Tomato Basil</t>
  </si>
  <si>
    <t>LIDIA'A</t>
  </si>
  <si>
    <t>Mantova Italian Roasted Garlic Tomato Sauce - 24 Oz</t>
  </si>
  <si>
    <t>Fratelli Mantova</t>
  </si>
  <si>
    <t>Delallo Pasta Sauce, Arrabbiata, Premium</t>
  </si>
  <si>
    <t>Mantova Tomato &amp; Parmigiano Reggiano Sauce - 24 Oz</t>
  </si>
  <si>
    <t>DelGrosso Pasta Sauce Pepperoni Flavored</t>
  </si>
  <si>
    <t>Larosa's Onion &amp; Garlic  Sauce ,24 oz PET Jar</t>
  </si>
  <si>
    <t>Dei Fratelli Pasta Sauce, Tomato &amp; Basil</t>
  </si>
  <si>
    <t>Raos Homemade Sauce Vodka Jar - 24 Oz</t>
  </si>
  <si>
    <t>Rao's Four Cheese Sauce, 24 oz</t>
  </si>
  <si>
    <t>ANDUCCI - Anducci Simply Tomato Sauce</t>
  </si>
  <si>
    <t>Del Grosso Pasta Sauce, Premium, Organic, Roasted Garlic 24 oz</t>
  </si>
  <si>
    <t>Organico Bello Organic Pasta Sauce Marinara -- 25 Oz</t>
  </si>
  <si>
    <t>Orti Di Calabria Vegan Bolognese Sauce</t>
  </si>
  <si>
    <t>cucina antica sauce keto marinara</t>
  </si>
  <si>
    <t>TantilloÂ® Reserve Tomato Basil Pasta Sauce</t>
  </si>
  <si>
    <t>Mutti Parm Reg Pasta Sauce</t>
  </si>
  <si>
    <t>Cortazzo Arrabbiata Spicy Marinara Pasta Sauce</t>
  </si>
  <si>
    <t>Classico Tomato &amp; Basil Pasta Sauce, 24 oz., 3 pk.</t>
  </si>
  <si>
    <t>Eat Happy Kitchen Sauce Marinara - 25 Ounce</t>
  </si>
  <si>
    <t>EAT HAPPY KITCHEN</t>
  </si>
  <si>
    <t>Chef Boyardee Spaghetti Sauce With Meat</t>
  </si>
  <si>
    <t>Chef Boyardee</t>
  </si>
  <si>
    <t>Marinara Alla Pappy, 24 OZ</t>
  </si>
  <si>
    <t>Carbone Spicy Vodka Sauce</t>
  </si>
  <si>
    <t>Prego - Pasta Sauce - Fresh Mushrooms</t>
  </si>
  <si>
    <t>Prego Three Cheese Pasta Sauce, 24 Oz Jar</t>
  </si>
  <si>
    <t>Visit the Prego Store</t>
  </si>
  <si>
    <t>Racconto Passata - 24 Oz</t>
  </si>
  <si>
    <t>STEFANO Faita - Marinara Pasta Sauce</t>
  </si>
  <si>
    <t>Bertolli - Italian Sausage Sauce</t>
  </si>
  <si>
    <t>Livwell Pasta Sauce, Butternut &amp; Sage</t>
  </si>
  <si>
    <t>Ofc Spaghetti Sauce, Sweet Filipino Style 1 kg</t>
  </si>
  <si>
    <t>OFC</t>
  </si>
  <si>
    <t>The Jersey Tomato Co. Roasted Garlic Sauce, 25 oz</t>
  </si>
  <si>
    <t>Rg Italian Style Tomato Sauce - 8 Oz</t>
  </si>
  <si>
    <t>Rio Grande</t>
  </si>
  <si>
    <t>Viviano's - Garlic Basil Pasta Sauce (33 Oz)</t>
  </si>
  <si>
    <t>VIVIANO'S</t>
  </si>
  <si>
    <t>Botticelli Pasta Sauce, Grilled Pepper, Premium 24 oz</t>
  </si>
  <si>
    <t>Carbone Marinara Sauce - 32 Oz</t>
  </si>
  <si>
    <t>Barilla Basil &amp; Simmered Onion Marinara Pasta Sauce 24 Oz</t>
  </si>
  <si>
    <t>Ragu Sauce, Six Cheese, Chunky 24 oz</t>
  </si>
  <si>
    <t>Buitoni Marinara Sauce 15 oz</t>
  </si>
  <si>
    <t>Filippo Berio Mushroom Pasta Sauce 24 oz (680 g)</t>
  </si>
  <si>
    <t>Il Mulino Sauce Marinara - 24 Oz</t>
  </si>
  <si>
    <t>Il Mulino</t>
  </si>
  <si>
    <t>Graziano Bros. Calabrian-Style Pasta Sauce</t>
  </si>
  <si>
    <t>Fody Sensitive Pasta Sauce, Marinara</t>
  </si>
  <si>
    <t>Delallo Pomodoro Fresco, Four Cheese</t>
  </si>
  <si>
    <t>Mid's Pasta Sauce, Meat Bolognese 28 Oz</t>
  </si>
  <si>
    <t>Goya Sofrito Seasoning Sauce</t>
  </si>
  <si>
    <t>Goya</t>
  </si>
  <si>
    <t>Isola Italian Vodka Sauce â€“ Gourmet Tomato Sauce with Cream &amp; Mascarpone, No Sugar Added, Authentic Italian Pasta Sauce for Chefs &amp; Culinary Lovers â€“ 25 oz Jar</t>
  </si>
  <si>
    <t>Visit the Isola Store</t>
  </si>
  <si>
    <t>Moms Pasta Sauce Garlic Marinara Jar - 24 Oz</t>
  </si>
  <si>
    <t>Prego Creamy Tomato Pasta Sauce With Garlic, 24 Oz - 23.75 OZ</t>
  </si>
  <si>
    <t>Classico - Four Cheese Spaghetti Pasta Sauce</t>
  </si>
  <si>
    <t>Stonewall Kitchen Vodka Sauce, Classic 18.5 oz</t>
  </si>
  <si>
    <t>CREDO FOODS Plant Based Alfredo Rosa Sauce, 15 OZ</t>
  </si>
  <si>
    <t>Brand: CREDO</t>
  </si>
  <si>
    <t>Buona Marinara Sauce With Rigatoni &amp; Meatballs - 53 Oz</t>
  </si>
  <si>
    <t>Delallo Sauce, Vodka</t>
  </si>
  <si>
    <t>Don Pomodoro Sauce Vodka Jar - 24.3 Oz</t>
  </si>
  <si>
    <t>Bove's Organic Marinara</t>
  </si>
  <si>
    <t>Pastene Autentico Harvest Vegetable Sauce - 16 Oz</t>
  </si>
  <si>
    <t>Carmine's Homemade Classic Italian Tomato Basil Sauce, 32 oz</t>
  </si>
  <si>
    <t>Papa Joe's Original Spaghetti Sauce</t>
  </si>
  <si>
    <t>San Marzano Marinara Sauce 23.5 oz</t>
  </si>
  <si>
    <t>San Marzano</t>
  </si>
  <si>
    <t>Nonna Carmen Italian Style Vodka Sauce, 24 oz</t>
  </si>
  <si>
    <t>Alessi Marinara Sauce, Smooth 24 oz</t>
  </si>
  <si>
    <t>Bella Terra Italian Sausage Sauce - 24 Oz</t>
  </si>
  <si>
    <t>FANNY'S All Natural Meat Sauce</t>
  </si>
  <si>
    <t>FANNY'S</t>
  </si>
  <si>
    <t>Yo Mama's Spicy Marinara Tomato Sauce</t>
  </si>
  <si>
    <t>Yo Mama's Foods No Sugar Added, Low Carb, Marinara Sauce, 3 PK</t>
  </si>
  <si>
    <t>Orti Di Calabria Tomato &amp; Garlic Marinara Pasta Sauce, 24.3 oz</t>
  </si>
  <si>
    <t>Sturdy Sauce Garlic Herb - 16 OZ</t>
  </si>
  <si>
    <t>Sturdy</t>
  </si>
  <si>
    <t>Carbone Fine Foods Tomato Basil Pasta Sauce, 22 oz., 2 pk.</t>
  </si>
  <si>
    <t>PregoÂ® Marinara Sauce 23.000 oz</t>
  </si>
  <si>
    <t>Nonna's Recipe San Marzano Tomato Sauce, 25 OZ</t>
  </si>
  <si>
    <t>CUCINA ANTICA</t>
  </si>
  <si>
    <t>Gradys Garden Marinara Pasta Sauce - 24 OZ</t>
  </si>
  <si>
    <t>Chef Mel - Sweet Sicilian Style Gourmet Pasta Sauce (24 Oz)</t>
  </si>
  <si>
    <t>Ragu Old World Style Traditional Pasta Sauce, Made with Olive Oil, 24 oz</t>
  </si>
  <si>
    <t>Perfect Pasta Rigatoni and Vodka Sauce, 10 oz</t>
  </si>
  <si>
    <t>Botticelli Tomato Basil Pasta 48 oz</t>
  </si>
  <si>
    <t>Gia Russia Low Sodium Pasta Sauce - 24 Oz</t>
  </si>
  <si>
    <t>Nanina's In The Park Tomato &amp; Basil Premium Quality Gourmet Pasta Sauce, 24 oz</t>
  </si>
  <si>
    <t>Pink Crema Pasta Sauce - 26 Oz</t>
  </si>
  <si>
    <t>Eat Happy Kitchen</t>
  </si>
  <si>
    <t>Ken's Steak House Marinara Sauce</t>
  </si>
  <si>
    <t>Ken's Steak House</t>
  </si>
  <si>
    <t>Little Italy in the Bronx Rosa Alfredo with Parmigiano-Reggiano Cheese Sauce, 15 oz</t>
  </si>
  <si>
    <t>Monte Bene Tomato Basil Pasta Sauce, 24 oz</t>
  </si>
  <si>
    <t>Mezzetta Family Recipes Three Cheese Sauce - 25 Oz</t>
  </si>
  <si>
    <t>Filippo Berio Oregano and Mild Garlic Marinara Sauce, 24 oz</t>
  </si>
  <si>
    <t>RAOS 40OZ VODKA SAUCE</t>
  </si>
  <si>
    <t>Delgrosso Pasta Sauce Immaculate Marinara</t>
  </si>
  <si>
    <t>Mantova Organic Vodka Sauce</t>
  </si>
  <si>
    <t>TantilloÂ® Reserve Roasted Garlic Pasta Sauce</t>
  </si>
  <si>
    <t>Vodka Sauce, 24 OZ</t>
  </si>
  <si>
    <t>ALLA FAMIGLIA</t>
  </si>
  <si>
    <t>Spinato's Tomato Basil Sauce</t>
  </si>
  <si>
    <t>Organic Sensitive Marinara Sauce, 24 OZ</t>
  </si>
  <si>
    <t>Ragu Simply Tomato Basil Pasta Sauce</t>
  </si>
  <si>
    <t>Rao's HomemadeÂ® Limited Reserve Porcini</t>
  </si>
  <si>
    <t>Le Sauce &amp; Co. Tomato Basil Gourmet Pasta Sauce, 8.8 oz, 2 Serving Pouch</t>
  </si>
  <si>
    <t>Rao's Homemade Sauce, Four Cheese 32 oz</t>
  </si>
  <si>
    <t>Botticelli Premium Traditional Pasta Sauce 24 oz</t>
  </si>
  <si>
    <t>Mutti Marinara Sauce - 24 Oz</t>
  </si>
  <si>
    <t>Basha Hot n' Zesty Spaghetti Sauce</t>
  </si>
  <si>
    <t>Basha</t>
  </si>
  <si>
    <t>Yo Mama's Foods Keto Friendly Gourmet Pasta Sauce Collection, 6 PK</t>
  </si>
  <si>
    <t>Lucini Italia Organic Rustic Tomato Basil Sauce 24 Oz</t>
  </si>
  <si>
    <t>Truff Pasta Sauce Black Truffle Pomodoro - 17 Oz</t>
  </si>
  <si>
    <t>Truff</t>
  </si>
  <si>
    <t>Rao's Homemade Sauce, Fire Grilled Vegetable 24 oz</t>
  </si>
  <si>
    <t>Classico Four Cheese Spaghetti Pasta Sauce Value Size, 44 oz Jar</t>
  </si>
  <si>
    <t>PregoÂ® Tomato Basil Garlic Pasta Sauce 24.000 Oz</t>
  </si>
  <si>
    <t>Sonoma Gourmet - Tomato Basil Alfredo</t>
  </si>
  <si>
    <t>Pompilios Marinara Classico Pasta Sauce</t>
  </si>
  <si>
    <t>Cortazzo Fresh Tomatoes &amp; Basil Marinara Pasta Sauce</t>
  </si>
  <si>
    <t>Stella Rosa Arrabbiata Sauce</t>
  </si>
  <si>
    <t>Primal Kitchen - Vodka Sauce ND</t>
  </si>
  <si>
    <t>Truff Pasta Sauce Black Truffle Arrabbiata - 17 Oz</t>
  </si>
  <si>
    <t>Prego - Pasta Sauce - Original</t>
  </si>
  <si>
    <t>Cucina Antica Cooking Sauce, Premium, La Vodka</t>
  </si>
  <si>
    <t>cucina antica</t>
  </si>
  <si>
    <t>Authentica - World Cuisine Siciliana Sauce</t>
  </si>
  <si>
    <t>Ragu Chunky Garden Combination Pasta Sauce, 45 oz</t>
  </si>
  <si>
    <t>Cracked Pepper &amp; Parmesan, 25 OZ</t>
  </si>
  <si>
    <t>Giannotti Special Marinara With Blended Imported Cheeses Pasta Sauce</t>
  </si>
  <si>
    <t>Vesper Bros. Foods Tomato Sauce, Signature, Tomato Basil</t>
  </si>
  <si>
    <t>Vesper Bros. Foods</t>
  </si>
  <si>
    <t>Carbone Bolognese Sauce</t>
  </si>
  <si>
    <t>Organic Ville Sauce Pasta Italian Herb</t>
  </si>
  <si>
    <t>Botticelli Marinara Premium Pasta Sauce</t>
  </si>
  <si>
    <t>Classico Fire Roasted Tomato &amp; Garlic Pasta Sauce - 24 Oz</t>
  </si>
  <si>
    <t>Mid's Pasta Sauce, Sausage Style, Quart Size 32 Oz</t>
  </si>
  <si>
    <t>Lucini Organic Savory Golden Tomato Pasta Sauce, 16.5 Oz</t>
  </si>
  <si>
    <t>Marinara, 16 OZ</t>
  </si>
  <si>
    <t>CANNIZZARO FAMIGLIA</t>
  </si>
  <si>
    <t>Classico Sweet Basil Marinara Spaghetti Pasta Sauce, Basil Marinara Pasta Sauce</t>
  </si>
  <si>
    <t>Tutta Bella Rustic Marinara Sauce | Made with Fresh Premium Italian Plum Tomatoes and an Authentic Italian Kitchen Recipe | All Natural Ingredients and No Sugar Added | 24 oz.</t>
  </si>
  <si>
    <t>Brand: Tutta Bella</t>
  </si>
  <si>
    <t>267024, 267023</t>
  </si>
  <si>
    <t>Tutta Bella Traditional Bolognese Sauce | Made with Fresh Premium Italian Plum Tomatoes And an Authentic Italian Kitchen Recipe | All Natural Ingredients and No Sugar Added | 24 oz.</t>
  </si>
  <si>
    <t>Rao's Homemade | Arrabbiata Sauce | 24 oz</t>
  </si>
  <si>
    <t>Ragu Chunky Super Chunky Mushroom Pasta Sauce, 45 oz</t>
  </si>
  <si>
    <t>Triple D's Roasted Portabella Mushroom Sauce</t>
  </si>
  <si>
    <t>Triple D's</t>
  </si>
  <si>
    <t>Mezzetta Marinara Sauce, Spicy, 25 Ounce</t>
  </si>
  <si>
    <t>La Famiglia Del Grosso Aunt Mary Ann's Marinara Sauce, 26 oz</t>
  </si>
  <si>
    <t>La Famiglia Del Grosso</t>
  </si>
  <si>
    <t>Prego Chunky Tomato and Three Cheese Pasta Sauce</t>
  </si>
  <si>
    <t>prego</t>
  </si>
  <si>
    <t>The Silver Palate San Marzano Blend Tomato Basil Pasta Sauce 25 oz (708 g)</t>
  </si>
  <si>
    <t>HOBOKEN FARMS</t>
  </si>
  <si>
    <t>The Jersey Tomato Co. Tomato Basil Sauce, 25 oz</t>
  </si>
  <si>
    <t>Prego Spicy Vodka Pasta Sauc</t>
  </si>
  <si>
    <t>Sturdy Sauce Marinara - 16 OZ</t>
  </si>
  <si>
    <t>BARILLA SC RSTD GARLIC 24OZ</t>
  </si>
  <si>
    <t>Del Grosso 45oz. Meatless</t>
  </si>
  <si>
    <t>Pasta Too Sauce, Tomato, Original</t>
  </si>
  <si>
    <t>PREGO FARMERS MARKET ROASTED GARLIC SAUCE</t>
  </si>
  <si>
    <t>Taste Of The Hill - Tomato Alfredo (16 Oz)</t>
  </si>
  <si>
    <t>FANNY'S All Natural Marinara Sauce</t>
  </si>
  <si>
    <t>Filippo Berio Roasted Garlic Pasta Sauce 24oz - 24 OZ</t>
  </si>
  <si>
    <t>Buona Signature Marinara Sauce 24 oz (680 g)</t>
  </si>
  <si>
    <t>Buona</t>
  </si>
  <si>
    <t>Yo Mama's Foods Keto Chianti Wine Pasta Sauce - Pack of (1) - No Sugar Added, Low Carb, Low Sodium, Gluten Free, Paleo Friendly, and Made with Whole, Non-GMO Tomatoes</t>
  </si>
  <si>
    <t>Visit the Yo Mamaâ€™s Foods Store</t>
  </si>
  <si>
    <t>SIMMER Cherry Tomato Marinara Sauce, 16 OZ</t>
  </si>
  <si>
    <t>DelGrosso Pasta Sauce, Marinara, Classic Style</t>
  </si>
  <si>
    <t>Prego Roasted Garlic and Herb Pasta Sauce, Jars, 3 pk./45 oz.</t>
  </si>
  <si>
    <t>Rao's Homemade Sensitive Marinara Sauce 24oz</t>
  </si>
  <si>
    <t>266600, 266601</t>
  </si>
  <si>
    <t>Marinara Sauce, 16 OZ</t>
  </si>
  <si>
    <t>OOMA TESOROS</t>
  </si>
  <si>
    <t>Bertolli Traditional Marinara Sauce, Spaghetti Tomato Pasta Sauce, 24 oz</t>
  </si>
  <si>
    <t>Visit the Bertolli Store</t>
  </si>
  <si>
    <t>VICTORIA SAUCE ALFREDO VEGAN RSTD PEPPE 18 OZ</t>
  </si>
  <si>
    <t>Carmine's Fra Diavolo</t>
  </si>
  <si>
    <t>IT'S A UTICA THING! Marinara Sauce</t>
  </si>
  <si>
    <t>IT'S A UTICA THING!</t>
  </si>
  <si>
    <t>Montebello Verdure Sauce 19.75 oz</t>
  </si>
  <si>
    <t>Primal Kitchen Tomato Basil Marinara Sauce 24 oz</t>
  </si>
  <si>
    <t>Organic Arrabbiata Pasta Sauce, 13.9 OZ</t>
  </si>
  <si>
    <t>Cucina &amp; Amore Pasta Sauce Italian Formaggio Tomato Ricott &amp; Parmigiano Reggiano Jar - 16.8 Oz</t>
  </si>
  <si>
    <t>Botticeli Porcini</t>
  </si>
  <si>
    <t>Prego Traditional No Sugar Added Pasta Sauce - 23.5 Oz</t>
  </si>
  <si>
    <t>Sauce Bolognese, 16 OZ</t>
  </si>
  <si>
    <t>Mutti Pasta Sauce Arrabiata - 24 OZ</t>
  </si>
  <si>
    <t>Club Lucky Mariara Alla Bava Sauce - 26 Oz</t>
  </si>
  <si>
    <t>Club Lucky</t>
  </si>
  <si>
    <t>Cucina Antica - Garlc Marinara Sauce</t>
  </si>
  <si>
    <t>Victoria Pasta Sauce, Fradiavolo</t>
  </si>
  <si>
    <t>Sauz | Miso Garlic Marinara (Single Jar) Thick &amp; Creamy- Gluten-Free, Non-GMO, and 100% Delicious - Crafted in Small Batches for Michelin-Star Delight - Clean ingredients 25 OZ</t>
  </si>
  <si>
    <t>Schiavone's Marinara Spaghetti Sauce</t>
  </si>
  <si>
    <t>Vodka Cream Sauce, 12 OZ</t>
  </si>
  <si>
    <t>SEVERINO</t>
  </si>
  <si>
    <t>Botticelli Premium Pasta Sauce Roasted Garlic</t>
  </si>
  <si>
    <t>Newmans Own Newmans Own  Pasta Sauce, 45 oz</t>
  </si>
  <si>
    <t>Orti Di Calabria Sicilian Pasta Sauce, 24.3 oz</t>
  </si>
  <si>
    <t>Prego Bolognese Meat Sauce - 23.5 Oz</t>
  </si>
  <si>
    <t>Maria's Marinara Tomato Sauce</t>
  </si>
  <si>
    <t>Maria's</t>
  </si>
  <si>
    <t>Bove's Spicy Marinara</t>
  </si>
  <si>
    <t>Hoboken Farms Pasta Vodka Sauce - 25 Oz</t>
  </si>
  <si>
    <t>Botticelli Pasta Sauce, Premium, Tomato &amp; Basil 24 Oz</t>
  </si>
  <si>
    <t>Hunt's Premium, No Added Sugar 24 oz</t>
  </si>
  <si>
    <t>Jersey Tomato Sauce Marinara - 25 Oz</t>
  </si>
  <si>
    <t>Rao's Sauce, Marinara 15.5 oz</t>
  </si>
  <si>
    <t>Carbone Mediterranean Marinara Sauce, No Sugar Added, Non GMO, Kosher</t>
  </si>
  <si>
    <t>carbone</t>
  </si>
  <si>
    <t>Casa Visco Meatless Sauce</t>
  </si>
  <si>
    <t>casa visco</t>
  </si>
  <si>
    <t>Hunt's Basil, Garlic &amp; Oregano Tomato Sauce, 8 oz</t>
  </si>
  <si>
    <t>RAGU SIMPLY SAUCE ROASTED GARLIC</t>
  </si>
  <si>
    <t>ROMANOS PASTA SAUCE GARLIC AND BASIL 26 OZ</t>
  </si>
  <si>
    <t>Michaels of Brooklyn Pasta Sauce, Arrabbiata, 32 oz</t>
  </si>
  <si>
    <t>BRN SMPL ORG SPCY ARRB PASTA SAUCE</t>
  </si>
  <si>
    <t>Jersey Italian Gravy Vodka Sauce, 6 PK</t>
  </si>
  <si>
    <t>Little Italy In The Bronx Pasta Sauce, Cherry Tomato Marinara 24 oz</t>
  </si>
  <si>
    <t>Born Simple Sauce Marinara Premium Organ - 18 OZ</t>
  </si>
  <si>
    <t>Cucina Antica Rosa Alfredo 16.9 oz</t>
  </si>
  <si>
    <t>Emeril's Pasta Sauce, Tomato &amp; Basil 25 oz</t>
  </si>
  <si>
    <t>Emeril's</t>
  </si>
  <si>
    <t>PregoÂ® Chunky Roasted Garlic And Herb Pasta Sauce 23.750 oz</t>
  </si>
  <si>
    <t>Capozzi's Spaghetti Marinara Sauce</t>
  </si>
  <si>
    <t>Prego Sauce, Heart Smart Traditional</t>
  </si>
  <si>
    <t>Sonoma Gourmet Organic Cherry Tomato with Basil Pasta Sauce, 25 oz</t>
  </si>
  <si>
    <t>PregoÂ® Italian Sausage And Garlic Meat Sauce 44.000 oz</t>
  </si>
  <si>
    <t>Sclafani Tomato Basil Sauce, 32 oz</t>
  </si>
  <si>
    <t>Bertolli Olive Oil, Basil &amp; Garlic Organic Sauce - 24 Ounce</t>
  </si>
  <si>
    <t>BERTOLLI</t>
  </si>
  <si>
    <t>Di Bruno Bros. Tomato Basil Tomato Sauce, 24 oz</t>
  </si>
  <si>
    <t>Bove's - 3Chs Tom Pasta Sce</t>
  </si>
  <si>
    <t>Muir Glen Organic Roasted Garlic Pasta Sauce, No Sugar Added</t>
  </si>
  <si>
    <t>muir glen</t>
  </si>
  <si>
    <t>Sunday Sauce, 25 OZ</t>
  </si>
  <si>
    <t>Barilla Savory Oregano Traditional Pasta Sauce - 24 Oz</t>
  </si>
  <si>
    <t>RagÃº Old World Style Traditional Sauce, 45 oz</t>
  </si>
  <si>
    <t>DeLallo Ultimate Sauce Collection Marinara Sauce Fat Free Jar - 26 Oz</t>
  </si>
  <si>
    <t>Organic Tomato Basil Pasta Sauce, 20 OZ</t>
  </si>
  <si>
    <t>Rustichella D Abruzzo Tomato Sauce with Basil Pomodoro e Basilico Jar - 23.9 Oz</t>
  </si>
  <si>
    <t>Classico Family Favorites Traditional Smooth &amp; Rich Pasta Sauce - 24 Oz</t>
  </si>
  <si>
    <t>Sundried Tomato &amp; Olive</t>
  </si>
  <si>
    <t>Delallo Sauce Spaghetti Trdtnl - 24 Oz</t>
  </si>
  <si>
    <t>Cipriani Organic Pomodoro Sauce - 11.99 Oz</t>
  </si>
  <si>
    <t>Cipriani Food</t>
  </si>
  <si>
    <t>Born Simple Sauce Tomato &amp; Basil Organic - 18 OZ</t>
  </si>
  <si>
    <t>Yo Mama's Foods Keto RosÃ© Wine Pasta Sauce - Pack of (1) - No Sugar Added, Low Carb, Low Sodium, Gluten Free, Paleo Friendly, Non-GMO, and Vegan</t>
  </si>
  <si>
    <t>Bono Pasta Sauce, with 100% Italian Tomatoes, Marinara</t>
  </si>
  <si>
    <t>Sacia Tomatos Cherry Marinara - 24 Oz</t>
  </si>
  <si>
    <t>Bianco Dinapoli, Sauce Pasta Arrabbiata Organic, 20 Ounce</t>
  </si>
  <si>
    <t>Visit the Bianco DiNapoli Store</t>
  </si>
  <si>
    <t>Sacia Tomatos Cherry N Olives - 24 Oz</t>
  </si>
  <si>
    <t>Pastene Marinara Sauce 24 oz</t>
  </si>
  <si>
    <t>Gefen Classic Marinara Pasta Sauce - 26 Oz</t>
  </si>
  <si>
    <t>Rao's Bolognese Sauce</t>
  </si>
  <si>
    <t>rao's</t>
  </si>
  <si>
    <t>Classico - Di Piemonte Red Wine &amp; Herb</t>
  </si>
  <si>
    <t>Mutti No Added Sugar Rossoro Tomatoes and Parmigiano Reggiano Pasta Sauce 24 oz</t>
  </si>
  <si>
    <t>Pasta Too Pasta Sauce, Tomato, Original, Family Size</t>
  </si>
  <si>
    <t>Classico Caramelized Onion &amp; Roasted Garlic Pasta Sauce 24 oz (1 lb 8 oz) 680 g</t>
  </si>
  <si>
    <t>Chef Silvio's Sundae Sauce</t>
  </si>
  <si>
    <t>Chef Silvio's</t>
  </si>
  <si>
    <t>Ethnic Cottage Tomato Basil Jersey Tomato Sauce, 25 oz</t>
  </si>
  <si>
    <t>Yo Mamaâ€™s - Roasted Garlic Tomato Sauce</t>
  </si>
  <si>
    <t>Yo Mamaâ€™s</t>
  </si>
  <si>
    <t>Gia Russa Pasta Sauce, Select, Alla Vodka 24 oz</t>
  </si>
  <si>
    <t>Belletieri's Tomato Pasta Sauce</t>
  </si>
  <si>
    <t>Belletieri's</t>
  </si>
  <si>
    <t>Frik And Frak Sweetheart Pasta Sauce - 24 Oz</t>
  </si>
  <si>
    <t>Lucini Sauce Organic Savory Golden Tomato Jar - 24 Oz</t>
  </si>
  <si>
    <t>Sturdy Sauce Sweet Basil - 16 OZ</t>
  </si>
  <si>
    <t>Chef Silvio's Gourmet Fra Diavolo Pasta Sauce</t>
  </si>
  <si>
    <t>VictoriaÂ® Roasted Garlic Sauce</t>
  </si>
  <si>
    <t>Ragu Old World Style Traditional Sauce - 4.1 Pound - 1 Count</t>
  </si>
  <si>
    <t>Mezzetta Italian Plum Tomato Marinara - 24 Oz</t>
  </si>
  <si>
    <t>Huntâ€™s Tomato Basil Pasta Sauce, 24 Oz. Can</t>
  </si>
  <si>
    <t>Tuscanini Zesty Marinara Sauce, 24.3 oz</t>
  </si>
  <si>
    <t>Tuttorosso Pasta Sauce Tomato &amp; Basil</t>
  </si>
  <si>
    <t>Newman's Own Pasta Sauce, Organic, Tomato &amp; Basil 23.5 oz</t>
  </si>
  <si>
    <t>Nanina's In The Park Marinara Premium Quality Gourmet Pasta Sauce, 23.25 oz</t>
  </si>
  <si>
    <t>Terlato Kitchen Sauce Vodka Jar - 24 Oz</t>
  </si>
  <si>
    <t>RAGU HEARTY ROASTED GARLIC SAUCE</t>
  </si>
  <si>
    <t>Sclafani Home Style Spaghetti Sauce, 32 oz</t>
  </si>
  <si>
    <t>PregoÂ® Chunky Mushroom and Green Pepper Pasta Sauce, 23.75 oz Jar</t>
  </si>
  <si>
    <t>Classico Smooth &amp; Rich Meat Sauce 24 Oz</t>
  </si>
  <si>
    <t>Rienzi Red Clam Sauce</t>
  </si>
  <si>
    <t>Rienzi</t>
  </si>
  <si>
    <t>The Meatball Shop Classic Tomato Sauce - 24 Oz</t>
  </si>
  <si>
    <t>The Meatball Shop</t>
  </si>
  <si>
    <t>Mantova Organic Marinara sa</t>
  </si>
  <si>
    <t>Ragu Hidden Heroes Pasta Sauce for Kids, Captain Marinara, 14 oz</t>
  </si>
  <si>
    <t>Sonoma Gourmet Butternut Squash</t>
  </si>
  <si>
    <t>Classico Roasted Garlic &amp; Onion Pasta Sauce, Classico Tomato &amp; Onion 600ML</t>
  </si>
  <si>
    <t>Frik &amp; Frak Cognac Pasta Sauce - 24 Oz</t>
  </si>
  <si>
    <t>Boves Sodium Free Marinara Pasta Sauce</t>
  </si>
  <si>
    <t>NONNA PIAS Arrabiata Pasta Sauce, 19.4 OZ</t>
  </si>
  <si>
    <t>Ledo Pizza Creamy Vodka Pasta Sauce</t>
  </si>
  <si>
    <t>Ledo</t>
  </si>
  <si>
    <t>The Meatball Shop Classic Tomato Sauce</t>
  </si>
  <si>
    <t>Fody Pasta Sauce Arrabbiata - 19.4 Oz</t>
  </si>
  <si>
    <t>Tuscanini Pizza Classic Marina Frozen - 24.3 Oz</t>
  </si>
  <si>
    <t>RagÃº Chunky Tomato, Garlic &amp; Onion Sauce, 45 oz</t>
  </si>
  <si>
    <t>Organicville Marinara Pasta Sauce - 24 OZ</t>
  </si>
  <si>
    <t>OrganicVille</t>
  </si>
  <si>
    <t>California Olive Ranch Sauce, Parmesan Vodka 24 oz</t>
  </si>
  <si>
    <t>DelGrosso Uncle Joe's Vodka Sauce, 26 oz</t>
  </si>
  <si>
    <t>Casa Visco Organic Homestyle Sauce</t>
  </si>
  <si>
    <t>Prairie Harvest - Organic Tomato Basil Pasta Sauce</t>
  </si>
  <si>
    <t>EMERIL PASTA SC VODKA</t>
  </si>
  <si>
    <t>EMERILS</t>
  </si>
  <si>
    <t>DelGrosso Extra Tomatoes Onions &amp; Garlic Pasta Sauce</t>
  </si>
  <si>
    <t>The Silver Palate San Marzano Vodka Pasta Sauce 24 oz (680 g)</t>
  </si>
  <si>
    <t>RAGU Chunky Mushroom and Green Pepper Pasta Sauce, 24 oz</t>
  </si>
  <si>
    <t>264353, 264352</t>
  </si>
  <si>
    <t>Pirros Pasta Sauce Marinara - 24 Oz</t>
  </si>
  <si>
    <t>Clevelands Own Marinara Sauce</t>
  </si>
  <si>
    <t>Clevelands Own</t>
  </si>
  <si>
    <t>Cravings By Chrissy Teigen Spicy Thai Basil Marinara Pasta Sauce</t>
  </si>
  <si>
    <t>De Lallo Pomodoro Fresco, Marinara 25.25 oz</t>
  </si>
  <si>
    <t>Classico Creamy RosÃ© Pasta Sauce, 15 Oz Jar</t>
  </si>
  <si>
    <t>Cascones Cascone's Marinara Sauce 26oz</t>
  </si>
  <si>
    <t>Rao's Arrabbiata Sauce, 24oz</t>
  </si>
  <si>
    <t>Rizzo's Sauce, Homemade Spaghetti</t>
  </si>
  <si>
    <t>Rizzo's</t>
  </si>
  <si>
    <t>Valentinos Sweet Basil Spaghetti Sauce</t>
  </si>
  <si>
    <t>Rg Tomato Sauce With Cheese - 8 Oz</t>
  </si>
  <si>
    <t>Spinato's Marinara Sauce</t>
  </si>
  <si>
    <t>Cucina Antica la vo</t>
  </si>
  <si>
    <t>Yo Mama's Foods Keto Vodka Pasta Sauce, No Sugar Added, Low Carb</t>
  </si>
  <si>
    <t>Nonna Carmen Italian Style Marinara Sauce, 24 oz</t>
  </si>
  <si>
    <t>Il Mulino Pasta Sauce, Pomodoro 24 oz</t>
  </si>
  <si>
    <t>Ragu Old World Style Traditional Sauce</t>
  </si>
  <si>
    <t>Valentinos Spaghetti Sauce</t>
  </si>
  <si>
    <t>Boves Pasta Sauce Basil - 24 Oz</t>
  </si>
  <si>
    <t>Prego Mushroom Pasta Sauce, 45 oz</t>
  </si>
  <si>
    <t>Del Grosso Garden Style Pasta Sauce</t>
  </si>
  <si>
    <t>Del Grosso</t>
  </si>
  <si>
    <t>Barilla Premium Tomato &amp; Basil Pasta Sauce 24 Oz</t>
  </si>
  <si>
    <t>Sclafani Filetto Di Pomodoro Sauce</t>
  </si>
  <si>
    <t>Mezzetta Marinara Sauce 24.5 oz (1 lb 8.5 oz) 695 g</t>
  </si>
  <si>
    <t>Roasted Tomato Marinara Sauce, 11 OZ</t>
  </si>
  <si>
    <t>PAPPARDELLES</t>
  </si>
  <si>
    <t>Belletieri's Marinara Sauce</t>
  </si>
  <si>
    <t>Ethnic Cottage Garden Vegetable Jersey Tomato Sauce, 25 oz</t>
  </si>
  <si>
    <t>Gradys Garden Chunky Pasta Sauce - 24 OZ</t>
  </si>
  <si>
    <t>Agromonte Arrabbiata Pasta Sauce</t>
  </si>
  <si>
    <t>Del Grosso 45oz. Meat Flavored</t>
  </si>
  <si>
    <t>Marinara Sauce, 12 OZ</t>
  </si>
  <si>
    <t>Pasta Jays Classic Marinara Sauce - 26 Oz</t>
  </si>
  <si>
    <t>Pasta Jays Creamy Tomato Sauce - 26 Oz</t>
  </si>
  <si>
    <t>Michaels Meat Sauce</t>
  </si>
  <si>
    <t>Hunt's Garlic &amp; Herb Pasta Sauce - 24 Oz</t>
  </si>
  <si>
    <t>Botticelli Pasta Sauce Premium Roasted Garlic - 24 Oz</t>
  </si>
  <si>
    <t>Don Pomodoro Sauce Traditional Marianara Jar - 24.3 Oz</t>
  </si>
  <si>
    <t>Del Monte, Chunky Pasta Sauce, Garlic &amp; Herb, 24 oz, Shelf Stable, Aluminum Can</t>
  </si>
  <si>
    <t>Monte Bene Garlic Marinara Pasta Sauce, 24 oz</t>
  </si>
  <si>
    <t>Classico Cabernet Marinara With Herbs Pasta Sauce, 24 oz Jar</t>
  </si>
  <si>
    <t>Brand: CLASSICO</t>
  </si>
  <si>
    <t>Michael Angelo's Sauce, Roasted Garlic, Vine-Ripened Tomatoes, Slow Simmered</t>
  </si>
  <si>
    <t>Pasta Sauce, Vodka Cream 26 oz</t>
  </si>
  <si>
    <t>Classico Spicy Red Pepper Pasta Sauce, 24 oz Jar</t>
  </si>
  <si>
    <t>Classico - Tuscan Olive and Garlic Sauce</t>
  </si>
  <si>
    <t>Rao's Homemade Sensitive Marinara Pasta Sauce, Keto Friendly, Low Carb 24 oz</t>
  </si>
  <si>
    <t>267106, 267107</t>
  </si>
  <si>
    <t>PREGO TRADITIONAL SAUCE</t>
  </si>
  <si>
    <t>Dave's Gourmet Gluten Free Butternut Squash Pasta Sauce 24 oz</t>
  </si>
  <si>
    <t>Traditional Sauce, 24 OZ</t>
  </si>
  <si>
    <t>Delgrosso Organic Pasta Sce Marinara Org - 24 Oz</t>
  </si>
  <si>
    <t>PregoÂ® Hidden Super Veggies Traditional Pasta Sauce, 24 oz Jar</t>
  </si>
  <si>
    <t>Rao's Homemade | Vodka Arrabbiata Sauce | 24 oz</t>
  </si>
  <si>
    <t>Pasta Jays Basil Tomato Sauce - 26 Oz</t>
  </si>
  <si>
    <t>Organicville Tomato Basil Pasta Sauce - 24 OZ</t>
  </si>
  <si>
    <t>Carmine's - Marinara Sauce</t>
  </si>
  <si>
    <t>Bertolli Pasta Sauce with Portobello Mushrooms, Spaghetti Tomato Sauce, 24 oz</t>
  </si>
  <si>
    <t>Del Monte Mushroom Pasta Sauce, 24 oz</t>
  </si>
  <si>
    <t>Il Mulino Vodka Sauce - 24 OZ</t>
  </si>
  <si>
    <t>Colavita Marinara Sauce, 13.76 oz</t>
  </si>
  <si>
    <t>Visit the COLAVITA Store</t>
  </si>
  <si>
    <t>Gino Angelini Limone Pasta Sauce GF</t>
  </si>
  <si>
    <t>Only Goodness - Organic Tomato Basil Pasta Sauce</t>
  </si>
  <si>
    <t>Pasta Jay'sÂ® Tomato Basil Italian Pasta Sauce</t>
  </si>
  <si>
    <t>Ragu Simply Traditional Pasta Sauce</t>
  </si>
  <si>
    <t>Classico Tomato &amp; Basil Pasta Sauce, 3 pk./32 oz.</t>
  </si>
  <si>
    <t>Cucina Moderna Robust Marinara Pasta Sauce - 20 Oz</t>
  </si>
  <si>
    <t>Tomato Basil Pasta Sauce, 25.5 OZ</t>
  </si>
  <si>
    <t>CENTO FOODS</t>
  </si>
  <si>
    <t>Gefen Pasta Sauce, Tomato Basil</t>
  </si>
  <si>
    <t>Yo Mamaâ€™s - Tomato Basil Pasta Sauce</t>
  </si>
  <si>
    <t>Bertolli Parmesan And Romano Sauce, Authentic Tuscan Style Pasta Sauce Made With Vine Ripened Tomatoes, Cheeses And Cracked Black Pepper, 24 Oz 24 oz</t>
  </si>
  <si>
    <t>Michaels Of Brooklyn Puttanesca Sauce 32 oz</t>
  </si>
  <si>
    <t>Not Just 10 Veggie Pasta Sauce, 16 oz</t>
  </si>
  <si>
    <t>Not Just</t>
  </si>
  <si>
    <t>Muir Glen - Muirglen Rst Tom Psta Sauce</t>
  </si>
  <si>
    <t>Raos Sauce Vodka - 32 Oz</t>
  </si>
  <si>
    <t>Pasta Jays Sauce Pasta Marinara - 25 Oz</t>
  </si>
  <si>
    <t>Rao's, Tomato Basil Sauce Family Size, 40 OZ</t>
  </si>
  <si>
    <t>Francesco Rinaldi Tomato, Garlic &amp; Onion Sauce, 24 oz</t>
  </si>
  <si>
    <t>Frank's All Natural New York Style Sicilian Gravy Pasta Sauce</t>
  </si>
  <si>
    <t>Carbone Arrabbiata</t>
  </si>
  <si>
    <t>Prego Mushroom Pasta Sauce, 24 oz Jar</t>
  </si>
  <si>
    <t>Classico - Tomato &amp; Basil</t>
  </si>
  <si>
    <t>Just Like Home Marinara Buttery</t>
  </si>
  <si>
    <t>Hunt's Pasta Sauce, Zesty &amp; Spicy 24 Oz</t>
  </si>
  <si>
    <t>Bono Pasta Sauce, Alla Vodka, Italian</t>
  </si>
  <si>
    <t>Colavita - Tomato Basil Pasta Sauce (13.76 Oz)</t>
  </si>
  <si>
    <t>COLAVITA</t>
  </si>
  <si>
    <t>Francesco Rinaldi Signature Sweet Sauce, 24 oz</t>
  </si>
  <si>
    <t>Ragu Old World Style Meat Pasta Sauce - 24oz</t>
  </si>
  <si>
    <t>Victoria Vegan White Bean Marinara Sauce</t>
  </si>
  <si>
    <t>Newmans Own Pasta Sauce Roasted Garlic</t>
  </si>
  <si>
    <t>la Pasta Marinara Sauce</t>
  </si>
  <si>
    <t>Rao's Homemade, Marinara Sauce, 32 oz</t>
  </si>
  <si>
    <t>Olivieri - Creamy Rose Fresh Pasta &amp; Cooking Sauce</t>
  </si>
  <si>
    <t>Olivieri</t>
  </si>
  <si>
    <t>Botticelli Premium Marinara Pasta Sauce (24 oz., 2 pk.)</t>
  </si>
  <si>
    <t>Carmine's Vodka Sauce, 24 oz</t>
  </si>
  <si>
    <t>Stonewall Kitchen Sauce Roasted Garlic Basil Jar - 18.5 Oz</t>
  </si>
  <si>
    <t>Figaretti's Spaghetti Sauce</t>
  </si>
  <si>
    <t>Rana Sauce, Marinara 15 oz</t>
  </si>
  <si>
    <t>Rana</t>
  </si>
  <si>
    <t>Dave's Gourmet Vegan Bolognese</t>
  </si>
  <si>
    <t>Ragu Sauce, Mushroom, Old World Style 23.9 oz</t>
  </si>
  <si>
    <t>Classico - A Bold Tomato and Spicy Red Pepper Sauce Recipe Characteristic of the Roma Province, in Lazio.</t>
  </si>
  <si>
    <t>Rao's Homemade Sauce, Lemon Parmesan</t>
  </si>
  <si>
    <t>Pasta Sauce, Tomato Basil 26 oz</t>
  </si>
  <si>
    <t>Yo Mama's Foods Marinara Magnifica Gourmet Pasta Sauce, 4 PK</t>
  </si>
  <si>
    <t>Botticelli Alla Vodka Premium Pasta Sauce, 24 oz</t>
  </si>
  <si>
    <t>Classico Four Cheese Pasta Sauce</t>
  </si>
  <si>
    <t>DelGrosso Pasta Sauce, Roasted Garlic</t>
  </si>
  <si>
    <t>Cajun Power Spaghetti Sauce 24oz</t>
  </si>
  <si>
    <t>Hunt's - Pasta Sauce, Thick &amp; Rich Roasted Garlic &amp; Herbs</t>
  </si>
  <si>
    <t>DelGrosso Pasta Sauce, Tomato Basil, Olive Oil &amp; Herbs</t>
  </si>
  <si>
    <t>Cucina Antica - Garlic Marinara Pasta Sauce</t>
  </si>
  <si>
    <t>Organic Pasta Sauce, 24 OZ</t>
  </si>
  <si>
    <t>Michael Angelo's Tomato Basil Pasta Sauce - 24 Oz</t>
  </si>
  <si>
    <t>Gefen Sauce Pasta Vodka Made With Extra Virgin Olive Oil - 26 Oz</t>
  </si>
  <si>
    <t>Paesana Premium Organic Vodka Sauce, 25 oz</t>
  </si>
  <si>
    <t>DeMassimo's Authentic Vodka Sauce, 32 oz</t>
  </si>
  <si>
    <t>Alessi Puttanesca Sauce - 24 Oz</t>
  </si>
  <si>
    <t>Cascone's Original Pasta Sauce</t>
  </si>
  <si>
    <t>Bertolli Organic Tomato and Basil Sauce - 24 Oz</t>
  </si>
  <si>
    <t>Prego Mushroom Italian Tomato Pasta Sauce, Value Size Jar, 38 oz</t>
  </si>
  <si>
    <t>Prego Traditional Italian Sauce</t>
  </si>
  <si>
    <t>Organico Bello - Sauce Kale Tmto Basil Org</t>
  </si>
  <si>
    <t>Rao's, Vodka Sauce, 15.5 Oz</t>
  </si>
  <si>
    <t>Zias - Original Restaurant Recipe Pasta Sauce (26 Oz)</t>
  </si>
  <si>
    <t>DEI FRATELLI MARINARA SAUCE</t>
  </si>
  <si>
    <t>DEI FRATELLI</t>
  </si>
  <si>
    <t>Sauce Tomato Vodka, 16 OZ</t>
  </si>
  <si>
    <t>Hunt'sÂ® Original Thick &amp; Rich Pasta Sauce, 680 mL</t>
  </si>
  <si>
    <t>Papa Ricos Medium Classic Red Sauce</t>
  </si>
  <si>
    <t>California Olive Ranch Sauce, Roasted Garlic 25 oz</t>
  </si>
  <si>
    <t>Hunt'sÂ® Four Cheese Thick &amp; Rich Premium Pasta Sauce, 680 mL</t>
  </si>
  <si>
    <t>Anducci - Vegan Ragu Sauce</t>
  </si>
  <si>
    <t>CARINARA Sweet Basil Pasta Sauce</t>
  </si>
  <si>
    <t>Stella Rosa Marinara Sauce</t>
  </si>
  <si>
    <t>Ragu Chunky Tomato Garlic &amp; Onion Sauce</t>
  </si>
  <si>
    <t>Campo D'oro - Marinara Sauce</t>
  </si>
  <si>
    <t>The Silver Palate Pasta Sauce, San Marzano Blend, Vegan Bolognese 25 oz</t>
  </si>
  <si>
    <t>Don Pepino Spaghetti Sauce, Italian Flavor, 28 oz Can</t>
  </si>
  <si>
    <t>Don Pepino</t>
  </si>
  <si>
    <t>Newman's Own Tomato &amp; Basil Pasta Sauce 24 oz</t>
  </si>
  <si>
    <t>Carfagna's Pasta Sauce, Puttanesca Italiano</t>
  </si>
  <si>
    <t>Frescorti Pasta Sauce Marinara - 24 OZ</t>
  </si>
  <si>
    <t>Organic Fat Free Low Sodium Pasta Sauce, 24 OZ</t>
  </si>
  <si>
    <t>Casa Visco - Sauce Psta Meatless</t>
  </si>
  <si>
    <t>DeLallo Pomodoro Fresco Spicy Arrabbiata Sauce, 25.25 oz</t>
  </si>
  <si>
    <t>Carmine's Marinara Sauce, 24 oz</t>
  </si>
  <si>
    <t>vero gusto tomato basil</t>
  </si>
  <si>
    <t>CATELLI - Garden Select Tomato &amp; Basil</t>
  </si>
  <si>
    <t>DelGrosso Pasta Sauce, Garlic &amp; Cheese</t>
  </si>
  <si>
    <t>CLASSICO - Di Lucca Tuscan Style Olive &amp; Garlic Pasta Sauce</t>
  </si>
  <si>
    <t>Michaels Of Brooklyn Sauce Marinara - 16 Oz</t>
  </si>
  <si>
    <t>Limited Reserve Cardoncelli Marinara, 19 OZ</t>
  </si>
  <si>
    <t>RAOS</t>
  </si>
  <si>
    <t>Aiellos Supremo Tomato Basil Pasta Sauce</t>
  </si>
  <si>
    <t>Pasta House - Spaghetti Sauce (26 Oz)</t>
  </si>
  <si>
    <t>PASTA HOUSE</t>
  </si>
  <si>
    <t>De Massim Sauce Pasta Marinara - 32 Oz</t>
  </si>
  <si>
    <t>Mia Cucina Marinara with Merlot</t>
  </si>
  <si>
    <t>Delallo Pomodoro Fresco, Roasted Garlic</t>
  </si>
  <si>
    <t>Bertolli d'Italia Creamy Rosa Sauce, 2 pk./24.7 oz.</t>
  </si>
  <si>
    <t>Not Just Crmy Basil Sauce</t>
  </si>
  <si>
    <t>San Marzano Sauce Tomato Basil - 24 Oz</t>
  </si>
  <si>
    <t>Emerils Kicked Up Tomato Pasta Sauce 25 oz</t>
  </si>
  <si>
    <t>Bionaturae Organic Marinara Pasta Sauce - Tomato Sauce for Spaghetti, Pizza, &amp; Lasagna, Gluten Free, Non GMO, No Added Sugar, Kosher, Glyphosate Free, Made in Italy, Tastes like Homemade - 24 oz Jar</t>
  </si>
  <si>
    <t>077644900478</t>
  </si>
  <si>
    <t>641208993932</t>
  </si>
  <si>
    <t>747479001557</t>
  </si>
  <si>
    <t>677294999039</t>
  </si>
  <si>
    <t>891752001052</t>
  </si>
  <si>
    <t>051000105462</t>
  </si>
  <si>
    <t>036200431535</t>
  </si>
  <si>
    <t>747479101882</t>
  </si>
  <si>
    <t>075462010393</t>
  </si>
  <si>
    <t>628110146021</t>
  </si>
  <si>
    <t>070796900105</t>
  </si>
  <si>
    <t>092474181613</t>
  </si>
  <si>
    <t>033157000012</t>
  </si>
  <si>
    <t>076050170239</t>
  </si>
  <si>
    <t>073214009473</t>
  </si>
  <si>
    <t>036200204306</t>
  </si>
  <si>
    <t>075462042103</t>
  </si>
  <si>
    <t>033157000043</t>
  </si>
  <si>
    <t>072343000016</t>
  </si>
  <si>
    <t>072551250012</t>
  </si>
  <si>
    <t>029737004211</t>
  </si>
  <si>
    <t>051000280091</t>
  </si>
  <si>
    <t>057000012533</t>
  </si>
  <si>
    <t>868391000319</t>
  </si>
  <si>
    <t>015229411612</t>
  </si>
  <si>
    <t>753469010034</t>
  </si>
  <si>
    <t>033157000029</t>
  </si>
  <si>
    <t>860002303628</t>
  </si>
  <si>
    <t>731338999024</t>
  </si>
  <si>
    <t>051000195302</t>
  </si>
  <si>
    <t>027000500064</t>
  </si>
  <si>
    <t>850503004018</t>
  </si>
  <si>
    <t>036200431924</t>
  </si>
  <si>
    <t>051000132819</t>
  </si>
  <si>
    <t>057000012465</t>
  </si>
  <si>
    <t>673388196100</t>
  </si>
  <si>
    <t>036200431993</t>
  </si>
  <si>
    <t>863645000428</t>
  </si>
  <si>
    <t>739276000154</t>
  </si>
  <si>
    <t>070900501518</t>
  </si>
  <si>
    <t>850008833113</t>
  </si>
  <si>
    <t>850069997021</t>
  </si>
  <si>
    <t>072343000535</t>
  </si>
  <si>
    <t>891752001014</t>
  </si>
  <si>
    <t>798304088991</t>
  </si>
  <si>
    <t>020662000200</t>
  </si>
  <si>
    <t>057000034603</t>
  </si>
  <si>
    <t>812603020749</t>
  </si>
  <si>
    <t>051000284327</t>
  </si>
  <si>
    <t>063211041194</t>
  </si>
  <si>
    <t>860006000332</t>
  </si>
  <si>
    <t>850004639085</t>
  </si>
  <si>
    <t>051000270122</t>
  </si>
  <si>
    <t>860002303611</t>
  </si>
  <si>
    <t>860281001321</t>
  </si>
  <si>
    <t>096906023243</t>
  </si>
  <si>
    <t>725342114658</t>
  </si>
  <si>
    <t>710996010036</t>
  </si>
  <si>
    <t>037363987839</t>
  </si>
  <si>
    <t>041736000230</t>
  </si>
  <si>
    <t>051000284334</t>
  </si>
  <si>
    <t>810095661686</t>
  </si>
  <si>
    <t>051000270139</t>
  </si>
  <si>
    <t>850687400026</t>
  </si>
  <si>
    <t>075462042202</t>
  </si>
  <si>
    <t>057000330088</t>
  </si>
  <si>
    <t>733636330035</t>
  </si>
  <si>
    <t>665570999088</t>
  </si>
  <si>
    <t>850017808539</t>
  </si>
  <si>
    <t>747479001052</t>
  </si>
  <si>
    <t>811497008376</t>
  </si>
  <si>
    <t>896859000625</t>
  </si>
  <si>
    <t>077644816151</t>
  </si>
  <si>
    <t>099986000135</t>
  </si>
  <si>
    <t>057000012496</t>
  </si>
  <si>
    <t>048176843458</t>
  </si>
  <si>
    <t>677294991071</t>
  </si>
  <si>
    <t>073214008476</t>
  </si>
  <si>
    <t>036200430750</t>
  </si>
  <si>
    <t>852300001559</t>
  </si>
  <si>
    <t>641208990917</t>
  </si>
  <si>
    <t>076050170833</t>
  </si>
  <si>
    <t>853896007109</t>
  </si>
  <si>
    <t>810177550198</t>
  </si>
  <si>
    <t>677294991200</t>
  </si>
  <si>
    <t>760229001003</t>
  </si>
  <si>
    <t>048176843625</t>
  </si>
  <si>
    <t>036200430774</t>
  </si>
  <si>
    <t>611962002003</t>
  </si>
  <si>
    <t>814343020904</t>
  </si>
  <si>
    <t>850049357029</t>
  </si>
  <si>
    <t>628055758075</t>
  </si>
  <si>
    <t>077644303323</t>
  </si>
  <si>
    <t>049539015833</t>
  </si>
  <si>
    <t>712052333332</t>
  </si>
  <si>
    <t>850022820915</t>
  </si>
  <si>
    <t>710996010012</t>
  </si>
  <si>
    <t>790302793303</t>
  </si>
  <si>
    <t>024722000100</t>
  </si>
  <si>
    <t>041129077023</t>
  </si>
  <si>
    <t>850008623196</t>
  </si>
  <si>
    <t>051000276223</t>
  </si>
  <si>
    <t>070796910005</t>
  </si>
  <si>
    <t>073214009435</t>
  </si>
  <si>
    <t>070234004150</t>
  </si>
  <si>
    <t>857572003553</t>
  </si>
  <si>
    <t>033954820028</t>
  </si>
  <si>
    <t>747479000215</t>
  </si>
  <si>
    <t>081319819408</t>
  </si>
  <si>
    <t>700982133047</t>
  </si>
  <si>
    <t>014886500011</t>
  </si>
  <si>
    <t>036200430996</t>
  </si>
  <si>
    <t>024842409371</t>
  </si>
  <si>
    <t>710069175068</t>
  </si>
  <si>
    <t>076050170826</t>
  </si>
  <si>
    <t>860003305881</t>
  </si>
  <si>
    <t>089397111971</t>
  </si>
  <si>
    <t>860010562024</t>
  </si>
  <si>
    <t>688672109025</t>
  </si>
  <si>
    <t>850004639061</t>
  </si>
  <si>
    <t>057000330095</t>
  </si>
  <si>
    <t>027000500088</t>
  </si>
  <si>
    <t>073214008599</t>
  </si>
  <si>
    <t>753469010164</t>
  </si>
  <si>
    <t>076808008746</t>
  </si>
  <si>
    <t>070234004211</t>
  </si>
  <si>
    <t>020662001665</t>
  </si>
  <si>
    <t>811527000028</t>
  </si>
  <si>
    <t>747479101721</t>
  </si>
  <si>
    <t>747479001045</t>
  </si>
  <si>
    <t>051000280107</t>
  </si>
  <si>
    <t>688672109018</t>
  </si>
  <si>
    <t>041129000588</t>
  </si>
  <si>
    <t>036200004647</t>
  </si>
  <si>
    <t>096906002262</t>
  </si>
  <si>
    <t>072343000542</t>
  </si>
  <si>
    <t>077644304320</t>
  </si>
  <si>
    <t>036200431528</t>
  </si>
  <si>
    <t>810095661129</t>
  </si>
  <si>
    <t>863373000134</t>
  </si>
  <si>
    <t>855019000936</t>
  </si>
  <si>
    <t>057000037178</t>
  </si>
  <si>
    <t>086706801714</t>
  </si>
  <si>
    <t>074908360337</t>
  </si>
  <si>
    <t>071403001970</t>
  </si>
  <si>
    <t>080602024758</t>
  </si>
  <si>
    <t>063211060355</t>
  </si>
  <si>
    <t>089397111902</t>
  </si>
  <si>
    <t>850004639092</t>
  </si>
  <si>
    <t>779566122197</t>
  </si>
  <si>
    <t>739276000260</t>
  </si>
  <si>
    <t>725342286768</t>
  </si>
  <si>
    <t>609231202520</t>
  </si>
  <si>
    <t>077644901413</t>
  </si>
  <si>
    <t>747479001144</t>
  </si>
  <si>
    <t>057000012526</t>
  </si>
  <si>
    <t>072940758082</t>
  </si>
  <si>
    <t>062639373207</t>
  </si>
  <si>
    <t>609231000034</t>
  </si>
  <si>
    <t>897712001018</t>
  </si>
  <si>
    <t>725342132164</t>
  </si>
  <si>
    <t>072343000191</t>
  </si>
  <si>
    <t>027000500132</t>
  </si>
  <si>
    <t>677294991156</t>
  </si>
  <si>
    <t>081610602013</t>
  </si>
  <si>
    <t>677294998018</t>
  </si>
  <si>
    <t>036200431719</t>
  </si>
  <si>
    <t>076050170307</t>
  </si>
  <si>
    <t>074908360511</t>
  </si>
  <si>
    <t>753469010027</t>
  </si>
  <si>
    <t>805750937039</t>
  </si>
  <si>
    <t>861938000322</t>
  </si>
  <si>
    <t>860010086032</t>
  </si>
  <si>
    <t>852662649017</t>
  </si>
  <si>
    <t>871398000022</t>
  </si>
  <si>
    <t>027000422403</t>
  </si>
  <si>
    <t>857572003560</t>
  </si>
  <si>
    <t>041129077856</t>
  </si>
  <si>
    <t>041129088005</t>
  </si>
  <si>
    <t>761956127417</t>
  </si>
  <si>
    <t>711381317600</t>
  </si>
  <si>
    <t>628110146120</t>
  </si>
  <si>
    <t>741890123508</t>
  </si>
  <si>
    <t>725342283569</t>
  </si>
  <si>
    <t>884337000007</t>
  </si>
  <si>
    <t>199590704501</t>
  </si>
  <si>
    <t>852082002027</t>
  </si>
  <si>
    <t>070234066301</t>
  </si>
  <si>
    <t>080602024703</t>
  </si>
  <si>
    <t>850022820885</t>
  </si>
  <si>
    <t>057000330019</t>
  </si>
  <si>
    <t>074908324407</t>
  </si>
  <si>
    <t>051000129109</t>
  </si>
  <si>
    <t>039396005092</t>
  </si>
  <si>
    <t>855019004064</t>
  </si>
  <si>
    <t>195893990337</t>
  </si>
  <si>
    <t>648505540487</t>
  </si>
  <si>
    <t>072368420417</t>
  </si>
  <si>
    <t>036200219331</t>
  </si>
  <si>
    <t>098836100063</t>
  </si>
  <si>
    <t>057000330002</t>
  </si>
  <si>
    <t>811527000011</t>
  </si>
  <si>
    <t>073214008988</t>
  </si>
  <si>
    <t>860003305812</t>
  </si>
  <si>
    <t>070900501211</t>
  </si>
  <si>
    <t>072343000146</t>
  </si>
  <si>
    <t>811497008482</t>
  </si>
  <si>
    <t>710996009030</t>
  </si>
  <si>
    <t>855019000318</t>
  </si>
  <si>
    <t>074908370015</t>
  </si>
  <si>
    <t>728119198738</t>
  </si>
  <si>
    <t>897712001087</t>
  </si>
  <si>
    <t>036200431795</t>
  </si>
  <si>
    <t>036200013649</t>
  </si>
  <si>
    <t>073214008490</t>
  </si>
  <si>
    <t>761956127806</t>
  </si>
  <si>
    <t>759110325939</t>
  </si>
  <si>
    <t>070796900143</t>
  </si>
  <si>
    <t>780961206245</t>
  </si>
  <si>
    <t>033157500024</t>
  </si>
  <si>
    <t>036200014110</t>
  </si>
  <si>
    <t>868391000357</t>
  </si>
  <si>
    <t>057000330125</t>
  </si>
  <si>
    <t>041129631102</t>
  </si>
  <si>
    <t>860006342326</t>
  </si>
  <si>
    <t>747479001076</t>
  </si>
  <si>
    <t>861938000339</t>
  </si>
  <si>
    <t>747479101905</t>
  </si>
  <si>
    <t>400021776241</t>
  </si>
  <si>
    <t>041129077696</t>
  </si>
  <si>
    <t>036200431009</t>
  </si>
  <si>
    <t>036200004685</t>
  </si>
  <si>
    <t>816106020190</t>
  </si>
  <si>
    <t>810095661877</t>
  </si>
  <si>
    <t>779566121794</t>
  </si>
  <si>
    <t>085917230528</t>
  </si>
  <si>
    <t>036200004449</t>
  </si>
  <si>
    <t>073214008452</t>
  </si>
  <si>
    <t>855019004286</t>
  </si>
  <si>
    <t>850016688033</t>
  </si>
  <si>
    <t>065302300036</t>
  </si>
  <si>
    <t>852662649031</t>
  </si>
  <si>
    <t>020662006134</t>
  </si>
  <si>
    <t>641208990931</t>
  </si>
  <si>
    <t>710069705074</t>
  </si>
  <si>
    <t>897383001034</t>
  </si>
  <si>
    <t>015229411599</t>
  </si>
  <si>
    <t>198715839708</t>
  </si>
  <si>
    <t>859210004021</t>
  </si>
  <si>
    <t>811497008468</t>
  </si>
  <si>
    <t>863957000215</t>
  </si>
  <si>
    <t>648505540517</t>
  </si>
  <si>
    <t>863996000221</t>
  </si>
  <si>
    <t>051000284310</t>
  </si>
  <si>
    <t>747479001038</t>
  </si>
  <si>
    <t>853507008945</t>
  </si>
  <si>
    <t>074908360597</t>
  </si>
  <si>
    <t>861938000315</t>
  </si>
  <si>
    <t>850016688002</t>
  </si>
  <si>
    <t>850041276137</t>
  </si>
  <si>
    <t>026825008939</t>
  </si>
  <si>
    <t>036200038307</t>
  </si>
  <si>
    <t>846558000006</t>
  </si>
  <si>
    <t>086706801721</t>
  </si>
  <si>
    <t>076050800266</t>
  </si>
  <si>
    <t>089397111841</t>
  </si>
  <si>
    <t>711381321072</t>
  </si>
  <si>
    <t>812334030000</t>
  </si>
  <si>
    <t>085917230603</t>
  </si>
  <si>
    <t>098836100056</t>
  </si>
  <si>
    <t>860009228962</t>
  </si>
  <si>
    <t>036200219225</t>
  </si>
  <si>
    <t>072368420424</t>
  </si>
  <si>
    <t>609231000027</t>
  </si>
  <si>
    <t>745051931919</t>
  </si>
  <si>
    <t>856781008328</t>
  </si>
  <si>
    <t>036200914984</t>
  </si>
  <si>
    <t>036200431511</t>
  </si>
  <si>
    <t>747479500432</t>
  </si>
  <si>
    <t>850017990029</t>
  </si>
  <si>
    <t>070796900136</t>
  </si>
  <si>
    <t>027000500149</t>
  </si>
  <si>
    <t>024722000032</t>
  </si>
  <si>
    <t>745051931926</t>
  </si>
  <si>
    <t>872408004214</t>
  </si>
  <si>
    <t>856781008373</t>
  </si>
  <si>
    <t>057000330163</t>
  </si>
  <si>
    <t>020662000224</t>
  </si>
  <si>
    <t>074908360115</t>
  </si>
  <si>
    <t>710996009016</t>
  </si>
  <si>
    <t>057000012458</t>
  </si>
  <si>
    <t>070234003801</t>
  </si>
  <si>
    <t>072343000221</t>
  </si>
  <si>
    <t>066086090182</t>
  </si>
  <si>
    <t>747479500449</t>
  </si>
  <si>
    <t>041498181550</t>
  </si>
  <si>
    <t>481769439537</t>
  </si>
  <si>
    <t>086341604169</t>
  </si>
  <si>
    <t>854796008012</t>
  </si>
  <si>
    <t>066086090021</t>
  </si>
  <si>
    <t>854796008036</t>
  </si>
  <si>
    <t>020662004611</t>
  </si>
  <si>
    <t>812603021173</t>
  </si>
  <si>
    <t>628693199049</t>
  </si>
  <si>
    <t>731338962332</t>
  </si>
  <si>
    <t>041129077627</t>
  </si>
  <si>
    <t>057000012540</t>
  </si>
  <si>
    <t>036200219348</t>
  </si>
  <si>
    <t>799210900018</t>
  </si>
  <si>
    <t>024000523635</t>
  </si>
  <si>
    <t>711667000196</t>
  </si>
  <si>
    <t>854796008043</t>
  </si>
  <si>
    <t>036200013816</t>
  </si>
  <si>
    <t>051000269775</t>
  </si>
  <si>
    <t>854693000843</t>
  </si>
  <si>
    <t>850015101045</t>
  </si>
  <si>
    <t>628693199056</t>
  </si>
  <si>
    <t>048176843250</t>
  </si>
  <si>
    <t>076937001120</t>
  </si>
  <si>
    <t>085678100832</t>
  </si>
  <si>
    <t>869081000411</t>
  </si>
  <si>
    <t>609231202551</t>
  </si>
  <si>
    <t>850148004183</t>
  </si>
  <si>
    <t>853896007093</t>
  </si>
  <si>
    <t>783860700012</t>
  </si>
  <si>
    <t>850024735040</t>
  </si>
  <si>
    <t>812603020756</t>
  </si>
  <si>
    <t>015229411582</t>
  </si>
  <si>
    <t>051000270580</t>
  </si>
  <si>
    <t>026825008908</t>
  </si>
  <si>
    <t>793232516578</t>
  </si>
  <si>
    <t>076050170215</t>
  </si>
  <si>
    <t>070234064161</t>
  </si>
  <si>
    <t>051000286901</t>
  </si>
  <si>
    <t>092474181293</t>
  </si>
  <si>
    <t>747479001564</t>
  </si>
  <si>
    <t>677294998094</t>
  </si>
  <si>
    <t>072117000051</t>
  </si>
  <si>
    <t>749569272854</t>
  </si>
  <si>
    <t>073567000059</t>
  </si>
  <si>
    <t>854693000065</t>
  </si>
  <si>
    <t>085000883334</t>
  </si>
  <si>
    <t>798235693868</t>
  </si>
  <si>
    <t>710069127357</t>
  </si>
  <si>
    <t>036921192210</t>
  </si>
  <si>
    <t>628055758013</t>
  </si>
  <si>
    <t>753469010041</t>
  </si>
  <si>
    <t>753469010140</t>
  </si>
  <si>
    <t>077644826228</t>
  </si>
  <si>
    <t>637405889901</t>
  </si>
  <si>
    <t>854160002004</t>
  </si>
  <si>
    <t>811497008451</t>
  </si>
  <si>
    <t>076195672001</t>
  </si>
  <si>
    <t>037363987808</t>
  </si>
  <si>
    <t>725342132249</t>
  </si>
  <si>
    <t>863373000127</t>
  </si>
  <si>
    <t>688672109124</t>
  </si>
  <si>
    <t>076050800259</t>
  </si>
  <si>
    <t>725342132270</t>
  </si>
  <si>
    <t>073214008469</t>
  </si>
  <si>
    <t>022099699002</t>
  </si>
  <si>
    <t>036200914014</t>
  </si>
  <si>
    <t>860000631808</t>
  </si>
  <si>
    <t>861938000346</t>
  </si>
  <si>
    <t>070796900167</t>
  </si>
  <si>
    <t>051000050441</t>
  </si>
  <si>
    <t>761956127400</t>
  </si>
  <si>
    <t>677294991187</t>
  </si>
  <si>
    <t>020662006189</t>
  </si>
  <si>
    <t>051000223913</t>
  </si>
  <si>
    <t>609231000058</t>
  </si>
  <si>
    <t>718661100150</t>
  </si>
  <si>
    <t>074908324384</t>
  </si>
  <si>
    <t>863996000238</t>
  </si>
  <si>
    <t>877448006815</t>
  </si>
  <si>
    <t>850148004008</t>
  </si>
  <si>
    <t>077644301329</t>
  </si>
  <si>
    <t>041129274705</t>
  </si>
  <si>
    <t>027000500071</t>
  </si>
  <si>
    <t>072940758037</t>
  </si>
  <si>
    <t>850024735033</t>
  </si>
  <si>
    <t>063211026566</t>
  </si>
  <si>
    <t>850041276052</t>
  </si>
  <si>
    <t>810048160198</t>
  </si>
  <si>
    <t>855019004040</t>
  </si>
  <si>
    <t>072457980778</t>
  </si>
  <si>
    <t>896175002013</t>
  </si>
  <si>
    <t>725342132232</t>
  </si>
  <si>
    <t>850024735576</t>
  </si>
  <si>
    <t>086341603162</t>
  </si>
  <si>
    <t>628055758358</t>
  </si>
  <si>
    <t>048176843526</t>
  </si>
  <si>
    <t>072368424415</t>
  </si>
  <si>
    <t>077028870403</t>
  </si>
  <si>
    <t>072343000603</t>
  </si>
  <si>
    <t>072940110118</t>
  </si>
  <si>
    <t>749569272960</t>
  </si>
  <si>
    <t>036200219324</t>
  </si>
  <si>
    <t>036200144299</t>
  </si>
  <si>
    <t>036200018026</t>
  </si>
  <si>
    <t>070796900266</t>
  </si>
  <si>
    <t>731338928772</t>
  </si>
  <si>
    <t>015532000114</t>
  </si>
  <si>
    <t>036200431757</t>
  </si>
  <si>
    <t>863850000121</t>
  </si>
  <si>
    <t>072343000573</t>
  </si>
  <si>
    <t>085757200354</t>
  </si>
  <si>
    <t>855425003002</t>
  </si>
  <si>
    <t>051000027979</t>
  </si>
  <si>
    <t>767563068150</t>
  </si>
  <si>
    <t>070234007458</t>
  </si>
  <si>
    <t>718661100501</t>
  </si>
  <si>
    <t>648505507237</t>
  </si>
  <si>
    <t>041129000526</t>
  </si>
  <si>
    <t>749569272878</t>
  </si>
  <si>
    <t>051000250322</t>
  </si>
  <si>
    <t>728119198721</t>
  </si>
  <si>
    <t>860006000301</t>
  </si>
  <si>
    <t>677294998520</t>
  </si>
  <si>
    <t>020662003904</t>
  </si>
  <si>
    <t>073872746246</t>
  </si>
  <si>
    <t>072343000580</t>
  </si>
  <si>
    <t>798235702744</t>
  </si>
  <si>
    <t>033157000128</t>
  </si>
  <si>
    <t>860004856016</t>
  </si>
  <si>
    <t>879026010153</t>
  </si>
  <si>
    <t>896859000601</t>
  </si>
  <si>
    <t>710996010029</t>
  </si>
  <si>
    <t>749569272922</t>
  </si>
  <si>
    <t>036200430767</t>
  </si>
  <si>
    <t>027000500101</t>
  </si>
  <si>
    <t>051000027924</t>
  </si>
  <si>
    <t>033698815021</t>
  </si>
  <si>
    <t>000204693206</t>
  </si>
  <si>
    <t>710069175051</t>
  </si>
  <si>
    <t>036200229316</t>
  </si>
  <si>
    <t>613960103669</t>
  </si>
  <si>
    <t>046212517844</t>
  </si>
  <si>
    <t>077644901383</t>
  </si>
  <si>
    <t>811497008338</t>
  </si>
  <si>
    <t>072343000184</t>
  </si>
  <si>
    <t>747479101875</t>
  </si>
  <si>
    <t>688672103023</t>
  </si>
  <si>
    <t>027000422731</t>
  </si>
  <si>
    <t>085917230511</t>
  </si>
  <si>
    <t>868391000395</t>
  </si>
  <si>
    <t>677294991262</t>
  </si>
  <si>
    <t>076050170284</t>
  </si>
  <si>
    <t>748252561541</t>
  </si>
  <si>
    <t>850687400019</t>
  </si>
  <si>
    <t>041736000315</t>
  </si>
  <si>
    <t>711381321065</t>
  </si>
  <si>
    <t>860010086001</t>
  </si>
  <si>
    <t>741890123751</t>
  </si>
  <si>
    <t>648505507213</t>
  </si>
  <si>
    <t>736211338754</t>
  </si>
  <si>
    <t>041129077115</t>
  </si>
  <si>
    <t>076808008722</t>
  </si>
  <si>
    <t>036200199091</t>
  </si>
  <si>
    <t>891752001007</t>
  </si>
  <si>
    <t>860002303604</t>
  </si>
  <si>
    <t>748252561640</t>
  </si>
  <si>
    <t>066086090205</t>
  </si>
  <si>
    <t>036200378151</t>
  </si>
  <si>
    <t>057000330118</t>
  </si>
  <si>
    <t>036200004456</t>
  </si>
  <si>
    <t>868391000333</t>
  </si>
  <si>
    <t>860009228948</t>
  </si>
  <si>
    <t>051000284303</t>
  </si>
  <si>
    <t>046015165402</t>
  </si>
  <si>
    <t>076050800211</t>
  </si>
  <si>
    <t>791946130172</t>
  </si>
  <si>
    <t>850017808492</t>
  </si>
  <si>
    <t>860000631839</t>
  </si>
  <si>
    <t>799210900025</t>
  </si>
  <si>
    <t>733636330042</t>
  </si>
  <si>
    <t>049539990024</t>
  </si>
  <si>
    <t>876045006419</t>
  </si>
  <si>
    <t>057000012564</t>
  </si>
  <si>
    <t>726768000006</t>
  </si>
  <si>
    <t>027000422380</t>
  </si>
  <si>
    <t>677294991170</t>
  </si>
  <si>
    <t>851799003129</t>
  </si>
  <si>
    <t>066086090304</t>
  </si>
  <si>
    <t>089397111858</t>
  </si>
  <si>
    <t>840224600910</t>
  </si>
  <si>
    <t>855019004019</t>
  </si>
  <si>
    <t>855019004163</t>
  </si>
  <si>
    <t>072368424989</t>
  </si>
  <si>
    <t>014886500059</t>
  </si>
  <si>
    <t>716815005320</t>
  </si>
  <si>
    <t>080602024765</t>
  </si>
  <si>
    <t>048176844523</t>
  </si>
  <si>
    <t>860000161619</t>
  </si>
  <si>
    <t>790302793280</t>
  </si>
  <si>
    <t>863850000114</t>
  </si>
  <si>
    <t>070234004501</t>
  </si>
  <si>
    <t>859210004007</t>
  </si>
  <si>
    <t>876045006402</t>
  </si>
  <si>
    <t>850041276380</t>
  </si>
  <si>
    <t>048176843052</t>
  </si>
  <si>
    <t>858981004001</t>
  </si>
  <si>
    <t>850008623219</t>
  </si>
  <si>
    <t>041129077900</t>
  </si>
  <si>
    <t>850004639641</t>
  </si>
  <si>
    <t>051000012142</t>
  </si>
  <si>
    <t>850041276120</t>
  </si>
  <si>
    <t>860010562000</t>
  </si>
  <si>
    <t>850017819542</t>
  </si>
  <si>
    <t>860006000349</t>
  </si>
  <si>
    <t>077644901123</t>
  </si>
  <si>
    <t>725342282661</t>
  </si>
  <si>
    <t>039396005054</t>
  </si>
  <si>
    <t>814343020928</t>
  </si>
  <si>
    <t>853507008969</t>
  </si>
  <si>
    <t>853507008952</t>
  </si>
  <si>
    <t>860002292427</t>
  </si>
  <si>
    <t>036200431368</t>
  </si>
  <si>
    <t>706010112978</t>
  </si>
  <si>
    <t>070234004112</t>
  </si>
  <si>
    <t>670541583289</t>
  </si>
  <si>
    <t>641208990924</t>
  </si>
  <si>
    <t>073214009459</t>
  </si>
  <si>
    <t>648505507244</t>
  </si>
  <si>
    <t>075462041908</t>
  </si>
  <si>
    <t>062639373214</t>
  </si>
  <si>
    <t>057000330170</t>
  </si>
  <si>
    <t>036200013809</t>
  </si>
  <si>
    <t>725342132157</t>
  </si>
  <si>
    <t>850004639719</t>
  </si>
  <si>
    <t>036200004005</t>
  </si>
  <si>
    <t>689823012393</t>
  </si>
  <si>
    <t>077644901406</t>
  </si>
  <si>
    <t>040784988507</t>
  </si>
  <si>
    <t>071403001932</t>
  </si>
  <si>
    <t>094368007047</t>
  </si>
  <si>
    <t>855615002273</t>
  </si>
  <si>
    <t>896175002310</t>
  </si>
  <si>
    <t>074683099491</t>
  </si>
  <si>
    <t>076050170437</t>
  </si>
  <si>
    <t>070234066707</t>
  </si>
  <si>
    <t>076050170345</t>
  </si>
  <si>
    <t>074908360306</t>
  </si>
  <si>
    <t>066086090007</t>
  </si>
  <si>
    <t>081319819835</t>
  </si>
  <si>
    <t>086000600037</t>
  </si>
  <si>
    <t>089397108483</t>
  </si>
  <si>
    <t>897383001041</t>
  </si>
  <si>
    <t>051000292827</t>
  </si>
  <si>
    <t>041129632406</t>
  </si>
  <si>
    <t>026825008359</t>
  </si>
  <si>
    <t>057000012519</t>
  </si>
  <si>
    <t>072343000559</t>
  </si>
  <si>
    <t>070234007700</t>
  </si>
  <si>
    <t>850024735026</t>
  </si>
  <si>
    <t>852082002003</t>
  </si>
  <si>
    <t>609231000010</t>
  </si>
  <si>
    <t>070234066158</t>
  </si>
  <si>
    <t>024000523673</t>
  </si>
  <si>
    <t>046212519848</t>
  </si>
  <si>
    <t>070234007502</t>
  </si>
  <si>
    <t>041129077054</t>
  </si>
  <si>
    <t>074908360313</t>
  </si>
  <si>
    <t>850017808430</t>
  </si>
  <si>
    <t>736211338655</t>
  </si>
  <si>
    <t>074683099460</t>
  </si>
  <si>
    <t>072343000566</t>
  </si>
  <si>
    <t>733636330172</t>
  </si>
  <si>
    <t>070234004709</t>
  </si>
  <si>
    <t>860009258600</t>
  </si>
  <si>
    <t>628693199063</t>
  </si>
  <si>
    <t>051000015983</t>
  </si>
  <si>
    <t>860001364705</t>
  </si>
  <si>
    <t>086341608167</t>
  </si>
  <si>
    <t>015229411605</t>
  </si>
  <si>
    <t>071072004067</t>
  </si>
  <si>
    <t>810048160181</t>
  </si>
  <si>
    <t>810067729529</t>
  </si>
  <si>
    <t>076195612748</t>
  </si>
  <si>
    <t>071072004012</t>
  </si>
  <si>
    <t>712392799553</t>
  </si>
  <si>
    <t>054996932364</t>
  </si>
  <si>
    <t>074683099132</t>
  </si>
  <si>
    <t>861820000102</t>
  </si>
  <si>
    <t>065302300029</t>
  </si>
  <si>
    <t>747479500265</t>
  </si>
  <si>
    <t>820581175931</t>
  </si>
  <si>
    <t>735062001602</t>
  </si>
  <si>
    <t>879026010146</t>
  </si>
  <si>
    <t>074908360122</t>
  </si>
  <si>
    <t>876045006518</t>
  </si>
  <si>
    <t>850015101021</t>
  </si>
  <si>
    <t>089397111889</t>
  </si>
  <si>
    <t>073214008483</t>
  </si>
  <si>
    <t>855019004026</t>
  </si>
  <si>
    <t>688672103030</t>
  </si>
  <si>
    <t>070234017501</t>
  </si>
  <si>
    <t>782301236943</t>
  </si>
  <si>
    <t>072095032013</t>
  </si>
  <si>
    <t>024000523642</t>
  </si>
  <si>
    <t>096906008264</t>
  </si>
  <si>
    <t>072551250036</t>
  </si>
  <si>
    <t>086395700022</t>
  </si>
  <si>
    <t>036200431740</t>
  </si>
  <si>
    <t>850024735705</t>
  </si>
  <si>
    <t>033157000203</t>
  </si>
  <si>
    <t>860002854168</t>
  </si>
  <si>
    <t>810177550112</t>
  </si>
  <si>
    <t>733636330318</t>
  </si>
  <si>
    <t>893719002058</t>
  </si>
  <si>
    <t>057000012502</t>
  </si>
  <si>
    <t>076808008753</t>
  </si>
  <si>
    <t>739276000185</t>
  </si>
  <si>
    <t>072343000528</t>
  </si>
  <si>
    <t>036200430002</t>
  </si>
  <si>
    <t>850024735644</t>
  </si>
  <si>
    <t>051000273024</t>
  </si>
  <si>
    <t>747479000086</t>
  </si>
  <si>
    <t>850015101014</t>
  </si>
  <si>
    <t>072343000122</t>
  </si>
  <si>
    <t>879026010177</t>
  </si>
  <si>
    <t>753469010058</t>
  </si>
  <si>
    <t>091037609090</t>
  </si>
  <si>
    <t>739276000666</t>
  </si>
  <si>
    <t>876045006426</t>
  </si>
  <si>
    <t>074908324391</t>
  </si>
  <si>
    <t>710033916321</t>
  </si>
  <si>
    <t>094368007023</t>
  </si>
  <si>
    <t>077644901390</t>
  </si>
  <si>
    <t>080602024895</t>
  </si>
  <si>
    <t>048176847029</t>
  </si>
  <si>
    <t>062639373221</t>
  </si>
  <si>
    <t>747479000079</t>
  </si>
  <si>
    <t>048176844325</t>
  </si>
  <si>
    <t>677294999046</t>
  </si>
  <si>
    <t>745051931933</t>
  </si>
  <si>
    <t>051000187086</t>
  </si>
  <si>
    <t>648505540494</t>
  </si>
  <si>
    <t>036200431733</t>
  </si>
  <si>
    <t>051000087263</t>
  </si>
  <si>
    <t>747479000017</t>
  </si>
  <si>
    <t>086706801738</t>
  </si>
  <si>
    <t>677294991149</t>
  </si>
  <si>
    <t>082083000023</t>
  </si>
  <si>
    <t>041129077122</t>
  </si>
  <si>
    <t>739276000253</t>
  </si>
  <si>
    <t>070234006529</t>
  </si>
  <si>
    <t>860006000318</t>
  </si>
  <si>
    <t>850012006121</t>
  </si>
  <si>
    <t>051000198563</t>
  </si>
  <si>
    <t>742753347482</t>
  </si>
  <si>
    <t>688672101005</t>
  </si>
  <si>
    <t>013000011853</t>
  </si>
  <si>
    <t>761956813518</t>
  </si>
  <si>
    <t>036921562068</t>
  </si>
  <si>
    <t>850041276045</t>
  </si>
  <si>
    <t>058807422853</t>
  </si>
  <si>
    <t>790208003933</t>
  </si>
  <si>
    <t>086364500042</t>
  </si>
  <si>
    <t>077644302326</t>
  </si>
  <si>
    <t>725342132287</t>
  </si>
  <si>
    <t>716815004422</t>
  </si>
  <si>
    <t>036200430668</t>
  </si>
  <si>
    <t>033157500000</t>
  </si>
  <si>
    <t>820581175924</t>
  </si>
  <si>
    <t>867535000208</t>
  </si>
  <si>
    <t>036200219317</t>
  </si>
  <si>
    <t>860395000425</t>
  </si>
  <si>
    <t>897712001070</t>
  </si>
  <si>
    <t>891752001076</t>
  </si>
  <si>
    <t>641208990948</t>
  </si>
  <si>
    <t>860000702201</t>
  </si>
  <si>
    <t>036200431894</t>
  </si>
  <si>
    <t>051000286567</t>
  </si>
  <si>
    <t>066086082200</t>
  </si>
  <si>
    <t>041736000254</t>
  </si>
  <si>
    <t>036200431542</t>
  </si>
  <si>
    <t>020662006158</t>
  </si>
  <si>
    <t>062639373160</t>
  </si>
  <si>
    <t>041129395905</t>
  </si>
  <si>
    <t>085917230610</t>
  </si>
  <si>
    <t>609231202544</t>
  </si>
  <si>
    <t>860000161640</t>
  </si>
  <si>
    <t>428350276010</t>
  </si>
  <si>
    <t>072368004396</t>
  </si>
  <si>
    <t>855019000424</t>
  </si>
  <si>
    <t>036200430972</t>
  </si>
  <si>
    <t>072343000504</t>
  </si>
  <si>
    <t>810067729482</t>
  </si>
  <si>
    <t>051000025111</t>
  </si>
  <si>
    <t>786173972022</t>
  </si>
  <si>
    <t>033157660018</t>
  </si>
  <si>
    <t>850024735019</t>
  </si>
  <si>
    <t>787269652453</t>
  </si>
  <si>
    <t>077644305327</t>
  </si>
  <si>
    <t>710069312012</t>
  </si>
  <si>
    <t>063211060362</t>
  </si>
  <si>
    <t>878877000283</t>
  </si>
  <si>
    <t>072368124377</t>
  </si>
  <si>
    <t>850024735088</t>
  </si>
  <si>
    <t>072368424361</t>
  </si>
  <si>
    <t>857028000037</t>
  </si>
  <si>
    <t>632138389650</t>
  </si>
  <si>
    <t>728119198707</t>
  </si>
  <si>
    <t>733636330141</t>
  </si>
  <si>
    <t>850024735057</t>
  </si>
  <si>
    <t>876045006433</t>
  </si>
  <si>
    <t>747479000093</t>
  </si>
  <si>
    <t>855019004002</t>
  </si>
  <si>
    <t>710996010005</t>
  </si>
  <si>
    <t>850024735002</t>
  </si>
  <si>
    <t>057000330026</t>
  </si>
  <si>
    <t>733636330103</t>
  </si>
  <si>
    <t>688672102002</t>
  </si>
  <si>
    <t>020662006172</t>
  </si>
  <si>
    <t>085000883303</t>
  </si>
  <si>
    <t>863955000231</t>
  </si>
  <si>
    <t>079706014512</t>
  </si>
  <si>
    <t>064200010146</t>
  </si>
  <si>
    <t>706010112947</t>
  </si>
  <si>
    <t>850024735064</t>
  </si>
  <si>
    <t>860000161602</t>
  </si>
  <si>
    <t>036200004401</t>
  </si>
  <si>
    <t>072551250029</t>
  </si>
  <si>
    <t>046212678910</t>
  </si>
  <si>
    <t>057000012472</t>
  </si>
  <si>
    <t>814343020911</t>
  </si>
  <si>
    <t>057000330040</t>
  </si>
  <si>
    <t>860281001307</t>
  </si>
  <si>
    <t>041129424506</t>
  </si>
  <si>
    <t>855019000400</t>
  </si>
  <si>
    <t>020662006110</t>
  </si>
  <si>
    <t>810067729468</t>
  </si>
  <si>
    <t>745051932053</t>
  </si>
  <si>
    <t>043800450057</t>
  </si>
  <si>
    <t>855019000349</t>
  </si>
  <si>
    <t>897383001027</t>
  </si>
  <si>
    <t>086341607160</t>
  </si>
  <si>
    <t>677294991125</t>
  </si>
  <si>
    <t>851799003082</t>
  </si>
  <si>
    <t>859935002029</t>
  </si>
  <si>
    <t>860004511526</t>
  </si>
  <si>
    <t>852662649314</t>
  </si>
  <si>
    <t>089397111964</t>
  </si>
  <si>
    <t>812603020732</t>
  </si>
  <si>
    <t>733636330165</t>
  </si>
  <si>
    <t>624756995221</t>
  </si>
  <si>
    <t>725342289868</t>
  </si>
  <si>
    <t>081319819323</t>
  </si>
  <si>
    <t>747479001151</t>
  </si>
  <si>
    <t>076050170253</t>
  </si>
  <si>
    <t>041129077825</t>
  </si>
  <si>
    <t>865041000224</t>
  </si>
  <si>
    <t>628693199070</t>
  </si>
  <si>
    <t>860009228917</t>
  </si>
  <si>
    <t>080602026776</t>
  </si>
  <si>
    <t>024000523697</t>
  </si>
  <si>
    <t>070796900181</t>
  </si>
  <si>
    <t>077644901420</t>
  </si>
  <si>
    <t>075462041809</t>
  </si>
  <si>
    <t>041188043106</t>
  </si>
  <si>
    <t>051000227447</t>
  </si>
  <si>
    <t>081319819309</t>
  </si>
  <si>
    <t>747479101967</t>
  </si>
  <si>
    <t>628110146106</t>
  </si>
  <si>
    <t>860004856078</t>
  </si>
  <si>
    <t>711381321225</t>
  </si>
  <si>
    <t>036200000502</t>
  </si>
  <si>
    <t>871398000015</t>
  </si>
  <si>
    <t>051000286215</t>
  </si>
  <si>
    <t>041331021463</t>
  </si>
  <si>
    <t>735062001701</t>
  </si>
  <si>
    <t>863955000255</t>
  </si>
  <si>
    <t>072551250005</t>
  </si>
  <si>
    <t>051000270566</t>
  </si>
  <si>
    <t>747479000406</t>
  </si>
  <si>
    <t>086341609164</t>
  </si>
  <si>
    <t>791946130165</t>
  </si>
  <si>
    <t>780961206429</t>
  </si>
  <si>
    <t>072343000214</t>
  </si>
  <si>
    <t>677294998032</t>
  </si>
  <si>
    <t>747479001601</t>
  </si>
  <si>
    <t>066086990154</t>
  </si>
  <si>
    <t>791946130196</t>
  </si>
  <si>
    <t>897712001063</t>
  </si>
  <si>
    <t>048176843953</t>
  </si>
  <si>
    <t>072368420400</t>
  </si>
  <si>
    <t>048176844653</t>
  </si>
  <si>
    <t>074908324414</t>
  </si>
  <si>
    <t>741890123584</t>
  </si>
  <si>
    <t>070900502638</t>
  </si>
  <si>
    <t>747479000130</t>
  </si>
  <si>
    <t>747479001502</t>
  </si>
  <si>
    <t>628693199018</t>
  </si>
  <si>
    <t>721865971006</t>
  </si>
  <si>
    <t>074908370022</t>
  </si>
  <si>
    <t>677294998025</t>
  </si>
  <si>
    <t>033157888030</t>
  </si>
  <si>
    <t>677294981324</t>
  </si>
  <si>
    <t>811497008352</t>
  </si>
  <si>
    <t>856044003312</t>
  </si>
  <si>
    <t>753182479538</t>
  </si>
  <si>
    <t>041129000595</t>
  </si>
  <si>
    <t>860004856009</t>
  </si>
  <si>
    <t>064144042258</t>
  </si>
  <si>
    <t>195893408535</t>
  </si>
  <si>
    <t>850024735453</t>
  </si>
  <si>
    <t>063211041255</t>
  </si>
  <si>
    <t>051000050434</t>
  </si>
  <si>
    <t>089397104959</t>
  </si>
  <si>
    <t>628110146113</t>
  </si>
  <si>
    <t>036200219201</t>
  </si>
  <si>
    <t>860003305805</t>
  </si>
  <si>
    <t>014285001935</t>
  </si>
  <si>
    <t>850008557071</t>
  </si>
  <si>
    <t>738529000835</t>
  </si>
  <si>
    <t>739276000451</t>
  </si>
  <si>
    <t>810095661150</t>
  </si>
  <si>
    <t>850024735071</t>
  </si>
  <si>
    <t>706010112923</t>
  </si>
  <si>
    <t>036200013755</t>
  </si>
  <si>
    <t>024842311216</t>
  </si>
  <si>
    <t>041736000322</t>
  </si>
  <si>
    <t>852300001009</t>
  </si>
  <si>
    <t>850049357012</t>
  </si>
  <si>
    <t>628055758006</t>
  </si>
  <si>
    <t>072368424408</t>
  </si>
  <si>
    <t>072343000511</t>
  </si>
  <si>
    <t>041331021494</t>
  </si>
  <si>
    <t>780961206306</t>
  </si>
  <si>
    <t>096906002330</t>
  </si>
  <si>
    <t>051000292810</t>
  </si>
  <si>
    <t>057000330071</t>
  </si>
  <si>
    <t>711381321041</t>
  </si>
  <si>
    <t>810002320309</t>
  </si>
  <si>
    <t>859429051830</t>
  </si>
  <si>
    <t>072368420493</t>
  </si>
  <si>
    <t>033157500130</t>
  </si>
  <si>
    <t>609231202513</t>
  </si>
  <si>
    <t>066086090045</t>
  </si>
  <si>
    <t>850017990036</t>
  </si>
  <si>
    <t>085742800750</t>
  </si>
  <si>
    <t>040784986503</t>
  </si>
  <si>
    <t>710033916352</t>
  </si>
  <si>
    <t>071072004005</t>
  </si>
  <si>
    <t>089397108490</t>
  </si>
  <si>
    <t>077441000319</t>
  </si>
  <si>
    <t>850008833038</t>
  </si>
  <si>
    <t>749569273004</t>
  </si>
  <si>
    <t>860002303635</t>
  </si>
  <si>
    <t>033157000036</t>
  </si>
  <si>
    <t>860010171134</t>
  </si>
  <si>
    <t>810177550136</t>
  </si>
  <si>
    <t>051000027993</t>
  </si>
  <si>
    <t>677294991460</t>
  </si>
  <si>
    <t>860008191823</t>
  </si>
  <si>
    <t>893719002041</t>
  </si>
  <si>
    <t>036200431702</t>
  </si>
  <si>
    <t>097137353505</t>
  </si>
  <si>
    <t>810095660047</t>
  </si>
  <si>
    <t>026825007017</t>
  </si>
  <si>
    <t>891752001021</t>
  </si>
  <si>
    <t>860004856023</t>
  </si>
  <si>
    <t>041335336372</t>
  </si>
  <si>
    <t>876045006525</t>
  </si>
  <si>
    <t>677294999022</t>
  </si>
  <si>
    <t>073214009503</t>
  </si>
  <si>
    <t>041736000308</t>
  </si>
  <si>
    <t>747479004015</t>
  </si>
  <si>
    <t>074908000325</t>
  </si>
  <si>
    <t>048176843823</t>
  </si>
  <si>
    <t>811497008475</t>
  </si>
  <si>
    <t>860001364712</t>
  </si>
  <si>
    <t>859935002012</t>
  </si>
  <si>
    <t>810095661662</t>
  </si>
  <si>
    <t>036200431764</t>
  </si>
  <si>
    <t>747479500487</t>
  </si>
  <si>
    <t>856781008359</t>
  </si>
  <si>
    <t>747479101981</t>
  </si>
  <si>
    <t>855019000172</t>
  </si>
  <si>
    <t>854693000850</t>
  </si>
  <si>
    <t>868099000307</t>
  </si>
  <si>
    <t>785614136429</t>
  </si>
  <si>
    <t>648505507206</t>
  </si>
  <si>
    <t>850020861026</t>
  </si>
  <si>
    <t>747479101912</t>
  </si>
  <si>
    <t>041129088203</t>
  </si>
  <si>
    <t>051000093240</t>
  </si>
  <si>
    <t>733636331056</t>
  </si>
  <si>
    <t>851799003006</t>
  </si>
  <si>
    <t>753182257297</t>
  </si>
  <si>
    <t>087872993043</t>
  </si>
  <si>
    <t>850004639634</t>
  </si>
  <si>
    <t>850020861033</t>
  </si>
  <si>
    <t>063211026542</t>
  </si>
  <si>
    <t>677294991132</t>
  </si>
  <si>
    <t>065302300012</t>
  </si>
  <si>
    <t>036200014981</t>
  </si>
  <si>
    <t>850041276199</t>
  </si>
  <si>
    <t>783860700029</t>
  </si>
  <si>
    <t>850148004251</t>
  </si>
  <si>
    <t>810177550150</t>
  </si>
  <si>
    <t>046015165396</t>
  </si>
  <si>
    <t>850017808485</t>
  </si>
  <si>
    <t>041129077009</t>
  </si>
  <si>
    <t>072343000245</t>
  </si>
  <si>
    <t>648505540500</t>
  </si>
  <si>
    <t>861820000119</t>
  </si>
  <si>
    <t>057000330156</t>
  </si>
  <si>
    <t>850009885715</t>
  </si>
  <si>
    <t>673388196124</t>
  </si>
  <si>
    <t>850009885722</t>
  </si>
  <si>
    <t>786173932026</t>
  </si>
  <si>
    <t>036200014998</t>
  </si>
  <si>
    <t>037677022103</t>
  </si>
  <si>
    <t>073214009404</t>
  </si>
  <si>
    <t>074908360269</t>
  </si>
  <si>
    <t>051000286222</t>
  </si>
  <si>
    <t>086341606163</t>
  </si>
  <si>
    <t>863996000207</t>
  </si>
  <si>
    <t>860395000418</t>
  </si>
  <si>
    <t>051000292834</t>
  </si>
  <si>
    <t>860010171110</t>
  </si>
  <si>
    <t>076808008814</t>
  </si>
  <si>
    <t>074908360498</t>
  </si>
  <si>
    <t>863850000107</t>
  </si>
  <si>
    <t>051000227461</t>
  </si>
  <si>
    <t>739276000499</t>
  </si>
  <si>
    <t>077441000333</t>
  </si>
  <si>
    <t>041736000339</t>
  </si>
  <si>
    <t>859429051908</t>
  </si>
  <si>
    <t>868391000364</t>
  </si>
  <si>
    <t>850008623127</t>
  </si>
  <si>
    <t>074908360627</t>
  </si>
  <si>
    <t>051000280725</t>
  </si>
  <si>
    <t>085494706904</t>
  </si>
  <si>
    <t>854160002011</t>
  </si>
  <si>
    <t>036200430682</t>
  </si>
  <si>
    <t>070234017921</t>
  </si>
  <si>
    <t>850017990074</t>
  </si>
  <si>
    <t>854796008005</t>
  </si>
  <si>
    <t>015532000121</t>
  </si>
  <si>
    <t>850004639078</t>
  </si>
  <si>
    <t>085917230627</t>
  </si>
  <si>
    <t>728119198714</t>
  </si>
  <si>
    <t>855019000417</t>
  </si>
  <si>
    <t>051000250315</t>
  </si>
  <si>
    <t>884337007716</t>
  </si>
  <si>
    <t>854693000973</t>
  </si>
  <si>
    <t>041349000474</t>
  </si>
  <si>
    <t>677294991040</t>
  </si>
  <si>
    <t>070234004556</t>
  </si>
  <si>
    <t>850041276243</t>
  </si>
  <si>
    <t>072117000044</t>
  </si>
  <si>
    <t>029737600444</t>
  </si>
  <si>
    <t>810095660221</t>
  </si>
  <si>
    <t>020662001498</t>
  </si>
  <si>
    <t>033157000074</t>
  </si>
  <si>
    <t>051000286550</t>
  </si>
  <si>
    <t>094368512503</t>
  </si>
  <si>
    <t>609231000300</t>
  </si>
  <si>
    <t>863996000214</t>
  </si>
  <si>
    <t>855019000325</t>
  </si>
  <si>
    <t>027000500057</t>
  </si>
  <si>
    <t>860395000401</t>
  </si>
  <si>
    <t>747479000031</t>
  </si>
  <si>
    <t>850024735873</t>
  </si>
  <si>
    <t>081319819347</t>
  </si>
  <si>
    <t>027000391037</t>
  </si>
  <si>
    <t>036200431214</t>
  </si>
  <si>
    <t>857028000044</t>
  </si>
  <si>
    <t>731338899577</t>
  </si>
  <si>
    <t>798235725514</t>
  </si>
  <si>
    <t>850036076025</t>
  </si>
  <si>
    <t>860010086049</t>
  </si>
  <si>
    <t>876045006471</t>
  </si>
  <si>
    <t>850036076001</t>
  </si>
  <si>
    <t>677294981362</t>
  </si>
  <si>
    <t>074683099422</t>
  </si>
  <si>
    <t>051000286208</t>
  </si>
  <si>
    <t>726768731603</t>
  </si>
  <si>
    <t>051000173454</t>
  </si>
  <si>
    <t>733636330028</t>
  </si>
  <si>
    <t>051000270146</t>
  </si>
  <si>
    <t>080602026783</t>
  </si>
  <si>
    <t>036200223024</t>
  </si>
  <si>
    <t>686457030212</t>
  </si>
  <si>
    <t>810048160174</t>
  </si>
  <si>
    <t>609231000096</t>
  </si>
  <si>
    <t>725342132256</t>
  </si>
  <si>
    <t>677294991507</t>
  </si>
  <si>
    <t>076808003031</t>
  </si>
  <si>
    <t>400021952386</t>
  </si>
  <si>
    <t>072368420387</t>
  </si>
  <si>
    <t>855615002716</t>
  </si>
  <si>
    <t>793232516554</t>
  </si>
  <si>
    <t>041129424605</t>
  </si>
  <si>
    <t>085917230559</t>
  </si>
  <si>
    <t>072368420301</t>
  </si>
  <si>
    <t>800501678278</t>
  </si>
  <si>
    <t>850036076018</t>
  </si>
  <si>
    <t>850008833052</t>
  </si>
  <si>
    <t>798235725507</t>
  </si>
  <si>
    <t>879026010108</t>
  </si>
  <si>
    <t>001522941161</t>
  </si>
  <si>
    <t>855615002280</t>
  </si>
  <si>
    <t>015229411629</t>
  </si>
  <si>
    <t>066086090120</t>
  </si>
  <si>
    <t>710069175013</t>
  </si>
  <si>
    <t>747479000123</t>
  </si>
  <si>
    <t>057000012588</t>
  </si>
  <si>
    <t>854693000836</t>
  </si>
  <si>
    <t>863850000190</t>
  </si>
  <si>
    <t>041129632109</t>
  </si>
  <si>
    <t>605615111136</t>
  </si>
  <si>
    <t>896175002112</t>
  </si>
  <si>
    <t>628719692073</t>
  </si>
  <si>
    <t>026825008915</t>
  </si>
  <si>
    <t>090972500042</t>
  </si>
  <si>
    <t>860006000387</t>
  </si>
  <si>
    <t>648505540340</t>
  </si>
  <si>
    <t>860010171127</t>
  </si>
  <si>
    <t>605615111150</t>
  </si>
  <si>
    <t>070234004303</t>
  </si>
  <si>
    <t>036200018002</t>
  </si>
  <si>
    <t>073214008445</t>
  </si>
  <si>
    <t>027000500514</t>
  </si>
  <si>
    <t>710069312036</t>
  </si>
  <si>
    <t>072940758075</t>
  </si>
  <si>
    <t>020662003911</t>
  </si>
  <si>
    <t>891752001069</t>
  </si>
  <si>
    <t>492124003713</t>
  </si>
  <si>
    <t>748252561749</t>
  </si>
  <si>
    <t>036200004883</t>
  </si>
  <si>
    <t>080602024710</t>
  </si>
  <si>
    <t>051000012104</t>
  </si>
  <si>
    <t>041129424551</t>
  </si>
  <si>
    <t>075717952096</t>
  </si>
  <si>
    <t>086395500028</t>
  </si>
  <si>
    <t>048176843724</t>
  </si>
  <si>
    <t>036200431917</t>
  </si>
  <si>
    <t>733636330073</t>
  </si>
  <si>
    <t>057000012489</t>
  </si>
  <si>
    <t>860006000325</t>
  </si>
  <si>
    <t>609231000997</t>
  </si>
  <si>
    <t>710996009023</t>
  </si>
  <si>
    <t>727839168861</t>
  </si>
  <si>
    <t>863955000200</t>
  </si>
  <si>
    <t>400041500017</t>
  </si>
  <si>
    <t>710069312029</t>
  </si>
  <si>
    <t>036200014943</t>
  </si>
  <si>
    <t>004601516540</t>
  </si>
  <si>
    <t>850687400064</t>
  </si>
  <si>
    <t>074908360276</t>
  </si>
  <si>
    <t>081319922733</t>
  </si>
  <si>
    <t>624756995337</t>
  </si>
  <si>
    <t>074683099477</t>
  </si>
  <si>
    <t>074908360207</t>
  </si>
  <si>
    <t>086341605166</t>
  </si>
  <si>
    <t>036200004418</t>
  </si>
  <si>
    <t>852662649024</t>
  </si>
  <si>
    <t>673388196117</t>
  </si>
  <si>
    <t>850069997014</t>
  </si>
  <si>
    <t>072368024349</t>
  </si>
  <si>
    <t>041129000571</t>
  </si>
  <si>
    <t>049539524861</t>
  </si>
  <si>
    <t>747479000048</t>
  </si>
  <si>
    <t>760229002000</t>
  </si>
  <si>
    <t>854021001108</t>
  </si>
  <si>
    <t>738529000460</t>
  </si>
  <si>
    <t>859935002005</t>
  </si>
  <si>
    <t>677294991118</t>
  </si>
  <si>
    <t>745051932084</t>
  </si>
  <si>
    <t>710033916338</t>
  </si>
  <si>
    <t>852300001023</t>
  </si>
  <si>
    <t>036200014219</t>
  </si>
  <si>
    <t>854021001115</t>
  </si>
  <si>
    <t>609231000072</t>
  </si>
  <si>
    <t>051000270153</t>
  </si>
  <si>
    <t>074908360139</t>
  </si>
  <si>
    <t>706010112961</t>
  </si>
  <si>
    <t>080602026301</t>
  </si>
  <si>
    <t>073214009480</t>
  </si>
  <si>
    <t>719433100033</t>
  </si>
  <si>
    <t>090972500035</t>
  </si>
  <si>
    <t>896175002327</t>
  </si>
  <si>
    <t>860008191830</t>
  </si>
  <si>
    <t>878877000047</t>
  </si>
  <si>
    <t>074908360481</t>
  </si>
  <si>
    <t>029737600406</t>
  </si>
  <si>
    <t>086000925864</t>
  </si>
  <si>
    <t>860009258617</t>
  </si>
  <si>
    <t>689076798389</t>
  </si>
  <si>
    <t>027000500118</t>
  </si>
  <si>
    <t>855019000356</t>
  </si>
  <si>
    <t>033157500123</t>
  </si>
  <si>
    <t>024000523727</t>
  </si>
  <si>
    <t>677294999015</t>
  </si>
  <si>
    <t>041129274453</t>
  </si>
  <si>
    <t>037363987822</t>
  </si>
  <si>
    <t>860004511519</t>
  </si>
  <si>
    <t>041129077429</t>
  </si>
  <si>
    <t>057000012595</t>
  </si>
  <si>
    <t>747479000604</t>
  </si>
  <si>
    <t>051000015884</t>
  </si>
  <si>
    <t>753469010065</t>
  </si>
  <si>
    <t>810095661860</t>
  </si>
  <si>
    <t>074908370046</t>
  </si>
  <si>
    <t>051000276551</t>
  </si>
  <si>
    <t>747479101714</t>
  </si>
  <si>
    <t>860009258624</t>
  </si>
  <si>
    <t>046015165419</t>
  </si>
  <si>
    <t>850017990012</t>
  </si>
  <si>
    <t>036200226285</t>
  </si>
  <si>
    <t>024000523666</t>
  </si>
  <si>
    <t>852300001153</t>
  </si>
  <si>
    <t>039153500174</t>
  </si>
  <si>
    <t>860002303642</t>
  </si>
  <si>
    <t>062639373191</t>
  </si>
  <si>
    <t>816106020121</t>
  </si>
  <si>
    <t>036200431221</t>
  </si>
  <si>
    <t>041129274606</t>
  </si>
  <si>
    <t>036200431788</t>
  </si>
  <si>
    <t>070796900273</t>
  </si>
  <si>
    <t>710069175259</t>
  </si>
  <si>
    <t>628719692011</t>
  </si>
  <si>
    <t>036200431160</t>
  </si>
  <si>
    <t>855019004033</t>
  </si>
  <si>
    <t>860000689502</t>
  </si>
  <si>
    <t>725342293469</t>
  </si>
  <si>
    <t>747479001137</t>
  </si>
  <si>
    <t>816106020145</t>
  </si>
  <si>
    <t>747479001069</t>
  </si>
  <si>
    <t>077644900409</t>
  </si>
  <si>
    <t>700982133092</t>
  </si>
  <si>
    <t>850024735095</t>
  </si>
  <si>
    <t>051000027962</t>
  </si>
  <si>
    <t>057000012441</t>
  </si>
  <si>
    <t>850015101007</t>
  </si>
  <si>
    <t>027000500019</t>
  </si>
  <si>
    <t>879026010184</t>
  </si>
  <si>
    <t>039153500204</t>
  </si>
  <si>
    <t>077644900454</t>
  </si>
  <si>
    <t>036200003008</t>
  </si>
  <si>
    <t>070234017174</t>
  </si>
  <si>
    <t>020662002655</t>
  </si>
  <si>
    <t>079706014338</t>
  </si>
  <si>
    <t>750218730120</t>
  </si>
  <si>
    <t>058441003401</t>
  </si>
  <si>
    <t>850017808584</t>
  </si>
  <si>
    <t>850017990050</t>
  </si>
  <si>
    <t>711381321058</t>
  </si>
  <si>
    <t>704739100009</t>
  </si>
  <si>
    <t>877448001674</t>
  </si>
  <si>
    <t>753469015022</t>
  </si>
  <si>
    <t>036200003503</t>
  </si>
  <si>
    <t>057000330064</t>
  </si>
  <si>
    <t>747479101943</t>
  </si>
  <si>
    <t>086000451158</t>
  </si>
  <si>
    <t>689823012355</t>
  </si>
  <si>
    <t>855019000332</t>
  </si>
  <si>
    <t>041129491409</t>
  </si>
  <si>
    <t>074908360641</t>
  </si>
  <si>
    <t>492124003744</t>
  </si>
  <si>
    <t>036921192272</t>
  </si>
  <si>
    <t>058807422860</t>
  </si>
  <si>
    <t>074908360528</t>
  </si>
  <si>
    <t>677294991279</t>
  </si>
  <si>
    <t>798304089004</t>
  </si>
  <si>
    <t>037363987815</t>
  </si>
  <si>
    <t>710069175044</t>
  </si>
  <si>
    <t>076050800242</t>
  </si>
  <si>
    <t>863645000466</t>
  </si>
  <si>
    <t>733636333005</t>
  </si>
  <si>
    <t>071072004050</t>
  </si>
  <si>
    <t>049539990017</t>
  </si>
  <si>
    <t>036200222843</t>
  </si>
  <si>
    <t>811497008345</t>
  </si>
  <si>
    <t>051000271129</t>
  </si>
  <si>
    <t>051000025487</t>
  </si>
  <si>
    <t>677294998049</t>
  </si>
  <si>
    <t>747479101868</t>
  </si>
  <si>
    <t>739276000390</t>
  </si>
  <si>
    <t>070900501808</t>
  </si>
  <si>
    <t>884337000021</t>
  </si>
  <si>
    <t>058807422815</t>
  </si>
  <si>
    <t>761956813525</t>
  </si>
  <si>
    <t>850687400033</t>
  </si>
  <si>
    <t>058807422839</t>
  </si>
  <si>
    <t>628693199032</t>
  </si>
  <si>
    <t>860010562017</t>
  </si>
  <si>
    <t>087872993029</t>
  </si>
  <si>
    <t>036200018606</t>
  </si>
  <si>
    <t>812334031533</t>
  </si>
  <si>
    <t>086341600123</t>
  </si>
  <si>
    <t>030271025105</t>
  </si>
  <si>
    <t>020662006196</t>
  </si>
  <si>
    <t>641208990955</t>
  </si>
  <si>
    <t>076937001212</t>
  </si>
  <si>
    <t>798304211634</t>
  </si>
  <si>
    <t>081319819316</t>
  </si>
  <si>
    <t>072368224381</t>
  </si>
  <si>
    <t>850017990043</t>
  </si>
  <si>
    <t>076808008739</t>
  </si>
  <si>
    <t>064200010122</t>
  </si>
  <si>
    <t>074908360634</t>
  </si>
  <si>
    <t>057000330323</t>
  </si>
  <si>
    <t>855019004057</t>
  </si>
  <si>
    <t>747479500371</t>
  </si>
  <si>
    <t>786173953052</t>
  </si>
  <si>
    <t>072095032044</t>
  </si>
  <si>
    <t>711526123479</t>
  </si>
  <si>
    <t>865041000200</t>
  </si>
  <si>
    <t>852082002010</t>
  </si>
  <si>
    <t>072368424354</t>
  </si>
  <si>
    <t>036200431696</t>
  </si>
  <si>
    <t>850023196064</t>
  </si>
  <si>
    <t>040784922006</t>
  </si>
  <si>
    <t>074683099507</t>
  </si>
  <si>
    <t>799210900001</t>
  </si>
  <si>
    <t/>
  </si>
  <si>
    <t>23897615, 34796892</t>
  </si>
  <si>
    <t>18628190, 30585530</t>
  </si>
  <si>
    <t>19977941, 77115</t>
  </si>
  <si>
    <t>20955125, 3352252</t>
  </si>
  <si>
    <t>16409282, 34823067</t>
  </si>
  <si>
    <t>16754838, 34712613</t>
  </si>
  <si>
    <t>16314088, 49031089</t>
  </si>
  <si>
    <t>34627147, 53411</t>
  </si>
  <si>
    <t>24648941, 34890</t>
  </si>
  <si>
    <t>Gefen, Fat Free Marinara Pasta Sauce, Fat Free Classic Marinara Sauce 26oz.</t>
  </si>
  <si>
    <t>Carfagna'S</t>
  </si>
  <si>
    <t>Rao'S</t>
  </si>
  <si>
    <t>Nanina'S In The Park</t>
  </si>
  <si>
    <t>Visit The Rao'S Store</t>
  </si>
  <si>
    <t>Stefano Faita</t>
  </si>
  <si>
    <t>Calandra'S</t>
  </si>
  <si>
    <t>Yo Mama'S</t>
  </si>
  <si>
    <t>Daves Gourmet</t>
  </si>
  <si>
    <t>Hunt'S</t>
  </si>
  <si>
    <t>Ragãš</t>
  </si>
  <si>
    <t>Cleveland'S Own Little Italy</t>
  </si>
  <si>
    <t>De Massimo'S</t>
  </si>
  <si>
    <t>Taste Of The Hill</t>
  </si>
  <si>
    <t>Cravings By Chrissy Teigen</t>
  </si>
  <si>
    <t>Mid'S</t>
  </si>
  <si>
    <t>Newman'S Own</t>
  </si>
  <si>
    <t>Mom'S</t>
  </si>
  <si>
    <t>Nonna Pia'S</t>
  </si>
  <si>
    <t>Michael Angelo'S</t>
  </si>
  <si>
    <t>Pregoâ®</t>
  </si>
  <si>
    <t>Rao'S Homemade</t>
  </si>
  <si>
    <t>Visit The Cucina Antica Store</t>
  </si>
  <si>
    <t>Madewith</t>
  </si>
  <si>
    <t>Cascone'S</t>
  </si>
  <si>
    <t>Charlie'S On 6Th</t>
  </si>
  <si>
    <t>Natura'S</t>
  </si>
  <si>
    <t>Luigi Bonura'S</t>
  </si>
  <si>
    <t>Frank'S</t>
  </si>
  <si>
    <t>Dave'S Gourmet</t>
  </si>
  <si>
    <t>Rigazzis</t>
  </si>
  <si>
    <t>Bove'S</t>
  </si>
  <si>
    <t>Pasta Jay'S</t>
  </si>
  <si>
    <t>Pirro'S</t>
  </si>
  <si>
    <t>Ladoria</t>
  </si>
  <si>
    <t>Larosa'S</t>
  </si>
  <si>
    <t>Cucina Fresca</t>
  </si>
  <si>
    <t>Denunzioâ€™S Specialty Foods</t>
  </si>
  <si>
    <t>Visit The Lucini Store</t>
  </si>
  <si>
    <t>Brand: Nonna Pias</t>
  </si>
  <si>
    <t>Visit The Botticelli Store</t>
  </si>
  <si>
    <t>O' Sole Mio</t>
  </si>
  <si>
    <t>Bella Italia</t>
  </si>
  <si>
    <t>Lynora'S</t>
  </si>
  <si>
    <t>Brand: Spinelli'S</t>
  </si>
  <si>
    <t>Lucias Kitchen</t>
  </si>
  <si>
    <t>Campo D'Oro</t>
  </si>
  <si>
    <t>Brand: Bella Italia</t>
  </si>
  <si>
    <t>Yo Mama'S Foods</t>
  </si>
  <si>
    <t>Lesauce</t>
  </si>
  <si>
    <t>Carmine'S</t>
  </si>
  <si>
    <t>Mama Mancini'S</t>
  </si>
  <si>
    <t>Its A Utica Thing !</t>
  </si>
  <si>
    <t>It S A Utica Thing!</t>
  </si>
  <si>
    <t>Visit The Michaels Of Brooklyn Store</t>
  </si>
  <si>
    <t>Bionaturae</t>
  </si>
  <si>
    <t>Scardigno'S</t>
  </si>
  <si>
    <t>Rustichella D'Abruzzo</t>
  </si>
  <si>
    <t>Visit The Mezzetta Store</t>
  </si>
  <si>
    <t>Walden Farms</t>
  </si>
  <si>
    <t>Mimi'S Gourmet</t>
  </si>
  <si>
    <t>Visit The Organico Bello Store</t>
  </si>
  <si>
    <t>Pinton</t>
  </si>
  <si>
    <t>Sal &amp; Judy'S</t>
  </si>
  <si>
    <t>Sauces N Love</t>
  </si>
  <si>
    <t>Mama Valerio'S</t>
  </si>
  <si>
    <t>Visit The Bionaturae Store</t>
  </si>
  <si>
    <t>Little Italy In The Bronx</t>
  </si>
  <si>
    <t>Kite Hill</t>
  </si>
  <si>
    <t>Wisepies</t>
  </si>
  <si>
    <t>Otamot</t>
  </si>
  <si>
    <t>Visit The Primal Kitchen Store</t>
  </si>
  <si>
    <t>Pemberton'S</t>
  </si>
  <si>
    <t>Bianco Dinapoli</t>
  </si>
  <si>
    <t>Spinellis Sauce Co</t>
  </si>
  <si>
    <t>Emeril</t>
  </si>
  <si>
    <t>Amato'S</t>
  </si>
  <si>
    <t>Moms</t>
  </si>
  <si>
    <t>Ragãº</t>
  </si>
  <si>
    <t>Chef Mel</t>
  </si>
  <si>
    <t>Mister C'S</t>
  </si>
  <si>
    <t>Zias</t>
  </si>
  <si>
    <t>Visit The Frik &amp; Frak Store</t>
  </si>
  <si>
    <t>Pasta Prima</t>
  </si>
  <si>
    <t>Visit The Sauz Store</t>
  </si>
  <si>
    <t>Lidia'S</t>
  </si>
  <si>
    <t>Anthoninos</t>
  </si>
  <si>
    <t>Catelli</t>
  </si>
  <si>
    <t>Furmano'S</t>
  </si>
  <si>
    <t>Isola</t>
  </si>
  <si>
    <t>Lidia'A</t>
  </si>
  <si>
    <t>Visit The Prego Store</t>
  </si>
  <si>
    <t>Ofc</t>
  </si>
  <si>
    <t>Viviano'S</t>
  </si>
  <si>
    <t>Visit The Isola Store</t>
  </si>
  <si>
    <t>Brand: Credo</t>
  </si>
  <si>
    <t>Fanny'S</t>
  </si>
  <si>
    <t>Ken'S Steak House</t>
  </si>
  <si>
    <t>Alla Famiglia</t>
  </si>
  <si>
    <t>Cannizzaro Famiglia</t>
  </si>
  <si>
    <t>Triple D'S</t>
  </si>
  <si>
    <t>Visit The Yo Mamaâ€™S Foods Store</t>
  </si>
  <si>
    <t>Ooma Tesoros</t>
  </si>
  <si>
    <t>Visit The Bertolli Store</t>
  </si>
  <si>
    <t>It'S A Utica Thing!</t>
  </si>
  <si>
    <t>Maria'S</t>
  </si>
  <si>
    <t>Emeril'S</t>
  </si>
  <si>
    <t>Visit The Bianco Dinapoli Store</t>
  </si>
  <si>
    <t>Chef Silvio'S</t>
  </si>
  <si>
    <t>Yo Mamaâ€™S</t>
  </si>
  <si>
    <t>Belletieri'S</t>
  </si>
  <si>
    <t>Rizzo'S</t>
  </si>
  <si>
    <t>Pappardelles</t>
  </si>
  <si>
    <t>Brand: Classico</t>
  </si>
  <si>
    <t>Visit The Colavita Store</t>
  </si>
  <si>
    <t>Cento Foods</t>
  </si>
  <si>
    <t>Colavita</t>
  </si>
  <si>
    <t>Pasta House</t>
  </si>
  <si>
    <t>Missing brand Flag</t>
  </si>
  <si>
    <t>Mapping Flag</t>
  </si>
  <si>
    <t>Data Completeness</t>
  </si>
  <si>
    <t>Row Labels</t>
  </si>
  <si>
    <t>Grand Total</t>
  </si>
  <si>
    <t>Count of Product Code</t>
  </si>
  <si>
    <t>Total Products</t>
  </si>
  <si>
    <t>Mapping Rate %</t>
  </si>
  <si>
    <t>Mapping Report Aldi</t>
  </si>
  <si>
    <t>Mapping Report Instacart</t>
  </si>
  <si>
    <t>Available</t>
  </si>
  <si>
    <t>Missing</t>
  </si>
  <si>
    <t>(All)</t>
  </si>
  <si>
    <t>Count of Brand name</t>
  </si>
  <si>
    <t>Top 10 brands with most mapping Aldi</t>
  </si>
  <si>
    <t>(blank)</t>
  </si>
  <si>
    <t>Top 10 brands with most mapping Instacart</t>
  </si>
  <si>
    <t>Top 10 brands with most No map Aldi</t>
  </si>
  <si>
    <t>Top 10 brands with most No map Instacart</t>
  </si>
  <si>
    <t>Is Mapped</t>
  </si>
  <si>
    <t>Top 10 brands we got most no maps despite of complete data</t>
  </si>
  <si>
    <t>Most mapped Sized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</si>
</sst>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[Red Pasta Sauce data.csv.xlsx]Mapping report Instacart!PivotTable16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brands with most maps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'Mapping report Instacart'!$F$3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'Mapping report Instacart'!$E$4:$E$14</c:f>
              <c:strCache>
                <c:ptCount val="10"/>
                <c:pt idx="0">
                  <c:v>(blank)</c:v>
                </c:pt>
                <c:pt idx="1">
                  <c:v>Prego</c:v>
                </c:pt>
                <c:pt idx="2">
                  <c:v>Ragu</c:v>
                </c:pt>
                <c:pt idx="3">
                  <c:v>Classico</c:v>
                </c:pt>
                <c:pt idx="4">
                  <c:v>PregoÂ®</c:v>
                </c:pt>
                <c:pt idx="5">
                  <c:v>DelGrosso</c:v>
                </c:pt>
                <c:pt idx="6">
                  <c:v>Bertolli</c:v>
                </c:pt>
                <c:pt idx="7">
                  <c:v>Carbone</c:v>
                </c:pt>
                <c:pt idx="8">
                  <c:v>Rao's</c:v>
                </c:pt>
                <c:pt idx="9">
                  <c:v>Francesco Rinaldi</c:v>
                </c:pt>
              </c:strCache>
            </c:strRef>
          </c:cat>
          <c:val>
            <c:numRef>
              <c:f>'Mapping report Instacart'!$F$4:$F$14</c:f>
              <c:numCache>
                <c:formatCode>General</c:formatCode>
                <c:ptCount val="10"/>
                <c:pt idx="0">
                  <c:v>70</c:v>
                </c:pt>
                <c:pt idx="1">
                  <c:v>28</c:v>
                </c:pt>
                <c:pt idx="2">
                  <c:v>27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D-467F-9665-E472F381E71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140681968"/>
        <c:axId val="1140678608"/>
      </c:barChart>
      <c:catAx>
        <c:axId val="114068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78608"/>
        <c:crosses val="autoZero"/>
        <c:auto val="1"/>
        <c:lblAlgn val="ctr"/>
        <c:lblOffset val="100"/>
        <c:noMultiLvlLbl val="0"/>
      </c:catAx>
      <c:valAx>
        <c:axId val="11406786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068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[Red Pasta Sauce data.csv.xlsx]Mapping report Instacart!PivotTable18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brands with most No maps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'Mapping report Instacart'!$I$3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'Mapping report Instacart'!$H$4:$H$14</c:f>
              <c:strCache>
                <c:ptCount val="10"/>
                <c:pt idx="0">
                  <c:v>(blank)</c:v>
                </c:pt>
                <c:pt idx="1">
                  <c:v>Classico</c:v>
                </c:pt>
                <c:pt idx="2">
                  <c:v>Unknown</c:v>
                </c:pt>
                <c:pt idx="3">
                  <c:v>Yo Mama's Foods</c:v>
                </c:pt>
                <c:pt idx="4">
                  <c:v>Ragu</c:v>
                </c:pt>
                <c:pt idx="5">
                  <c:v>Prego</c:v>
                </c:pt>
                <c:pt idx="6">
                  <c:v>Jersey Italian Gravy</c:v>
                </c:pt>
                <c:pt idx="7">
                  <c:v>Mid's</c:v>
                </c:pt>
                <c:pt idx="8">
                  <c:v>Hunt's</c:v>
                </c:pt>
                <c:pt idx="9">
                  <c:v>ANDUCCI</c:v>
                </c:pt>
              </c:strCache>
            </c:strRef>
          </c:cat>
          <c:val>
            <c:numRef>
              <c:f>'Mapping report Instacart'!$I$4:$I$14</c:f>
              <c:numCache>
                <c:formatCode>General</c:formatCode>
                <c:ptCount val="10"/>
                <c:pt idx="0">
                  <c:v>48</c:v>
                </c:pt>
                <c:pt idx="1">
                  <c:v>35</c:v>
                </c:pt>
                <c:pt idx="2">
                  <c:v>16</c:v>
                </c:pt>
                <c:pt idx="3">
                  <c:v>14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14B-8309-5D73021AAE6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147412800"/>
        <c:axId val="1147416640"/>
      </c:barChart>
      <c:catAx>
        <c:axId val="114741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416640"/>
        <c:crosses val="autoZero"/>
        <c:auto val="1"/>
        <c:lblAlgn val="ctr"/>
        <c:lblOffset val="100"/>
        <c:noMultiLvlLbl val="0"/>
      </c:catAx>
      <c:valAx>
        <c:axId val="1147416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74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 Pasta Sauce data.csv.xlsx]Mapping report Instacart!PivotTable13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'Mapping report Instacart'!$B$3</c:f>
              <c:strCache>
                <c:ptCount val="1"/>
                <c:pt idx="0">
                  <c:v>Total Products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'Mapping report Instacart'!$A$4:$A$6</c:f>
              <c:strCache>
                <c:ptCount val="2"/>
                <c:pt idx="0">
                  <c:v>Mapped</c:v>
                </c:pt>
                <c:pt idx="1">
                  <c:v>No Map</c:v>
                </c:pt>
              </c:strCache>
            </c:strRef>
          </c:cat>
          <c:val>
            <c:numRef>
              <c:f>'Mapping report Instacart'!$B$4:$B$6</c:f>
              <c:numCache>
                <c:formatCode>General</c:formatCode>
                <c:ptCount val="2"/>
                <c:pt idx="0">
                  <c:v>856</c:v>
                </c:pt>
                <c:pt idx="1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8-423A-856B-B03BA46CDA1B}"/>
            </c:ext>
          </c:extLst>
        </c:ser>
        <c:ser>
          <c:idx val="1"/>
          <c:order val="1"/>
          <c:tx>
            <c:strRef>
              <c:f>'Mapping report Instacart'!$C$3</c:f>
              <c:strCache>
                <c:ptCount val="1"/>
                <c:pt idx="0">
                  <c:v>Mapping Rate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'Mapping report Instacart'!$A$4:$A$6</c:f>
              <c:strCache>
                <c:ptCount val="2"/>
                <c:pt idx="0">
                  <c:v>Mapped</c:v>
                </c:pt>
                <c:pt idx="1">
                  <c:v>No Map</c:v>
                </c:pt>
              </c:strCache>
            </c:strRef>
          </c:cat>
          <c:val>
            <c:numRef>
              <c:f>'Mapping report Instacart'!$C$4:$C$6</c:f>
              <c:numCache>
                <c:formatCode>0.00%</c:formatCode>
                <c:ptCount val="2"/>
                <c:pt idx="0">
                  <c:v>0.70163934426229513</c:v>
                </c:pt>
                <c:pt idx="1">
                  <c:v>0.29836065573770493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28-423A-856B-B03BA46CDA1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 Pasta Sauce data.csv.xlsx]Mapping report Instacart!PivotTable14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'Mapping report Instacart'!$B$12</c:f>
              <c:strCache>
                <c:ptCount val="1"/>
                <c:pt idx="0">
                  <c:v>Count of Brand name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'Mapping report Instacart'!$A$13:$A$15</c:f>
              <c:strCache>
                <c:ptCount val="2"/>
                <c:pt idx="0">
                  <c:v>Available</c:v>
                </c:pt>
                <c:pt idx="1">
                  <c:v>Missing</c:v>
                </c:pt>
              </c:strCache>
            </c:strRef>
          </c:cat>
          <c:val>
            <c:numRef>
              <c:f>'Mapping report Instacart'!$B$13:$B$15</c:f>
              <c:numCache>
                <c:formatCode>General</c:formatCode>
                <c:ptCount val="2"/>
                <c:pt idx="0">
                  <c:v>1102</c:v>
                </c:pt>
                <c:pt idx="1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0-49D2-B6D3-151AD23AE052}"/>
            </c:ext>
          </c:extLst>
        </c:ser>
        <c:ser>
          <c:idx val="1"/>
          <c:order val="1"/>
          <c:tx>
            <c:strRef>
              <c:f>'Mapping report Instacart'!$C$12</c:f>
              <c:strCache>
                <c:ptCount val="1"/>
                <c:pt idx="0">
                  <c:v>Count of Product Code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'Mapping report Instacart'!$A$13:$A$15</c:f>
              <c:strCache>
                <c:ptCount val="2"/>
                <c:pt idx="0">
                  <c:v>Available</c:v>
                </c:pt>
                <c:pt idx="1">
                  <c:v>Missing</c:v>
                </c:pt>
              </c:strCache>
            </c:strRef>
          </c:cat>
          <c:val>
            <c:numRef>
              <c:f>'Mapping report Instacart'!$C$13:$C$15</c:f>
              <c:numCache>
                <c:formatCode>0.00%</c:formatCode>
                <c:ptCount val="2"/>
                <c:pt idx="0">
                  <c:v>0.90327868852459015</c:v>
                </c:pt>
                <c:pt idx="1">
                  <c:v>9.6721311475409841E-2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90-49D2-B6D3-151AD23AE05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 Pasta Sauce data.csv.xlsx]Mapping report Instacart!PivotTable19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mapped Sized 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5335658238884045E-2"/>
          <c:y val="0.24309740625003812"/>
          <c:w val="0.70227790401526746"/>
          <c:h val="0.64153398157762764"/>
        </c:manualLayout>
      </c:layout>
      <c:pie3DChart>
        <c:varyColors val="1"/>
        <c:ser>
          <c:idx val="0"/>
          <c:order val="0"/>
          <c:tx>
            <c:strRef>
              <c:f>'Mapping report Instacart'!$L$3</c:f>
              <c:strCache>
                <c:ptCount val="1"/>
                <c:pt idx="0">
                  <c:v>Count of Product Code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'Mapping report Instacart'!$K$4:$K$8</c:f>
              <c:strCache>
                <c:ptCount val="4"/>
                <c:pt idx="0">
                  <c:v>count</c:v>
                </c:pt>
                <c:pt idx="1">
                  <c:v>fluid ounce</c:v>
                </c:pt>
                <c:pt idx="2">
                  <c:v>ounce</c:v>
                </c:pt>
                <c:pt idx="3">
                  <c:v>(blank)</c:v>
                </c:pt>
              </c:strCache>
            </c:strRef>
          </c:cat>
          <c:val>
            <c:numRef>
              <c:f>'Mapping report Instacart'!$L$4:$L$8</c:f>
              <c:numCache>
                <c:formatCode>General</c:formatCode>
                <c:ptCount val="4"/>
                <c:pt idx="0">
                  <c:v>5</c:v>
                </c:pt>
                <c:pt idx="1">
                  <c:v>84</c:v>
                </c:pt>
                <c:pt idx="2">
                  <c:v>1082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F-452D-87B2-8695B26313EF}"/>
            </c:ext>
          </c:extLst>
        </c:ser>
        <c:ser>
          <c:idx val="1"/>
          <c:order val="1"/>
          <c:tx>
            <c:strRef>
              <c:f>'Mapping report Instacart'!$M$3</c:f>
              <c:strCache>
                <c:ptCount val="1"/>
                <c:pt idx="0">
                  <c:v>Is Mapped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'Mapping report Instacart'!$K$4:$K$8</c:f>
              <c:strCache>
                <c:ptCount val="4"/>
                <c:pt idx="0">
                  <c:v>count</c:v>
                </c:pt>
                <c:pt idx="1">
                  <c:v>fluid ounce</c:v>
                </c:pt>
                <c:pt idx="2">
                  <c:v>ounce</c:v>
                </c:pt>
                <c:pt idx="3">
                  <c:v>(blank)</c:v>
                </c:pt>
              </c:strCache>
            </c:strRef>
          </c:cat>
          <c:val>
            <c:numRef>
              <c:f>'Mapping report Instacart'!$M$4:$M$8</c:f>
              <c:numCache>
                <c:formatCode>0.00%</c:formatCode>
                <c:ptCount val="4"/>
                <c:pt idx="0">
                  <c:v>2.3364485981308409E-3</c:v>
                </c:pt>
                <c:pt idx="1">
                  <c:v>1.2850467289719626E-2</c:v>
                </c:pt>
                <c:pt idx="2">
                  <c:v>0.98481308411214952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8F-452D-87B2-8695B26313E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 Pasta Sauce data.csv.xlsx]Mapping report Instacart!PivotTable20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cap="all" baseline="0">
                <a:effectLst/>
              </a:rPr>
              <a:t>Top 10 brands we got most no maps despite of complete data</a:t>
            </a:r>
            <a:r>
              <a:rPr lang="en-IN" sz="1800" b="1" i="0" u="none" strike="noStrike" cap="all" baseline="0">
                <a:effectLst/>
              </a:rPr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'Mapping report Instacart'!$L$14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'Mapping report Instacart'!$K$15:$K$28</c:f>
              <c:strCache>
                <c:ptCount val="13"/>
                <c:pt idx="0">
                  <c:v>Classico</c:v>
                </c:pt>
                <c:pt idx="1">
                  <c:v>Unknown</c:v>
                </c:pt>
                <c:pt idx="2">
                  <c:v>Yo Mama's Foods</c:v>
                </c:pt>
                <c:pt idx="3">
                  <c:v>Ragu</c:v>
                </c:pt>
                <c:pt idx="4">
                  <c:v>Prego</c:v>
                </c:pt>
                <c:pt idx="5">
                  <c:v>Jersey Italian Gravy</c:v>
                </c:pt>
                <c:pt idx="6">
                  <c:v>Mid's</c:v>
                </c:pt>
                <c:pt idx="7">
                  <c:v>Hunt's</c:v>
                </c:pt>
                <c:pt idx="8">
                  <c:v>ANDUCCI</c:v>
                </c:pt>
                <c:pt idx="9">
                  <c:v>Bove's</c:v>
                </c:pt>
                <c:pt idx="10">
                  <c:v>Orti Di Calabria</c:v>
                </c:pt>
                <c:pt idx="11">
                  <c:v>Only Goodness</c:v>
                </c:pt>
                <c:pt idx="12">
                  <c:v>Bertolli</c:v>
                </c:pt>
              </c:strCache>
            </c:strRef>
          </c:cat>
          <c:val>
            <c:numRef>
              <c:f>'Mapping report Instacart'!$L$15:$L$28</c:f>
              <c:numCache>
                <c:formatCode>General</c:formatCode>
                <c:ptCount val="13"/>
                <c:pt idx="0">
                  <c:v>35</c:v>
                </c:pt>
                <c:pt idx="1">
                  <c:v>16</c:v>
                </c:pt>
                <c:pt idx="2">
                  <c:v>14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C-4A6D-8D57-53CA09131A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142032304"/>
        <c:axId val="1142036144"/>
      </c:barChart>
      <c:catAx>
        <c:axId val="1142032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036144"/>
        <c:crosses val="autoZero"/>
        <c:auto val="1"/>
        <c:lblAlgn val="ctr"/>
        <c:lblOffset val="100"/>
        <c:noMultiLvlLbl val="0"/>
      </c:catAx>
      <c:valAx>
        <c:axId val="1142036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03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 Pasta Sauce data.csv.xlsx]Mapping report Aldi!PivotTable15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'Mapping report Aldi'!$F$3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'Mapping report Aldi'!$E$4:$E$14</c:f>
              <c:strCache>
                <c:ptCount val="10"/>
                <c:pt idx="1">
                  <c:v>Classico</c:v>
                </c:pt>
                <c:pt idx="2">
                  <c:v>Prego</c:v>
                </c:pt>
                <c:pt idx="3">
                  <c:v>Ragu</c:v>
                </c:pt>
                <c:pt idx="4">
                  <c:v>Bertolli</c:v>
                </c:pt>
                <c:pt idx="5">
                  <c:v>Botticelli</c:v>
                </c:pt>
                <c:pt idx="6">
                  <c:v>Delgrosso</c:v>
                </c:pt>
                <c:pt idx="7">
                  <c:v>Unknown</c:v>
                </c:pt>
                <c:pt idx="8">
                  <c:v>Hunt'S</c:v>
                </c:pt>
                <c:pt idx="9">
                  <c:v>Delallo</c:v>
                </c:pt>
              </c:strCache>
            </c:strRef>
          </c:cat>
          <c:val>
            <c:numRef>
              <c:f>'Mapping report Aldi'!$F$4:$F$14</c:f>
              <c:numCache>
                <c:formatCode>General</c:formatCode>
                <c:ptCount val="10"/>
                <c:pt idx="0">
                  <c:v>59</c:v>
                </c:pt>
                <c:pt idx="1">
                  <c:v>22</c:v>
                </c:pt>
                <c:pt idx="2">
                  <c:v>19</c:v>
                </c:pt>
                <c:pt idx="3">
                  <c:v>17</c:v>
                </c:pt>
                <c:pt idx="4">
                  <c:v>16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4-4D89-92FC-EEE6612D9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1792432"/>
        <c:axId val="2112292639"/>
      </c:barChart>
      <c:catAx>
        <c:axId val="127179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92639"/>
        <c:crosses val="autoZero"/>
        <c:auto val="1"/>
        <c:lblAlgn val="ctr"/>
        <c:lblOffset val="100"/>
        <c:noMultiLvlLbl val="0"/>
      </c:catAx>
      <c:valAx>
        <c:axId val="211229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9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990600</xdr:colOff>
      <xdr:row>15</xdr:row>
      <xdr:rowOff>177799</xdr:rowOff>
    </xdr:from>
    <xdr:to>
      <xdr:col>5</xdr:col>
      <xdr:colOff>1257300</xdr:colOff>
      <xdr:row>35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159660-FEDF-6D0C-9ACD-EC2D0B24D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1390650</xdr:colOff>
      <xdr:row>36</xdr:row>
      <xdr:rowOff>168275</xdr:rowOff>
    </xdr:from>
    <xdr:to>
      <xdr:col>6</xdr:col>
      <xdr:colOff>234950</xdr:colOff>
      <xdr:row>56</xdr:row>
      <xdr:rowOff>174624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693F36-1F41-7C2C-7FA0-7854C43B4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16</xdr:row>
      <xdr:rowOff>73025</xdr:rowOff>
    </xdr:from>
    <xdr:to>
      <xdr:col>2</xdr:col>
      <xdr:colOff>488950</xdr:colOff>
      <xdr:row>32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DC065D-BBDF-8B9D-06DE-87EDBAA98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33</xdr:row>
      <xdr:rowOff>111125</xdr:rowOff>
    </xdr:from>
    <xdr:to>
      <xdr:col>2</xdr:col>
      <xdr:colOff>504825</xdr:colOff>
      <xdr:row>49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29BE9A-A53C-578F-E1D9-7B1045B1A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400050</xdr:colOff>
      <xdr:row>16</xdr:row>
      <xdr:rowOff>7937</xdr:rowOff>
    </xdr:from>
    <xdr:to>
      <xdr:col>8</xdr:col>
      <xdr:colOff>1571625</xdr:colOff>
      <xdr:row>34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75B9B7-89E9-F4E3-7EEC-82418184E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311150</xdr:colOff>
      <xdr:row>35</xdr:row>
      <xdr:rowOff>74612</xdr:rowOff>
    </xdr:from>
    <xdr:to>
      <xdr:col>9</xdr:col>
      <xdr:colOff>247650</xdr:colOff>
      <xdr:row>56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AB60707-DF60-9FAE-B6FA-A1274E86B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387350</xdr:colOff>
      <xdr:row>15</xdr:row>
      <xdr:rowOff>9525</xdr:rowOff>
    </xdr:from>
    <xdr:to>
      <xdr:col>7</xdr:col>
      <xdr:colOff>152400</xdr:colOff>
      <xdr:row>29</xdr:row>
      <xdr:rowOff>174625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EFFC4B-94AB-3C12-F43A-6800B1E19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an" refreshedDate="46072.901284143518" createdVersion="8" refreshedVersion="8" minRefreshableVersion="3" recordCount="1220" xr:uid="{9AC190D1-3CEE-458E-A26D-BA9BE43FDA90}">
  <cacheSource type="worksheet">
    <worksheetSource ref="A1:N1221" sheet="Red Pasta Sauce data Aldi"/>
  </cacheSource>
  <cacheFields count="14">
    <cacheField name="Product Code" numFmtId="0">
      <sharedItems count="1220">
        <s v="077644900478"/>
        <s v="641208993932"/>
        <s v="747479001557"/>
        <s v="677294999039"/>
        <s v="891752001052"/>
        <s v="051000105462"/>
        <s v="036200431535"/>
        <s v="747479101882"/>
        <s v="075462010393"/>
        <s v="628110146021"/>
        <s v="070796900105"/>
        <s v="092474181613"/>
        <s v="033157000012"/>
        <s v="076050170239"/>
        <s v="073214009473"/>
        <s v="036200204306"/>
        <s v="075462042103"/>
        <s v="033157000043"/>
        <s v="072343000016"/>
        <s v="072551250012"/>
        <s v="029737004211"/>
        <s v="051000280091"/>
        <s v="057000012533"/>
        <s v="868391000319"/>
        <s v="015229411612"/>
        <s v="753469010034"/>
        <s v="033157000029"/>
        <s v="860002303628"/>
        <s v="731338999024"/>
        <s v="051000195302"/>
        <s v="027000500064"/>
        <s v="850503004018"/>
        <s v="036200431924"/>
        <s v="051000132819"/>
        <s v="057000012465"/>
        <s v="673388196100"/>
        <s v="036200431993"/>
        <s v="863645000428"/>
        <s v="739276000154"/>
        <s v="070900501518"/>
        <s v="850008833113"/>
        <s v="850069997021"/>
        <s v="072343000535"/>
        <s v="891752001014"/>
        <s v="798304088991"/>
        <s v="020662000200"/>
        <s v="057000034603"/>
        <s v="812603020749"/>
        <s v="051000284327"/>
        <s v="063211041194"/>
        <s v="860006000332"/>
        <s v="850004639085"/>
        <s v="051000270122"/>
        <s v="860002303611"/>
        <s v="860281001321"/>
        <s v="096906023243"/>
        <s v="725342114658"/>
        <s v="710996010036"/>
        <s v="037363987839"/>
        <s v="041736000230"/>
        <s v="051000284334"/>
        <s v="810095661686"/>
        <s v="051000270139"/>
        <s v="850687400026"/>
        <s v="075462042202"/>
        <s v="057000330088"/>
        <s v="733636330035"/>
        <s v="665570999088"/>
        <s v="850017808539"/>
        <s v="747479001052"/>
        <s v="811497008376"/>
        <s v="896859000625"/>
        <s v="077644816151"/>
        <s v="099986000135"/>
        <s v="057000012496"/>
        <s v="048176843458"/>
        <s v="677294991071"/>
        <s v="073214008476"/>
        <s v="036200430750"/>
        <s v="852300001559"/>
        <s v="641208990917"/>
        <s v="076050170833"/>
        <s v="853896007109"/>
        <s v="810177550198"/>
        <s v="677294991200"/>
        <s v="760229001003"/>
        <s v="048176843625"/>
        <s v="036200430774"/>
        <s v="611962002003"/>
        <s v="814343020904"/>
        <s v="850049357029"/>
        <s v="628055758075"/>
        <s v="077644303323"/>
        <s v="049539015833"/>
        <s v="712052333332"/>
        <s v="850022820915"/>
        <s v="710996010012"/>
        <s v="790302793303"/>
        <s v="024722000100"/>
        <s v="041129077023"/>
        <s v="850008623196"/>
        <s v="051000276223"/>
        <s v="070796910005"/>
        <s v="073214009435"/>
        <s v="070234004150"/>
        <s v="857572003553"/>
        <s v="033954820028"/>
        <s v="747479000215"/>
        <s v="081319819408"/>
        <s v="700982133047"/>
        <s v="014886500011"/>
        <s v="036200430996"/>
        <s v="024842409371"/>
        <s v="710069175068"/>
        <s v="076050170826"/>
        <s v="860003305881"/>
        <s v="089397111971"/>
        <s v="860010562024"/>
        <s v="688672109025"/>
        <s v="850004639061"/>
        <s v="057000330095"/>
        <s v="027000500088"/>
        <s v="073214008599"/>
        <s v="753469010164"/>
        <s v="076808008746"/>
        <s v="070234004211"/>
        <s v="020662001665"/>
        <s v="811527000028"/>
        <s v="747479101721"/>
        <s v="747479001045"/>
        <s v="051000280107"/>
        <s v="688672109018"/>
        <s v="041129000588"/>
        <s v="036200004647"/>
        <s v="096906002262"/>
        <s v="072343000542"/>
        <s v="077644304320"/>
        <s v="036200431528"/>
        <s v="810095661129"/>
        <s v="863373000134"/>
        <s v="855019000936"/>
        <s v="057000037178"/>
        <s v="086706801714"/>
        <s v="074908360337"/>
        <s v="071403001970"/>
        <s v="080602024758"/>
        <s v="063211060355"/>
        <s v="089397111902"/>
        <s v="850004639092"/>
        <s v="779566122197"/>
        <s v="739276000260"/>
        <s v="725342286768"/>
        <s v="609231202520"/>
        <s v="077644901413"/>
        <s v="747479001144"/>
        <s v="057000012526"/>
        <s v="072940758082"/>
        <s v="062639373207"/>
        <s v="609231000034"/>
        <s v="897712001018"/>
        <s v="725342132164"/>
        <s v="072343000191"/>
        <s v="027000500132"/>
        <s v="677294991156"/>
        <s v="081610602013"/>
        <s v="677294998018"/>
        <s v="036200431719"/>
        <s v="076050170307"/>
        <s v="074908360511"/>
        <s v="753469010027"/>
        <s v="805750937039"/>
        <s v="861938000322"/>
        <s v="860010086032"/>
        <s v="852662649017"/>
        <s v="871398000022"/>
        <s v="027000422403"/>
        <s v="857572003560"/>
        <s v="041129077856"/>
        <s v="041129088005"/>
        <s v="761956127417"/>
        <s v="711381317600"/>
        <s v="628110146120"/>
        <s v="741890123508"/>
        <s v="725342283569"/>
        <s v="884337000007"/>
        <s v="199590704501"/>
        <s v="852082002027"/>
        <s v="070234066301"/>
        <s v="080602024703"/>
        <s v="850022820885"/>
        <s v="057000330019"/>
        <s v="074908324407"/>
        <s v="051000129109"/>
        <s v="039396005092"/>
        <s v="855019004064"/>
        <s v="195893990337"/>
        <s v="648505540487"/>
        <s v="072368420417"/>
        <s v="036200219331"/>
        <s v="098836100063"/>
        <s v="057000330002"/>
        <s v="811527000011"/>
        <s v="073214008988"/>
        <s v="860003305812"/>
        <s v="070900501211"/>
        <s v="072343000146"/>
        <s v="811497008482"/>
        <s v="710996009030"/>
        <s v="855019000318"/>
        <s v="074908370015"/>
        <s v="728119198738"/>
        <s v="897712001087"/>
        <s v="036200431795"/>
        <s v="036200013649"/>
        <s v="073214008490"/>
        <s v="761956127806"/>
        <s v="759110325939"/>
        <s v="070796900143"/>
        <s v="780961206245"/>
        <s v="033157500024"/>
        <s v="036200014110"/>
        <s v="868391000357"/>
        <s v="057000330125"/>
        <s v="041129631102"/>
        <s v="860006342326"/>
        <s v="747479001076"/>
        <s v="861938000339"/>
        <s v="747479101905"/>
        <s v="400021776241"/>
        <s v="041129077696"/>
        <s v="036200431009"/>
        <s v="036200004685"/>
        <s v="816106020190"/>
        <s v="810095661877"/>
        <s v="779566121794"/>
        <s v="085917230528"/>
        <s v="036200004449"/>
        <s v="073214008452"/>
        <s v="855019004286"/>
        <s v="850016688033"/>
        <s v="065302300036"/>
        <s v="852662649031"/>
        <s v="020662006134"/>
        <s v="641208990931"/>
        <s v="710069705074"/>
        <s v="897383001034"/>
        <s v="015229411599"/>
        <s v="198715839708"/>
        <s v="859210004021"/>
        <s v="811497008468"/>
        <s v="863957000215"/>
        <s v="648505540517"/>
        <s v="863996000221"/>
        <s v="051000284310"/>
        <s v="747479001038"/>
        <s v="853507008945"/>
        <s v="074908360597"/>
        <s v="861938000315"/>
        <s v="850016688002"/>
        <s v="850041276137"/>
        <s v="026825008939"/>
        <s v="036200038307"/>
        <s v="846558000006"/>
        <s v="086706801721"/>
        <s v="076050800266"/>
        <s v="089397111841"/>
        <s v="711381321072"/>
        <s v="812334030000"/>
        <s v="085917230603"/>
        <s v="098836100056"/>
        <s v="860009228962"/>
        <s v="036200219225"/>
        <s v="072368420424"/>
        <s v="609231000027"/>
        <s v="745051931919"/>
        <s v="856781008328"/>
        <s v="036200914984"/>
        <s v="036200431511"/>
        <s v="747479500432"/>
        <s v="850017990029"/>
        <s v="070796900136"/>
        <s v="027000500149"/>
        <s v="024722000032"/>
        <s v="745051931926"/>
        <s v="872408004214"/>
        <s v="856781008373"/>
        <s v="057000330163"/>
        <s v="020662000224"/>
        <s v="074908360115"/>
        <s v="710996009016"/>
        <s v="057000012458"/>
        <s v="070234003801"/>
        <s v="072343000221"/>
        <s v="066086090182"/>
        <s v="747479500449"/>
        <s v="041498181550"/>
        <s v="481769439537"/>
        <s v="086341604169"/>
        <s v="854796008012"/>
        <s v="066086090021"/>
        <s v="854796008036"/>
        <s v="020662004611"/>
        <s v="812603021173"/>
        <s v="628693199049"/>
        <s v="731338962332"/>
        <s v="041129077627"/>
        <s v="057000012540"/>
        <s v="036200219348"/>
        <s v="799210900018"/>
        <s v="024000523635"/>
        <s v="711667000196"/>
        <s v="854796008043"/>
        <s v="036200013816"/>
        <s v="051000269775"/>
        <s v="854693000843"/>
        <s v="850015101045"/>
        <s v="628693199056"/>
        <s v="048176843250"/>
        <s v="076937001120"/>
        <s v="085678100832"/>
        <s v="869081000411"/>
        <s v="609231202551"/>
        <s v="850148004183"/>
        <s v="853896007093"/>
        <s v="783860700012"/>
        <s v="850024735040"/>
        <s v="812603020756"/>
        <s v="015229411582"/>
        <s v="051000270580"/>
        <s v="026825008908"/>
        <s v="793232516578"/>
        <s v="076050170215"/>
        <s v="070234064161"/>
        <s v="051000286901"/>
        <s v="092474181293"/>
        <s v="747479001564"/>
        <s v="677294998094"/>
        <s v="072117000051"/>
        <s v="749569272854"/>
        <s v="073567000059"/>
        <s v="854693000065"/>
        <s v="085000883334"/>
        <s v="798235693868"/>
        <s v="710069127357"/>
        <s v="036921192210"/>
        <s v="628055758013"/>
        <s v="753469010041"/>
        <s v="753469010140"/>
        <s v="077644826228"/>
        <s v="637405889901"/>
        <s v="854160002004"/>
        <s v="811497008451"/>
        <s v="076195672001"/>
        <s v="037363987808"/>
        <s v="725342132249"/>
        <s v="863373000127"/>
        <s v="688672109124"/>
        <s v="076050800259"/>
        <s v="725342132270"/>
        <s v="073214008469"/>
        <s v="022099699002"/>
        <s v="036200914014"/>
        <s v="860000631808"/>
        <s v="861938000346"/>
        <s v="070796900167"/>
        <s v="051000050441"/>
        <s v="761956127400"/>
        <s v="677294991187"/>
        <s v="020662006189"/>
        <s v="051000223913"/>
        <s v="609231000058"/>
        <s v="718661100150"/>
        <s v="074908324384"/>
        <s v="863996000238"/>
        <s v="877448006815"/>
        <s v="850148004008"/>
        <s v="077644301329"/>
        <s v="041129274705"/>
        <s v="027000500071"/>
        <s v="072940758037"/>
        <s v="850024735033"/>
        <s v="063211026566"/>
        <s v="850041276052"/>
        <s v="810048160198"/>
        <s v="855019004040"/>
        <s v="072457980778"/>
        <s v="896175002013"/>
        <s v="725342132232"/>
        <s v="850024735576"/>
        <s v="086341603162"/>
        <s v="628055758358"/>
        <s v="048176843526"/>
        <s v="072368424415"/>
        <s v="077028870403"/>
        <s v="072343000603"/>
        <s v="072940110118"/>
        <s v="749569272960"/>
        <s v="036200219324"/>
        <s v="036200144299"/>
        <s v="036200018026"/>
        <s v="070796900266"/>
        <s v="731338928772"/>
        <s v="015532000114"/>
        <s v="036200431757"/>
        <s v="863850000121"/>
        <s v="072343000573"/>
        <s v="085757200354"/>
        <s v="855425003002"/>
        <s v="051000027979"/>
        <s v="767563068150"/>
        <s v="070234007458"/>
        <s v="718661100501"/>
        <s v="648505507237"/>
        <s v="041129000526"/>
        <s v="749569272878"/>
        <s v="051000250322"/>
        <s v="728119198721"/>
        <s v="860006000301"/>
        <s v="677294998520"/>
        <s v="020662003904"/>
        <s v="073872746246"/>
        <s v="072343000580"/>
        <s v="798235702744"/>
        <s v="033157000128"/>
        <s v="860004856016"/>
        <s v="879026010153"/>
        <s v="896859000601"/>
        <s v="710996010029"/>
        <s v="749569272922"/>
        <s v="036200430767"/>
        <s v="027000500101"/>
        <s v="051000027924"/>
        <s v="033698815021"/>
        <s v="000204693206"/>
        <s v="710069175051"/>
        <s v="036200229316"/>
        <s v="613960103669"/>
        <s v="046212517844"/>
        <s v="077644901383"/>
        <s v="811497008338"/>
        <s v="072343000184"/>
        <s v="747479101875"/>
        <s v="688672103023"/>
        <s v="027000422731"/>
        <s v="085917230511"/>
        <s v="868391000395"/>
        <s v="677294991262"/>
        <s v="076050170284"/>
        <s v="748252561541"/>
        <s v="850687400019"/>
        <s v="041736000315"/>
        <s v="711381321065"/>
        <s v="860010086001"/>
        <s v="741890123751"/>
        <s v="648505507213"/>
        <s v="736211338754"/>
        <s v="041129077115"/>
        <s v="076808008722"/>
        <s v="036200199091"/>
        <s v="891752001007"/>
        <s v="860002303604"/>
        <s v="748252561640"/>
        <s v="066086090205"/>
        <s v="036200378151"/>
        <s v="057000330118"/>
        <s v="036200004456"/>
        <s v="868391000333"/>
        <s v="860009228948"/>
        <s v="051000284303"/>
        <s v="046015165402"/>
        <s v="076050800211"/>
        <s v="791946130172"/>
        <s v="850017808492"/>
        <s v="860000631839"/>
        <s v="799210900025"/>
        <s v="733636330042"/>
        <s v="049539990024"/>
        <s v="876045006419"/>
        <s v="057000012564"/>
        <s v="726768000006"/>
        <s v="027000422380"/>
        <s v="677294991170"/>
        <s v="851799003129"/>
        <s v="066086090304"/>
        <s v="089397111858"/>
        <s v="840224600910"/>
        <s v="855019004019"/>
        <s v="855019004163"/>
        <s v="072368424989"/>
        <s v="014886500059"/>
        <s v="716815005320"/>
        <s v="080602024765"/>
        <s v="048176844523"/>
        <s v="860000161619"/>
        <s v="790302793280"/>
        <s v="863850000114"/>
        <s v="070234004501"/>
        <s v="859210004007"/>
        <s v="876045006402"/>
        <s v="850041276380"/>
        <s v="048176843052"/>
        <s v="858981004001"/>
        <s v="850008623219"/>
        <s v="041129077900"/>
        <s v="850004639641"/>
        <s v="051000012142"/>
        <s v="850041276120"/>
        <s v="860010562000"/>
        <s v="850017819542"/>
        <s v="860006000349"/>
        <s v="077644901123"/>
        <s v="725342282661"/>
        <s v="039396005054"/>
        <s v="814343020928"/>
        <s v="853507008969"/>
        <s v="853507008952"/>
        <s v="860002292427"/>
        <s v="036200431368"/>
        <s v="706010112978"/>
        <s v="070234004112"/>
        <s v="670541583289"/>
        <s v="641208990924"/>
        <s v="073214009459"/>
        <s v="648505507244"/>
        <s v="075462041908"/>
        <s v="062639373214"/>
        <s v="057000330170"/>
        <s v="036200013809"/>
        <s v="725342132157"/>
        <s v="850004639719"/>
        <s v="036200004005"/>
        <s v="689823012393"/>
        <s v="077644901406"/>
        <s v="040784988507"/>
        <s v="071403001932"/>
        <s v="094368007047"/>
        <s v="855615002273"/>
        <s v="896175002310"/>
        <s v="074683099491"/>
        <s v="076050170437"/>
        <s v="070234066707"/>
        <s v="076050170345"/>
        <s v="074908360306"/>
        <s v="066086090007"/>
        <s v="081319819835"/>
        <s v="086000600037"/>
        <s v="089397108483"/>
        <s v="897383001041"/>
        <s v="051000292827"/>
        <s v="041129632406"/>
        <s v="026825008359"/>
        <s v="057000012519"/>
        <s v="072343000559"/>
        <s v="070234007700"/>
        <s v="850024735026"/>
        <s v="852082002003"/>
        <s v="609231000010"/>
        <s v="070234066158"/>
        <s v="024000523673"/>
        <s v="046212519848"/>
        <s v="070234007502"/>
        <s v="041129077054"/>
        <s v="074908360313"/>
        <s v="850017808430"/>
        <s v="736211338655"/>
        <s v="074683099460"/>
        <s v="072343000566"/>
        <s v="733636330172"/>
        <s v="070234004709"/>
        <s v="860009258600"/>
        <s v="628693199063"/>
        <s v="051000015983"/>
        <s v="860001364705"/>
        <s v="086341608167"/>
        <s v="015229411605"/>
        <s v="071072004067"/>
        <s v="810048160181"/>
        <s v="810067729529"/>
        <s v="076195612748"/>
        <s v="071072004012"/>
        <s v="712392799553"/>
        <s v="054996932364"/>
        <s v="074683099132"/>
        <s v="861820000102"/>
        <s v="065302300029"/>
        <s v="747479500265"/>
        <s v="820581175931"/>
        <s v="735062001602"/>
        <s v="879026010146"/>
        <s v="074908360122"/>
        <s v="876045006518"/>
        <s v="850015101021"/>
        <s v="089397111889"/>
        <s v="073214008483"/>
        <s v="855019004026"/>
        <s v="688672103030"/>
        <s v="070234017501"/>
        <s v="782301236943"/>
        <s v="072095032013"/>
        <s v="024000523642"/>
        <s v="096906008264"/>
        <s v="072551250036"/>
        <s v="086395700022"/>
        <s v="036200431740"/>
        <s v="850024735705"/>
        <s v="033157000203"/>
        <s v="860002854168"/>
        <s v="810177550112"/>
        <s v="733636330318"/>
        <s v="893719002058"/>
        <s v="057000012502"/>
        <s v="076808008753"/>
        <s v="739276000185"/>
        <s v="072343000528"/>
        <s v="036200430002"/>
        <s v="850024735644"/>
        <s v="051000273024"/>
        <s v="747479000086"/>
        <s v="850015101014"/>
        <s v="072343000122"/>
        <s v="879026010177"/>
        <s v="753469010058"/>
        <s v="091037609090"/>
        <s v="739276000666"/>
        <s v="876045006426"/>
        <s v="074908324391"/>
        <s v="710033916321"/>
        <s v="094368007023"/>
        <s v="077644901390"/>
        <s v="080602024895"/>
        <s v="048176847029"/>
        <s v="062639373221"/>
        <s v="747479000079"/>
        <s v="048176844325"/>
        <s v="677294999046"/>
        <s v="745051931933"/>
        <s v="051000187086"/>
        <s v="648505540494"/>
        <s v="036200431733"/>
        <s v="051000087263"/>
        <s v="747479000017"/>
        <s v="086706801738"/>
        <s v="677294991149"/>
        <s v="082083000023"/>
        <s v="041129077122"/>
        <s v="739276000253"/>
        <s v="070234006529"/>
        <s v="860006000318"/>
        <s v="850012006121"/>
        <s v="051000198563"/>
        <s v="742753347482"/>
        <s v="688672101005"/>
        <s v="013000011853"/>
        <s v="761956813518"/>
        <s v="036921562068"/>
        <s v="850041276045"/>
        <s v="058807422853"/>
        <s v="790208003933"/>
        <s v="086364500042"/>
        <s v="077644302326"/>
        <s v="725342132287"/>
        <s v="716815004422"/>
        <s v="036200430668"/>
        <s v="033157500000"/>
        <s v="820581175924"/>
        <s v="867535000208"/>
        <s v="036200219317"/>
        <s v="860395000425"/>
        <s v="897712001070"/>
        <s v="891752001076"/>
        <s v="641208990948"/>
        <s v="860000702201"/>
        <s v="036200431894"/>
        <s v="051000286567"/>
        <s v="066086082200"/>
        <s v="041736000254"/>
        <s v="036200431542"/>
        <s v="020662006158"/>
        <s v="062639373160"/>
        <s v="041129395905"/>
        <s v="085917230610"/>
        <s v="609231202544"/>
        <s v="860000161640"/>
        <s v="428350276010"/>
        <s v="072368004396"/>
        <s v="855019000424"/>
        <s v="036200430972"/>
        <s v="072343000504"/>
        <s v="810067729482"/>
        <s v="051000025111"/>
        <s v="786173972022"/>
        <s v="033157660018"/>
        <s v="850024735019"/>
        <s v="787269652453"/>
        <s v="077644305327"/>
        <s v="710069312012"/>
        <s v="063211060362"/>
        <s v="878877000283"/>
        <s v="072368124377"/>
        <s v="850024735088"/>
        <s v="072368424361"/>
        <s v="857028000037"/>
        <s v="632138389650"/>
        <s v="728119198707"/>
        <s v="733636330141"/>
        <s v="850024735057"/>
        <s v="876045006433"/>
        <s v="747479000093"/>
        <s v="855019004002"/>
        <s v="710996010005"/>
        <s v="850024735002"/>
        <s v="057000330026"/>
        <s v="733636330103"/>
        <s v="688672102002"/>
        <s v="020662006172"/>
        <s v="085000883303"/>
        <s v="863955000231"/>
        <s v="079706014512"/>
        <s v="064200010146"/>
        <s v="706010112947"/>
        <s v="850024735064"/>
        <s v="860000161602"/>
        <s v="036200004401"/>
        <s v="072551250029"/>
        <s v="046212678910"/>
        <s v="057000012472"/>
        <s v="814343020911"/>
        <s v="057000330040"/>
        <s v="860281001307"/>
        <s v="041129424506"/>
        <s v="855019000400"/>
        <s v="020662006110"/>
        <s v="810067729468"/>
        <s v="745051932053"/>
        <s v="043800450057"/>
        <s v="855019000349"/>
        <s v="897383001027"/>
        <s v="086341607160"/>
        <s v="677294991125"/>
        <s v="851799003082"/>
        <s v="859935002029"/>
        <s v="860004511526"/>
        <s v="852662649314"/>
        <s v="089397111964"/>
        <s v="812603020732"/>
        <s v="733636330165"/>
        <s v="624756995221"/>
        <s v="725342289868"/>
        <s v="081319819323"/>
        <s v="747479001151"/>
        <s v="076050170253"/>
        <s v="041129077825"/>
        <s v="865041000224"/>
        <s v="628693199070"/>
        <s v="860009228917"/>
        <s v="080602026776"/>
        <s v="024000523697"/>
        <s v="070796900181"/>
        <s v="077644901420"/>
        <s v="075462041809"/>
        <s v="041188043106"/>
        <s v="051000227447"/>
        <s v="081319819309"/>
        <s v="747479101967"/>
        <s v="628110146106"/>
        <s v="860004856078"/>
        <s v="711381321225"/>
        <s v="036200000502"/>
        <s v="871398000015"/>
        <s v="051000286215"/>
        <s v="041331021463"/>
        <s v="735062001701"/>
        <s v="863955000255"/>
        <s v="072551250005"/>
        <s v="051000270566"/>
        <s v="747479000406"/>
        <s v="086341609164"/>
        <s v="791946130165"/>
        <s v="780961206429"/>
        <s v="072343000214"/>
        <s v="677294998032"/>
        <s v="747479001601"/>
        <s v="066086990154"/>
        <s v="791946130196"/>
        <s v="897712001063"/>
        <s v="048176843953"/>
        <s v="072368420400"/>
        <s v="048176844653"/>
        <s v="074908324414"/>
        <s v="741890123584"/>
        <s v="070900502638"/>
        <s v="747479000130"/>
        <s v="747479001502"/>
        <s v="628693199018"/>
        <s v="721865971006"/>
        <s v="074908370022"/>
        <s v="677294998025"/>
        <s v="033157888030"/>
        <s v="677294981324"/>
        <s v="811497008352"/>
        <s v="856044003312"/>
        <s v="753182479538"/>
        <s v="041129000595"/>
        <s v="860004856009"/>
        <s v="064144042258"/>
        <s v="195893408535"/>
        <s v="850024735453"/>
        <s v="063211041255"/>
        <s v="051000050434"/>
        <s v="089397104959"/>
        <s v="628110146113"/>
        <s v="036200219201"/>
        <s v="860003305805"/>
        <s v="014285001935"/>
        <s v="850008557071"/>
        <s v="738529000835"/>
        <s v="739276000451"/>
        <s v="810095661150"/>
        <s v="850024735071"/>
        <s v="706010112923"/>
        <s v="036200013755"/>
        <s v="024842311216"/>
        <s v="041736000322"/>
        <s v="852300001009"/>
        <s v="850049357012"/>
        <s v="628055758006"/>
        <s v="072368424408"/>
        <s v="072343000511"/>
        <s v="041331021494"/>
        <s v="780961206306"/>
        <s v="096906002330"/>
        <s v="051000292810"/>
        <s v="057000330071"/>
        <s v="711381321041"/>
        <s v="810002320309"/>
        <s v="859429051830"/>
        <s v="072368420493"/>
        <s v="033157500130"/>
        <s v="609231202513"/>
        <s v="066086090045"/>
        <s v="850017990036"/>
        <s v="085742800750"/>
        <s v="040784986503"/>
        <s v="710033916352"/>
        <s v="071072004005"/>
        <s v="089397108490"/>
        <s v="077441000319"/>
        <s v="850008833038"/>
        <s v="749569273004"/>
        <s v="860002303635"/>
        <s v="033157000036"/>
        <s v="860010171134"/>
        <s v="810177550136"/>
        <s v="051000027993"/>
        <s v="677294991460"/>
        <s v="860008191823"/>
        <s v="893719002041"/>
        <s v="036200431702"/>
        <s v="097137353505"/>
        <s v="810095660047"/>
        <s v="026825007017"/>
        <s v="891752001021"/>
        <s v="860004856023"/>
        <s v="041335336372"/>
        <s v="876045006525"/>
        <s v="677294999022"/>
        <s v="073214009503"/>
        <s v="041736000308"/>
        <s v="747479004015"/>
        <s v="074908000325"/>
        <s v="048176843823"/>
        <s v="811497008475"/>
        <s v="860001364712"/>
        <s v="859935002012"/>
        <s v="810095661662"/>
        <s v="036200431764"/>
        <s v="747479500487"/>
        <s v="856781008359"/>
        <s v="747479101981"/>
        <s v="855019000172"/>
        <s v="854693000850"/>
        <s v="868099000307"/>
        <s v="785614136429"/>
        <s v="648505507206"/>
        <s v="850020861026"/>
        <s v="747479101912"/>
        <s v="041129088203"/>
        <s v="051000093240"/>
        <s v="733636331056"/>
        <s v="851799003006"/>
        <s v="753182257297"/>
        <s v="087872993043"/>
        <s v="850004639634"/>
        <s v="850020861033"/>
        <s v="063211026542"/>
        <s v="677294991132"/>
        <s v="065302300012"/>
        <s v="036200014981"/>
        <s v="850041276199"/>
        <s v="783860700029"/>
        <s v="850148004251"/>
        <s v="810177550150"/>
        <s v="046015165396"/>
        <s v="850017808485"/>
        <s v="041129077009"/>
        <s v="072343000245"/>
        <s v="648505540500"/>
        <s v="861820000119"/>
        <s v="057000330156"/>
        <s v="850009885715"/>
        <s v="673388196124"/>
        <s v="850009885722"/>
        <s v="786173932026"/>
        <s v="036200014998"/>
        <s v="037677022103"/>
        <s v="073214009404"/>
        <s v="074908360269"/>
        <s v="051000286222"/>
        <s v="086341606163"/>
        <s v="863996000207"/>
        <s v="860395000418"/>
        <s v="051000292834"/>
        <s v="860010171110"/>
        <s v="076808008814"/>
        <s v="074908360498"/>
        <s v="863850000107"/>
        <s v="051000227461"/>
        <s v="739276000499"/>
        <s v="077441000333"/>
        <s v="041736000339"/>
        <s v="859429051908"/>
        <s v="868391000364"/>
        <s v="850008623127"/>
        <s v="074908360627"/>
        <s v="051000280725"/>
        <s v="085494706904"/>
        <s v="854160002011"/>
        <s v="036200430682"/>
        <s v="070234017921"/>
        <s v="850017990074"/>
        <s v="854796008005"/>
        <s v="015532000121"/>
        <s v="850004639078"/>
        <s v="085917230627"/>
        <s v="728119198714"/>
        <s v="855019000417"/>
        <s v="051000250315"/>
        <s v="884337007716"/>
        <s v="854693000973"/>
        <s v="041349000474"/>
        <s v="677294991040"/>
        <s v="070234004556"/>
        <s v="850041276243"/>
        <s v="072117000044"/>
        <s v="029737600444"/>
        <s v="810095660221"/>
        <s v="020662001498"/>
        <s v="033157000074"/>
        <s v="051000286550"/>
        <s v="094368512503"/>
        <s v="609231000300"/>
        <s v="863996000214"/>
        <s v="855019000325"/>
        <s v="027000500057"/>
        <s v="860395000401"/>
        <s v="747479000031"/>
        <s v="850024735873"/>
        <s v="081319819347"/>
        <s v="027000391037"/>
        <s v="036200431214"/>
        <s v="857028000044"/>
        <s v="731338899577"/>
        <s v="798235725514"/>
        <s v="850036076025"/>
        <s v="860010086049"/>
        <s v="876045006471"/>
        <s v="850036076001"/>
        <s v="677294981362"/>
        <s v="074683099422"/>
        <s v="051000286208"/>
        <s v="726768731603"/>
        <s v="051000173454"/>
        <s v="733636330028"/>
        <s v="051000270146"/>
        <s v="080602026783"/>
        <s v="036200223024"/>
        <s v="686457030212"/>
        <s v="810048160174"/>
        <s v="609231000096"/>
        <s v="725342132256"/>
        <s v="677294991507"/>
        <s v="076808003031"/>
        <s v="400021952386"/>
        <s v="072368420387"/>
        <s v="855615002716"/>
        <s v="793232516554"/>
        <s v="041129424605"/>
        <s v="085917230559"/>
        <s v="072368420301"/>
        <s v="800501678278"/>
        <s v="850036076018"/>
        <s v="850008833052"/>
        <s v="798235725507"/>
        <s v="879026010108"/>
        <s v="001522941161"/>
        <s v="855615002280"/>
        <s v="015229411629"/>
        <s v="066086090120"/>
        <s v="710069175013"/>
        <s v="747479000123"/>
        <s v="057000012588"/>
        <s v="854693000836"/>
        <s v="863850000190"/>
        <s v="041129632109"/>
        <s v="605615111136"/>
        <s v="896175002112"/>
        <s v="628719692073"/>
        <s v="026825008915"/>
        <s v="090972500042"/>
        <s v="860006000387"/>
        <s v="648505540340"/>
        <s v="860010171127"/>
        <s v="605615111150"/>
        <s v="070234004303"/>
        <s v="036200018002"/>
        <s v="073214008445"/>
        <s v="027000500514"/>
        <s v="710069312036"/>
        <s v="072940758075"/>
        <s v="020662003911"/>
        <s v="891752001069"/>
        <s v="492124003713"/>
        <s v="748252561749"/>
        <s v="036200004883"/>
        <s v="080602024710"/>
        <s v="051000012104"/>
        <s v="041129424551"/>
        <s v="075717952096"/>
        <s v="086395500028"/>
        <s v="048176843724"/>
        <s v="036200431917"/>
        <s v="733636330073"/>
        <s v="057000012489"/>
        <s v="860006000325"/>
        <s v="609231000997"/>
        <s v="710996009023"/>
        <s v="727839168861"/>
        <s v="863955000200"/>
        <s v="400041500017"/>
        <s v="710069312029"/>
        <s v="036200014943"/>
        <s v="004601516540"/>
        <s v="850687400064"/>
        <s v="074908360276"/>
        <s v="081319922733"/>
        <s v="624756995337"/>
        <s v="074683099477"/>
        <s v="074908360207"/>
        <s v="086341605166"/>
        <s v="036200004418"/>
        <s v="852662649024"/>
        <s v="673388196117"/>
        <s v="850069997014"/>
        <s v="072368024349"/>
        <s v="041129000571"/>
        <s v="049539524861"/>
        <s v="747479000048"/>
        <s v="760229002000"/>
        <s v="854021001108"/>
        <s v="738529000460"/>
        <s v="859935002005"/>
        <s v="677294991118"/>
        <s v="745051932084"/>
        <s v="710033916338"/>
        <s v="852300001023"/>
        <s v="036200014219"/>
        <s v="854021001115"/>
        <s v="609231000072"/>
        <s v="051000270153"/>
        <s v="074908360139"/>
        <s v="706010112961"/>
        <s v="080602026301"/>
        <s v="073214009480"/>
        <s v="719433100033"/>
        <s v="090972500035"/>
        <s v="896175002327"/>
        <s v="860008191830"/>
        <s v="878877000047"/>
        <s v="074908360481"/>
        <s v="029737600406"/>
        <s v="086000925864"/>
        <s v="860009258617"/>
        <s v="689076798389"/>
        <s v="027000500118"/>
        <s v="855019000356"/>
        <s v="033157500123"/>
        <s v="024000523727"/>
        <s v="677294999015"/>
        <s v="041129274453"/>
        <s v="037363987822"/>
        <s v="860004511519"/>
        <s v="041129077429"/>
        <s v="057000012595"/>
        <s v="747479000604"/>
        <s v="051000015884"/>
        <s v="753469010065"/>
        <s v="810095661860"/>
        <s v="074908370046"/>
        <s v="051000276551"/>
        <s v="747479101714"/>
        <s v="860009258624"/>
        <s v="046015165419"/>
        <s v="850017990012"/>
        <s v="036200226285"/>
        <s v="024000523666"/>
        <s v="852300001153"/>
        <s v="039153500174"/>
        <s v="860002303642"/>
        <s v="062639373191"/>
        <s v="816106020121"/>
        <s v="036200431221"/>
        <s v="041129274606"/>
        <s v="036200431788"/>
        <s v="070796900273"/>
        <s v="710069175259"/>
        <s v="628719692011"/>
        <s v="036200431160"/>
        <s v="855019004033"/>
        <s v="860000689502"/>
        <s v="725342293469"/>
        <s v="747479001137"/>
        <s v="816106020145"/>
        <s v="747479001069"/>
        <s v="077644900409"/>
        <s v="700982133092"/>
        <s v="850024735095"/>
        <s v="051000027962"/>
        <s v="057000012441"/>
        <s v="850015101007"/>
        <s v="027000500019"/>
        <s v="879026010184"/>
        <s v="039153500204"/>
        <s v="077644900454"/>
        <s v="036200003008"/>
        <s v="070234017174"/>
        <s v="020662002655"/>
        <s v="079706014338"/>
        <s v="750218730120"/>
        <s v="058441003401"/>
        <s v="850017808584"/>
        <s v="850017990050"/>
        <s v="711381321058"/>
        <s v="704739100009"/>
        <s v="877448001674"/>
        <s v="753469015022"/>
        <s v="036200003503"/>
        <s v="057000330064"/>
        <s v="747479101943"/>
        <s v="086000451158"/>
        <s v="689823012355"/>
        <s v="855019000332"/>
        <s v="041129491409"/>
        <s v="074908360641"/>
        <s v="492124003744"/>
        <s v="036921192272"/>
        <s v="058807422860"/>
        <s v="074908360528"/>
        <s v="677294991279"/>
        <s v="798304089004"/>
        <s v="037363987815"/>
        <s v="710069175044"/>
        <s v="076050800242"/>
        <s v="863645000466"/>
        <s v="733636333005"/>
        <s v="071072004050"/>
        <s v="049539990017"/>
        <s v="036200222843"/>
        <s v="811497008345"/>
        <s v="051000271129"/>
        <s v="051000025487"/>
        <s v="677294998049"/>
        <s v="747479101868"/>
        <s v="739276000390"/>
        <s v="070900501808"/>
        <s v="884337000021"/>
        <s v="058807422815"/>
        <s v="761956813525"/>
        <s v="850687400033"/>
        <s v="058807422839"/>
        <s v="628693199032"/>
        <s v="860010562017"/>
        <s v="087872993029"/>
        <s v="036200018606"/>
        <s v="812334031533"/>
        <s v="086341600123"/>
        <s v="030271025105"/>
        <s v="020662006196"/>
        <s v="641208990955"/>
        <s v="076937001212"/>
        <s v="798304211634"/>
        <s v="081319819316"/>
        <s v="072368224381"/>
        <s v="850017990043"/>
        <s v="076808008739"/>
        <s v="064200010122"/>
        <s v="074908360634"/>
        <s v="057000330323"/>
        <s v="855019004057"/>
        <s v="747479500371"/>
        <s v="786173953052"/>
        <s v="072095032044"/>
        <s v="711526123479"/>
        <s v="865041000200"/>
        <s v="852082002010"/>
        <s v="072368424354"/>
        <s v="036200431696"/>
        <s v="850023196064"/>
        <s v="040784922006"/>
        <s v="074683099507"/>
        <s v="799210900001"/>
      </sharedItems>
    </cacheField>
    <cacheField name="Brand" numFmtId="0">
      <sharedItems count="283">
        <s v="Francesco Rinaldi"/>
        <s v="Carfagna'S"/>
        <s v="Rao'S"/>
        <s v="Brand: Monte Bene"/>
        <s v="Nanina'S In The Park"/>
        <s v="Prego"/>
        <s v="Bertolli"/>
        <s v="Visit The Rao'S Store"/>
        <s v="Dell'Alpe"/>
        <s v="Stefano Faita"/>
        <s v="Cento"/>
        <s v="Calandra'S"/>
        <s v="Orti Di Calabria"/>
        <s v="Paesana"/>
        <s v="Mezzetta"/>
        <s v="Ragu"/>
        <s v="Mids"/>
        <s v="Silver Star"/>
        <s v="Severino"/>
        <s v="Classico"/>
        <s v="Yo Mama'S"/>
        <s v="Sacla"/>
        <s v="Daves Gourmet"/>
        <s v="Gino Angelini"/>
        <s v="Hunt'S"/>
        <s v="Jesben"/>
        <s v="Ragãš"/>
        <s v="Cleveland'S Own Little Italy"/>
        <s v="De Massimo'S"/>
        <s v="Taste Of The Hill"/>
        <s v="Dei Fratelli"/>
        <s v="Cravings By Chrissy Teigen"/>
        <s v="Mid'S"/>
        <s v="Poblano Farm"/>
        <s v="Newman'S Own"/>
        <s v="Brand: Seggiano"/>
        <s v="Miscellaneous"/>
        <s v="Primal Kitchen"/>
        <s v=""/>
        <s v="Mom'S"/>
        <s v="Muir Glen"/>
        <s v="Nonna Pia'S"/>
        <s v="Michael Angelo'S"/>
        <s v="Filippo Berio"/>
        <s v="Botticelli"/>
        <s v="Pregoâ®"/>
        <s v="California Olive Ranch"/>
        <s v="Sonoma Gourmet"/>
        <s v="Jersey Italian Gravy"/>
        <s v="Rao'S Homemade"/>
        <s v="Tantillo Foods"/>
        <s v="Organicville"/>
        <s v="P&amp;S"/>
        <s v="Unknown"/>
        <s v="Carbone"/>
        <s v="Visit The Cucina Antica Store"/>
        <s v="Brand: Monjunis"/>
        <s v="Madewith"/>
        <s v="Fody"/>
        <s v="Cascone'S"/>
        <s v="Charlie'S On 6Th"/>
        <s v="Natura'S"/>
        <s v="Bellino"/>
        <s v="Victoria"/>
        <s v="Luigi Bonura'S"/>
        <s v="Casa Visco"/>
        <s v="Frank'S"/>
        <s v="Dell Amore"/>
        <s v="Buitoni"/>
        <s v="Gefen"/>
        <s v="Livwell"/>
        <s v="Racconto"/>
        <s v="Scarpetta"/>
        <s v="Dave'S Gourmet"/>
        <s v="Capa Di Roma"/>
        <s v="Delgrosso"/>
        <s v="Ferrara"/>
        <s v="Sclafani"/>
        <s v="O Sole Mio"/>
        <s v="Rigazzis"/>
        <s v="Muir Glen Organic"/>
        <s v="Bove'S"/>
        <s v="Tuttorosso"/>
        <s v="Only Goodness"/>
        <s v="Lidias"/>
        <s v="Cucina Antica"/>
        <s v="Pasta Jay'S"/>
        <s v="Organico Bello"/>
        <s v="Pirro'S"/>
        <s v="Ladoria"/>
        <s v="Ginos Salad Dressing"/>
        <s v="Stonewall Kitchen"/>
        <s v="Larosa'S"/>
        <s v="Cucina Fresca"/>
        <s v="Mia Cucina"/>
        <s v="Denunzioâ€™S Specialty Foods"/>
        <s v="Michaels Of Brooklyn"/>
        <s v="Ciao Pappy"/>
        <s v="Visit The Lucini Store"/>
        <s v="Delallo"/>
        <s v="Brand: Nonna Pias"/>
        <s v="Cucina &amp; Amore"/>
        <s v="Cucina Moderna"/>
        <s v="Don Pomodoro"/>
        <s v="Visit The Botticelli Store"/>
        <s v="O' Sole Mio"/>
        <s v="Bella Italia"/>
        <s v="Lynora'S"/>
        <s v="Authentica"/>
        <s v="Brand: Spinelli'S"/>
        <s v="Sacla'"/>
        <s v="Jules Tomato Sauce"/>
        <s v="Lucias Kitchen"/>
        <s v="Lucini"/>
        <s v="Hoboken Farms"/>
        <s v="Sauz"/>
        <s v="Gia Russa"/>
        <s v="Pomi"/>
        <s v="Campo D'Oro"/>
        <s v="Brand: Bella Italia"/>
        <s v="Yo Mama'S Foods"/>
        <s v="Lesauce"/>
        <s v="Carmine'S"/>
        <s v="Mama Mancini'S"/>
        <s v="Pastene"/>
        <s v="Reggano"/>
        <s v="Mantova"/>
        <s v="The Silver Palate"/>
        <s v="Its A Utica Thing !"/>
        <s v="It S A Utica Thing!"/>
        <s v="Seggiano"/>
        <s v="Anducci"/>
        <s v="Visit The Michaels Of Brooklyn Store"/>
        <s v="Bionaturae"/>
        <s v="Del Monte"/>
        <s v="Scardigno'S"/>
        <s v="Mias Kitchen"/>
        <s v="Just Like Home Kitchen Recipes"/>
        <s v="Osem"/>
        <s v="Le Sauce"/>
        <s v="Simmer"/>
        <s v="Brand: Vesper Brothers"/>
        <s v="Rustichella D'Abruzzo"/>
        <s v="Raos"/>
        <s v="Mutti"/>
        <s v="Visit The Mezzetta Store"/>
        <s v="Cajun Power"/>
        <s v="Terlato Kitchen"/>
        <s v="Brand: Ooma Tesoros"/>
        <s v="Brand: Muir Glen"/>
        <s v="Cortazzo"/>
        <s v="Tresca"/>
        <s v="Giovanni Rana"/>
        <s v="The Kraft Heinz Company"/>
        <s v="Di Bruno Bros."/>
        <s v="Walden Farms"/>
        <s v="Ethnic Cottage"/>
        <s v="Montova"/>
        <s v="Tonnelli"/>
        <s v="Montebello"/>
        <s v="Pasta Too"/>
        <s v="The Sonoma Kitchen"/>
        <s v="Mimi'S Gourmet"/>
        <s v="Lucini Italia"/>
        <s v="Frik &amp; Frak"/>
        <s v="Visit The Organico Bello Store"/>
        <s v="Artisola"/>
        <s v="Bono"/>
        <s v="Sun Of Italy"/>
        <s v="Pinton"/>
        <s v="Sal &amp; Judy'S"/>
        <s v="Sauces N Love"/>
        <s v="Brand: Guoml"/>
        <s v="Mama Valerio'S"/>
        <s v="Barilla"/>
        <s v="Green Mill"/>
        <s v="Visit The Bionaturae Store"/>
        <s v="Little Italy In The Bronx"/>
        <s v="Monjunis"/>
        <s v="Pizza Girl"/>
        <s v="Jar Goods"/>
        <s v="Bongiovi Brand"/>
        <s v="Kite Hill"/>
        <s v="Made With"/>
        <s v="Wisepies"/>
        <s v="Otamot"/>
        <s v="Carfagnas"/>
        <s v="Dell Alpe"/>
        <s v="Visit The Primal Kitchen Store"/>
        <s v="Pemberton'S"/>
        <s v="Bianco Dinapoli"/>
        <s v="Emerils"/>
        <s v="Brand: Victoria"/>
        <s v="Spinellis Sauce Co"/>
        <s v="Brand: Boves"/>
        <s v="Brand: Alla Famiglia"/>
        <s v="Alessi"/>
        <s v="The Pasta Queen"/>
        <s v="Brand: Jersey Italian Gravy"/>
        <s v="Emeril"/>
        <s v="Brand: Cannizzaro Famiglia"/>
        <s v="Amato'S"/>
        <s v="Moms"/>
        <s v="Ragãº"/>
        <s v="Montes Fine Foods"/>
        <s v="Chef Mel"/>
        <s v="Four J"/>
        <s v="Nonna Carmen"/>
        <s v="Monte Bene"/>
        <s v="Mister C'S"/>
        <s v="Zias"/>
        <s v="Visit The Frik &amp; Frak Store"/>
        <s v="Little Venice"/>
        <s v="Pasta Prima"/>
        <s v="Visit The Sauz Store"/>
        <s v="Del Primo"/>
        <s v="The Jersey Tomato Co."/>
        <s v="Lidia'S"/>
        <s v="Anthoninos"/>
        <s v="Hunts"/>
        <s v="Tuscanini"/>
        <s v="Agromonte"/>
        <s v="Catelli"/>
        <s v="Sal &amp; Judys"/>
        <s v="Frescorti"/>
        <s v="The Singing Chef"/>
        <s v="Prairie Harvest"/>
        <s v="Furmano'S"/>
        <s v="Goya"/>
        <s v="Isola"/>
        <s v="Lidia'A"/>
        <s v="Fratelli Mantova"/>
        <s v="Eat Happy Kitchen"/>
        <s v="Chef Boyardee"/>
        <s v="Visit The Prego Store"/>
        <s v="Ofc"/>
        <s v="Rio Grande"/>
        <s v="Viviano'S"/>
        <s v="Il Mulino"/>
        <s v="Visit The Isola Store"/>
        <s v="Brand: Credo"/>
        <s v="San Marzano"/>
        <s v="Fanny'S"/>
        <s v="Sturdy"/>
        <s v="Ken'S Steak House"/>
        <s v="Alla Famiglia"/>
        <s v="Basha"/>
        <s v="Truff"/>
        <s v="Vesper Bros. Foods"/>
        <s v="Cannizzaro Famiglia"/>
        <s v="Brand: Tutta Bella"/>
        <s v="Triple D'S"/>
        <s v="La Famiglia Del Grosso"/>
        <s v="Buona"/>
        <s v="Visit The Yo Mamaâ€™S Foods Store"/>
        <s v="Ooma Tesoros"/>
        <s v="Visit The Bertolli Store"/>
        <s v="It'S A Utica Thing!"/>
        <s v="Club Lucky"/>
        <s v="Maria'S"/>
        <s v="The Jersey Tomato Co"/>
        <s v="Emeril'S"/>
        <s v="Cipriani Food"/>
        <s v="Visit The Bianco Dinapoli Store"/>
        <s v="Chef Silvio'S"/>
        <s v="Yo Mamaâ€™S"/>
        <s v="Belletieri'S"/>
        <s v="Rienzi"/>
        <s v="The Meatball Shop"/>
        <s v="Ledo"/>
        <s v="Clevelands Own"/>
        <s v="Rizzo'S"/>
        <s v="Del Grosso"/>
        <s v="Pappardelles"/>
        <s v="Brand: Classico"/>
        <s v="Visit The Colavita Store"/>
        <s v="Cento Foods"/>
        <s v="Not Just"/>
        <s v="Colavita"/>
        <s v="Olivieri"/>
        <s v="Rana"/>
        <s v="Don Pepino"/>
        <s v="Pasta House"/>
      </sharedItems>
    </cacheField>
    <cacheField name="Title" numFmtId="0">
      <sharedItems/>
    </cacheField>
    <cacheField name="Size" numFmtId="0">
      <sharedItems containsString="0" containsBlank="1" containsNumber="1" minValue="6.6667000000000004E-2" maxValue="136"/>
    </cacheField>
    <cacheField name="Size Unit" numFmtId="0">
      <sharedItems containsBlank="1"/>
    </cacheField>
    <cacheField name="Min Day" numFmtId="14">
      <sharedItems containsSemiMixedTypes="0" containsNonDate="0" containsDate="1" containsString="0" minDate="2021-10-28T00:00:00" maxDate="2025-11-21T00:00:00"/>
    </cacheField>
    <cacheField name="Max Day" numFmtId="14">
      <sharedItems containsSemiMixedTypes="0" containsNonDate="0" containsDate="1" containsString="0" minDate="2023-04-07T00:00:00" maxDate="2026-02-08T00:00:00"/>
    </cacheField>
    <cacheField name="SKU System" numFmtId="0">
      <sharedItems/>
    </cacheField>
    <cacheField name="Mapped SKU(s)" numFmtId="0">
      <sharedItems containsMixedTypes="1" containsNumber="1" containsInteger="1" minValue="9975" maxValue="89944336"/>
    </cacheField>
    <cacheField name="Map ID(s)" numFmtId="0">
      <sharedItems containsMixedTypes="1" containsNumber="1" containsInteger="1" minValue="261478" maxValue="267111"/>
    </cacheField>
    <cacheField name="Map Status" numFmtId="0">
      <sharedItems count="2">
        <s v="Mapped"/>
        <s v="No Map"/>
      </sharedItems>
    </cacheField>
    <cacheField name="Missing brand Flag" numFmtId="0">
      <sharedItems count="2">
        <s v="Available"/>
        <s v="Missing"/>
      </sharedItems>
    </cacheField>
    <cacheField name="Mapping Flag" numFmtId="0">
      <sharedItems containsSemiMixedTypes="0" containsString="0" containsNumber="1" containsInteger="1" minValue="0" maxValue="1" count="2">
        <n v="1"/>
        <n v="0"/>
      </sharedItems>
    </cacheField>
    <cacheField name="Data Completeness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an" refreshedDate="46072.907475347223" createdVersion="8" refreshedVersion="8" minRefreshableVersion="3" recordCount="1220" xr:uid="{B58328CF-6404-45C7-AC0A-7529201F9523}">
  <cacheSource type="worksheet">
    <worksheetSource ref="A1:N1221" sheet="Red Pasta Sauce data Instacart"/>
  </cacheSource>
  <cacheFields count="14">
    <cacheField name="Product Code" numFmtId="0">
      <sharedItems/>
    </cacheField>
    <cacheField name="Brand" numFmtId="0">
      <sharedItems containsBlank="1" count="283">
        <s v="Francesco Rinaldi"/>
        <s v="Carfagna's"/>
        <s v="Rao's"/>
        <s v="Brand: Monte Bene"/>
        <s v="Nanina's In The Park"/>
        <s v="Prego"/>
        <s v="Bertolli"/>
        <s v="Visit the Rao's Store"/>
        <s v="Dell'Alpe"/>
        <s v="STEFANO Faita"/>
        <s v="Cento"/>
        <s v="Calandra's"/>
        <s v="Orti Di Calabria"/>
        <s v="Paesana"/>
        <s v="mezzetta"/>
        <s v="Ragu"/>
        <s v="Mids"/>
        <s v="Silver Star"/>
        <s v="Severino"/>
        <s v="Classico"/>
        <s v="Yo Mama's"/>
        <s v="Sacla"/>
        <s v="DAVES GOURMET"/>
        <s v="gino angelini"/>
        <s v="Hunt's"/>
        <s v="Jesben"/>
        <s v="RAGÃš"/>
        <s v="Cleveland's Own Little Italy"/>
        <s v="De Massimo's"/>
        <s v="Taste of The Hill"/>
        <s v="Dei Fratelli"/>
        <s v="cravings by chrissy teigen"/>
        <s v="Mid's"/>
        <s v="Poblano Farm"/>
        <s v="Newman's Own"/>
        <s v="Brand: Seggiano"/>
        <s v="Miscellaneous"/>
        <s v="Primal Kitchen"/>
        <m/>
        <s v="Mom's"/>
        <s v="Muir Glen"/>
        <s v="Nonna Pia's"/>
        <s v="Michael Angelo's"/>
        <s v="Filippo Berio"/>
        <s v="Botticelli"/>
        <s v="PregoÂ®"/>
        <s v="California Olive Ranch"/>
        <s v="sonoma gourmet"/>
        <s v="Jersey Italian Gravy"/>
        <s v="Rao's Homemade"/>
        <s v="Tantillo Foods"/>
        <s v="Organicville"/>
        <s v="P&amp;S"/>
        <s v="Unknown"/>
        <s v="Carbone"/>
        <s v="Visit the Cucina Antica Store"/>
        <s v="Brand: Monjunis"/>
        <s v="MadeWith"/>
        <s v="Fody"/>
        <s v="Cascone's"/>
        <s v="CHARLIE'S ON 6TH"/>
        <s v="Natura's"/>
        <s v="Bellino"/>
        <s v="Victoria"/>
        <s v="Luigi Bonura's"/>
        <s v="Casa Visco"/>
        <s v="Frank's"/>
        <s v="Dell Amore"/>
        <s v="Buitoni"/>
        <s v="Gefen"/>
        <s v="Livwell"/>
        <s v="Racconto"/>
        <s v="Scarpetta"/>
        <s v="DAVE'S GOURMET"/>
        <s v="Capa Di Roma"/>
        <s v="DelGrosso"/>
        <s v="Ferrara"/>
        <s v="Sclafani"/>
        <s v="O Sole Mio"/>
        <s v="RIGAZZIS"/>
        <s v="Muir Glen Organic"/>
        <s v="Bove's"/>
        <s v="Tuttorosso"/>
        <s v="Only Goodness"/>
        <s v="LIDIAS"/>
        <s v="Cucina Antica"/>
        <s v="Pasta Jay's"/>
        <s v="Organico Bello"/>
        <s v="PIRRO'S"/>
        <s v="LaDoria"/>
        <s v="Ginos Salad Dressing"/>
        <s v="Stonewall Kitchen"/>
        <s v="LaRosa's"/>
        <s v="CUCINA FRESCA"/>
        <s v="Mia Cucina"/>
        <s v="DeNunzioâ€™s Specialty Foods"/>
        <s v="Michaels of Brooklyn"/>
        <s v="Ciao Pappy"/>
        <s v="Visit the Lucini Store"/>
        <s v="Delallo"/>
        <s v="Brand: NONNA PIAS"/>
        <s v="Cucina &amp; Amore"/>
        <s v="Cucina Moderna"/>
        <s v="Don Pomodoro"/>
        <s v="Visit the Botticelli Store"/>
        <s v="O' SOLE MIO"/>
        <s v="BELLA ITALIA"/>
        <s v="Lynora's"/>
        <s v="Authentica"/>
        <s v="Brand: Spinelli's"/>
        <s v="Sacla'"/>
        <s v="Jules Tomato Sauce"/>
        <s v="LUCIAS KITCHEN"/>
        <s v="LUCINI"/>
        <s v="Hoboken Farms"/>
        <s v="Sauz"/>
        <s v="Gia Russa"/>
        <s v="Pomi"/>
        <s v="Campo d'Oro"/>
        <s v="Brand: BELLA ITALIA"/>
        <s v="Yo Mama's Foods"/>
        <s v="LeSauce"/>
        <s v="Carmine's"/>
        <s v="Mama Mancini's"/>
        <s v="Pastene"/>
        <s v="Reggano"/>
        <s v="Mantova"/>
        <s v="The Silver Palate"/>
        <s v="ITS A UTICA THING !"/>
        <s v="IT S A UTICA THING!"/>
        <s v="Seggiano"/>
        <s v="ANDUCCI"/>
        <s v="Visit the Michaels Of Brooklyn Store"/>
        <s v="BIONATURAE"/>
        <s v="Del Monte"/>
        <s v="Scardigno's"/>
        <s v="Mias Kitchen"/>
        <s v="Just Like Home Kitchen Recipes"/>
        <s v="Osem"/>
        <s v="Le Sauce"/>
        <s v="Simmer"/>
        <s v="Brand: Vesper Brothers"/>
        <s v="Rustichella d'Abruzzo"/>
        <s v="Raos"/>
        <s v="Mutti"/>
        <s v="Visit the Mezzetta Store"/>
        <s v="Cajun Power"/>
        <s v="Terlato Kitchen"/>
        <s v="Brand: Ooma Tesoros"/>
        <s v="Brand: Muir Glen"/>
        <s v="Cortazzo"/>
        <s v="Tresca"/>
        <s v="Giovanni Rana"/>
        <s v="The Kraft Heinz Company"/>
        <s v="Di Bruno Bros."/>
        <s v="WALDEN FARMS"/>
        <s v="Ethnic Cottage"/>
        <s v="Montova"/>
        <s v="Tonnelli"/>
        <s v="Montebello"/>
        <s v="Pasta Too"/>
        <s v="The Sonoma Kitchen"/>
        <s v="Mimi's Gourmet"/>
        <s v="Lucini Italia"/>
        <s v="Frik &amp; Frak"/>
        <s v="Visit the Organico Bello Store"/>
        <s v="Artisola"/>
        <s v="Bono"/>
        <s v="Sun Of Italy"/>
        <s v="PINTON"/>
        <s v="Sal &amp; Judy's"/>
        <s v="Sauces n Love"/>
        <s v="Brand: Guoml"/>
        <s v="Mama Valerio's"/>
        <s v="Barilla"/>
        <s v="green mill"/>
        <s v="Visit the bionaturae Store"/>
        <s v="Little Italy in the Bronx"/>
        <s v="Monjunis"/>
        <s v="Pizza Girl"/>
        <s v="Jar Goods"/>
        <s v="Bongiovi Brand"/>
        <s v="KITE HILL"/>
        <s v="Made With"/>
        <s v="WisePies"/>
        <s v="otamot"/>
        <s v="Carfagnas"/>
        <s v="Dell Alpe"/>
        <s v="Visit the Primal Kitchen Store"/>
        <s v="Pemberton's"/>
        <s v="BIANCO DINAPOLI"/>
        <s v="Emerils"/>
        <s v="Brand: Victoria"/>
        <s v="SPINELLIS SAUCE CO"/>
        <s v="Brand: Boves"/>
        <s v="Brand: Alla Famiglia"/>
        <s v="Alessi"/>
        <s v="The Pasta Queen"/>
        <s v="Brand: Jersey Italian Gravy"/>
        <s v="EMERIL"/>
        <s v="Brand: Cannizzaro Famiglia"/>
        <s v="Amato's"/>
        <s v="MOMS"/>
        <s v="RagÃº"/>
        <s v="Montes Fine Foods"/>
        <s v="CHEF MEL"/>
        <s v="Four J"/>
        <s v="Nonna Carmen"/>
        <s v="Monte Bene"/>
        <s v="Mister C's"/>
        <s v="ZIAS"/>
        <s v="Visit the Frik &amp; Frak Store"/>
        <s v="Little Venice"/>
        <s v="pasta prima"/>
        <s v="Visit the Sauz Store"/>
        <s v="Del Primo"/>
        <s v="The Jersey Tomato Co."/>
        <s v="Lidia's"/>
        <s v="ANTHONINOS"/>
        <s v="Hunts"/>
        <s v="Tuscanini"/>
        <s v="Agromonte"/>
        <s v="CATELLI"/>
        <s v="Sal &amp; Judys"/>
        <s v="Frescorti"/>
        <s v="The Singing Chef"/>
        <s v="Prairie Harvest"/>
        <s v="Furmano's"/>
        <s v="GOYA"/>
        <s v="ISOLA"/>
        <s v="LIDIA'A"/>
        <s v="Fratelli Mantova"/>
        <s v="EAT HAPPY KITCHEN"/>
        <s v="Chef Boyardee"/>
        <s v="Visit the Prego Store"/>
        <s v="OFC"/>
        <s v="Rio Grande"/>
        <s v="VIVIANO'S"/>
        <s v="Il Mulino"/>
        <s v="Visit the Isola Store"/>
        <s v="Brand: CREDO"/>
        <s v="San Marzano"/>
        <s v="FANNY'S"/>
        <s v="Sturdy"/>
        <s v="Ken's Steak House"/>
        <s v="ALLA FAMIGLIA"/>
        <s v="Basha"/>
        <s v="Truff"/>
        <s v="Vesper Bros. Foods"/>
        <s v="CANNIZZARO FAMIGLIA"/>
        <s v="Brand: Tutta Bella"/>
        <s v="Triple D's"/>
        <s v="La Famiglia Del Grosso"/>
        <s v="Buona"/>
        <s v="Visit the Yo Mamaâ€™s Foods Store"/>
        <s v="OOMA TESOROS"/>
        <s v="Visit the Bertolli Store"/>
        <s v="IT'S A UTICA THING!"/>
        <s v="Club Lucky"/>
        <s v="Maria's"/>
        <s v="The Jersey Tomato Co"/>
        <s v="Emeril's"/>
        <s v="Cipriani Food"/>
        <s v="Visit the Bianco DiNapoli Store"/>
        <s v="Chef Silvio's"/>
        <s v="Yo Mamaâ€™s"/>
        <s v="Belletieri's"/>
        <s v="Rienzi"/>
        <s v="The Meatball Shop"/>
        <s v="Ledo"/>
        <s v="Clevelands Own"/>
        <s v="Rizzo's"/>
        <s v="Del Grosso"/>
        <s v="PAPPARDELLES"/>
        <s v="Brand: CLASSICO"/>
        <s v="Visit the COLAVITA Store"/>
        <s v="CENTO FOODS"/>
        <s v="Not Just"/>
        <s v="COLAVITA"/>
        <s v="Olivieri"/>
        <s v="Rana"/>
        <s v="Don Pepino"/>
        <s v="PASTA HOUSE"/>
      </sharedItems>
    </cacheField>
    <cacheField name="Title" numFmtId="0">
      <sharedItems/>
    </cacheField>
    <cacheField name="Size" numFmtId="0">
      <sharedItems containsString="0" containsBlank="1" containsNumber="1" minValue="6.6667000000000004E-2" maxValue="136"/>
    </cacheField>
    <cacheField name="Size Unit" numFmtId="0">
      <sharedItems containsBlank="1" count="4">
        <s v="ounce"/>
        <s v="fluid ounce"/>
        <m/>
        <s v="count"/>
      </sharedItems>
    </cacheField>
    <cacheField name="Min Day" numFmtId="14">
      <sharedItems containsSemiMixedTypes="0" containsNonDate="0" containsDate="1" containsString="0" minDate="2021-10-28T00:00:00" maxDate="2025-11-21T00:00:00"/>
    </cacheField>
    <cacheField name="Max Day" numFmtId="14">
      <sharedItems containsSemiMixedTypes="0" containsNonDate="0" containsDate="1" containsString="0" minDate="2023-04-07T00:00:00" maxDate="2026-02-08T00:00:00"/>
    </cacheField>
    <cacheField name="SKU System" numFmtId="0">
      <sharedItems/>
    </cacheField>
    <cacheField name="Mapped SKU(s)" numFmtId="0">
      <sharedItems containsMixedTypes="1" containsNumber="1" containsInteger="1" minValue="9975" maxValue="89944336"/>
    </cacheField>
    <cacheField name="Map ID(s)" numFmtId="0">
      <sharedItems containsMixedTypes="1" containsNumber="1" containsInteger="1" minValue="261478" maxValue="267111"/>
    </cacheField>
    <cacheField name="Map Status" numFmtId="0">
      <sharedItems count="2">
        <s v="Mapped"/>
        <s v="No Map"/>
      </sharedItems>
    </cacheField>
    <cacheField name="Missing brand Flag" numFmtId="0">
      <sharedItems/>
    </cacheField>
    <cacheField name="Mapping Flag" numFmtId="0">
      <sharedItems containsSemiMixedTypes="0" containsString="0" containsNumber="1" containsInteger="1" minValue="0" maxValue="1" count="2">
        <n v="1"/>
        <n v="0"/>
      </sharedItems>
    </cacheField>
    <cacheField name="Data Completeness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0">
  <r>
    <x v="0"/>
    <x v="0"/>
    <s v="Francesco Rinaldi Pasta Sauce Chunky Three Cheese Jar - 24 Oz"/>
    <n v="24"/>
    <s v="ounce"/>
    <d v="2021-10-28T00:00:00"/>
    <d v="2026-02-06T00:00:00"/>
    <s v="instacart"/>
    <n v="39355"/>
    <n v="264156"/>
    <x v="0"/>
    <x v="0"/>
    <x v="0"/>
    <x v="0"/>
  </r>
  <r>
    <x v="1"/>
    <x v="1"/>
    <s v="Carfagna's Little Meatball Sauce"/>
    <n v="32"/>
    <s v="ounce"/>
    <d v="2021-10-28T00:00:00"/>
    <d v="2026-02-06T00:00:00"/>
    <s v="instacart"/>
    <n v="21149112"/>
    <n v="261581"/>
    <x v="0"/>
    <x v="0"/>
    <x v="0"/>
    <x v="0"/>
  </r>
  <r>
    <x v="2"/>
    <x v="2"/>
    <s v="Rao's Sauce, Roasted Garlic 24 Oz"/>
    <n v="24"/>
    <s v="ounce"/>
    <d v="2021-10-28T00:00:00"/>
    <d v="2026-02-07T00:00:00"/>
    <s v="instacart"/>
    <n v="53413"/>
    <n v="261778"/>
    <x v="1"/>
    <x v="0"/>
    <x v="1"/>
    <x v="0"/>
  </r>
  <r>
    <x v="3"/>
    <x v="3"/>
    <s v="Monte Bene Spicy Marinara Pasta Sauce, 24 oz"/>
    <n v="24"/>
    <s v="ounce"/>
    <d v="2021-10-28T00:00:00"/>
    <d v="2026-02-06T00:00:00"/>
    <s v="instacart"/>
    <n v="53414"/>
    <n v="267054"/>
    <x v="1"/>
    <x v="0"/>
    <x v="1"/>
    <x v="0"/>
  </r>
  <r>
    <x v="4"/>
    <x v="4"/>
    <s v="Nanina's In The Park Vodka Sauce Premium Quality Gourmet Pasta Sauce, 23.25 oz"/>
    <n v="23.25"/>
    <s v="ounce"/>
    <d v="2023-02-12T00:00:00"/>
    <d v="2026-02-04T00:00:00"/>
    <s v="instacart"/>
    <n v="29434996"/>
    <n v="264454"/>
    <x v="1"/>
    <x v="0"/>
    <x v="1"/>
    <x v="0"/>
  </r>
  <r>
    <x v="5"/>
    <x v="5"/>
    <s v="Prego Pasta Sauce, Italian Tomato Sauce with Roasted Garlic &amp; Parmesan Cheese"/>
    <n v="24"/>
    <s v="ounce"/>
    <d v="2021-10-28T00:00:00"/>
    <d v="2026-02-07T00:00:00"/>
    <s v="instacart"/>
    <n v="77096"/>
    <n v="264735"/>
    <x v="1"/>
    <x v="0"/>
    <x v="1"/>
    <x v="0"/>
  </r>
  <r>
    <x v="6"/>
    <x v="6"/>
    <s v="BertolliÂ® D'italia Marinara Sauce 24.7 Oz. Jar"/>
    <n v="24.7"/>
    <s v="ounce"/>
    <d v="2021-10-28T00:00:00"/>
    <d v="2026-02-06T00:00:00"/>
    <s v="instacart"/>
    <n v="23836538"/>
    <n v="261823"/>
    <x v="0"/>
    <x v="0"/>
    <x v="0"/>
    <x v="0"/>
  </r>
  <r>
    <x v="7"/>
    <x v="7"/>
    <s v="Rao's, Tomato Basil Sauce, 15.5 Oz"/>
    <n v="15.5"/>
    <s v="ounce"/>
    <d v="2024-01-24T00:00:00"/>
    <d v="2026-02-04T00:00:00"/>
    <s v="instacart"/>
    <s v=""/>
    <n v="264019"/>
    <x v="0"/>
    <x v="0"/>
    <x v="0"/>
    <x v="0"/>
  </r>
  <r>
    <x v="8"/>
    <x v="8"/>
    <s v="Dell Alpe Marinara Sauce - 28 Oz"/>
    <n v="28"/>
    <s v="ounce"/>
    <d v="2021-10-29T00:00:00"/>
    <d v="2026-02-05T00:00:00"/>
    <s v="instacart"/>
    <n v="3144170"/>
    <n v="261790"/>
    <x v="0"/>
    <x v="0"/>
    <x v="0"/>
    <x v="0"/>
  </r>
  <r>
    <x v="9"/>
    <x v="9"/>
    <s v="STEFANO Faita - Rose Pasta Sauce"/>
    <n v="21.911138000000001"/>
    <s v="fluid ounce"/>
    <d v="2021-10-28T00:00:00"/>
    <d v="2026-02-05T00:00:00"/>
    <s v="instacart"/>
    <s v=""/>
    <n v="266295"/>
    <x v="0"/>
    <x v="0"/>
    <x v="0"/>
    <x v="0"/>
  </r>
  <r>
    <x v="10"/>
    <x v="10"/>
    <s v="CENTO All Purpose Pasta Sauce, 26 oz"/>
    <n v="26"/>
    <s v="ounce"/>
    <d v="2021-10-28T00:00:00"/>
    <d v="2026-02-06T00:00:00"/>
    <s v="instacart"/>
    <n v="169437"/>
    <n v="262534"/>
    <x v="1"/>
    <x v="0"/>
    <x v="1"/>
    <x v="0"/>
  </r>
  <r>
    <x v="11"/>
    <x v="11"/>
    <s v="Calandra's Roasted Garlic Chunky Basil Sauce, 32 oz"/>
    <n v="32"/>
    <s v="ounce"/>
    <d v="2021-11-02T00:00:00"/>
    <d v="2026-02-04T00:00:00"/>
    <s v="instacart"/>
    <n v="20451724"/>
    <n v="262065"/>
    <x v="0"/>
    <x v="0"/>
    <x v="0"/>
    <x v="0"/>
  </r>
  <r>
    <x v="12"/>
    <x v="12"/>
    <s v="Orti Di Calabria Tomato &amp; Basil Pasta Sauce, 24.3 oz"/>
    <n v="24.3"/>
    <s v="ounce"/>
    <d v="2021-10-28T00:00:00"/>
    <d v="2026-02-05T00:00:00"/>
    <s v="instacart"/>
    <n v="333902"/>
    <n v="264714"/>
    <x v="0"/>
    <x v="0"/>
    <x v="0"/>
    <x v="0"/>
  </r>
  <r>
    <x v="13"/>
    <x v="13"/>
    <s v="Paesana Sauce Vodka - 25 Oz"/>
    <n v="25"/>
    <s v="ounce"/>
    <d v="2021-10-28T00:00:00"/>
    <d v="2026-02-06T00:00:00"/>
    <s v="instacart"/>
    <n v="91479"/>
    <n v="266355"/>
    <x v="0"/>
    <x v="0"/>
    <x v="0"/>
    <x v="0"/>
  </r>
  <r>
    <x v="14"/>
    <x v="14"/>
    <s v="Mezzetta Family Recipes Tomato Basil Sauce"/>
    <n v="24.973545000000001"/>
    <s v="ounce"/>
    <d v="2021-10-28T00:00:00"/>
    <d v="2026-02-07T00:00:00"/>
    <s v="instacart"/>
    <n v="16698389"/>
    <n v="264126"/>
    <x v="1"/>
    <x v="0"/>
    <x v="1"/>
    <x v="0"/>
  </r>
  <r>
    <x v="15"/>
    <x v="15"/>
    <s v="Ragu Old World Style Sauce Flavored with Meat, 3 pk./45 oz."/>
    <n v="135"/>
    <s v="ounce"/>
    <d v="2022-09-15T00:00:00"/>
    <d v="2026-01-16T00:00:00"/>
    <s v="instacart"/>
    <s v=""/>
    <n v="264418"/>
    <x v="0"/>
    <x v="0"/>
    <x v="0"/>
    <x v="0"/>
  </r>
  <r>
    <x v="16"/>
    <x v="8"/>
    <s v="Dell Alpe Marinara Sauce - 25 Oz"/>
    <n v="25"/>
    <s v="ounce"/>
    <d v="2021-10-29T00:00:00"/>
    <d v="2026-02-05T00:00:00"/>
    <s v="instacart"/>
    <n v="513485"/>
    <n v="264078"/>
    <x v="1"/>
    <x v="0"/>
    <x v="1"/>
    <x v="0"/>
  </r>
  <r>
    <x v="17"/>
    <x v="12"/>
    <s v="Orti Di Calabria Vodka Pasta Sauce, 24.3 oz"/>
    <n v="24.3"/>
    <s v="ounce"/>
    <d v="2021-10-28T00:00:00"/>
    <d v="2026-02-05T00:00:00"/>
    <s v="instacart"/>
    <n v="2488649"/>
    <n v="264452"/>
    <x v="1"/>
    <x v="0"/>
    <x v="1"/>
    <x v="0"/>
  </r>
  <r>
    <x v="18"/>
    <x v="16"/>
    <s v="Mids Pasta Sauce, Traditional Meatless, Quart Size!"/>
    <n v="32"/>
    <s v="ounce"/>
    <d v="2021-10-28T00:00:00"/>
    <d v="2026-02-04T00:00:00"/>
    <s v="instacart"/>
    <n v="77119"/>
    <n v="267089"/>
    <x v="0"/>
    <x v="0"/>
    <x v="0"/>
    <x v="0"/>
  </r>
  <r>
    <x v="19"/>
    <x v="17"/>
    <s v="Brooklyn's Best Silver Star Vodka Con Pancetta, 25 oz"/>
    <n v="25"/>
    <s v="ounce"/>
    <d v="2021-11-02T00:00:00"/>
    <d v="2026-02-06T00:00:00"/>
    <s v="instacart"/>
    <n v="18006261"/>
    <n v="264077"/>
    <x v="1"/>
    <x v="0"/>
    <x v="1"/>
    <x v="0"/>
  </r>
  <r>
    <x v="20"/>
    <x v="18"/>
    <s v="Severino, Sauce Vodka Cream, 15 Ounce"/>
    <n v="15"/>
    <s v="ounce"/>
    <d v="2021-10-31T00:00:00"/>
    <d v="2024-03-14T00:00:00"/>
    <s v="instacart"/>
    <s v=""/>
    <n v="266338"/>
    <x v="1"/>
    <x v="0"/>
    <x v="1"/>
    <x v="0"/>
  </r>
  <r>
    <x v="21"/>
    <x v="5"/>
    <s v="Prego Three Cheese Italian Sauce Family Size, 45 oz"/>
    <n v="45"/>
    <s v="ounce"/>
    <d v="2021-10-28T00:00:00"/>
    <d v="2026-02-06T00:00:00"/>
    <s v="instacart"/>
    <n v="24680086"/>
    <n v="262167"/>
    <x v="1"/>
    <x v="0"/>
    <x v="1"/>
    <x v="0"/>
  </r>
  <r>
    <x v="22"/>
    <x v="19"/>
    <s v="Classico - Roma Spicy Red Pepper Sauce"/>
    <n v="20.288091000000001"/>
    <s v="fluid ounce"/>
    <d v="2024-12-05T00:00:00"/>
    <d v="2026-02-05T00:00:00"/>
    <s v="instacart"/>
    <s v=""/>
    <n v="264020"/>
    <x v="1"/>
    <x v="0"/>
    <x v="1"/>
    <x v="0"/>
  </r>
  <r>
    <x v="23"/>
    <x v="20"/>
    <s v="Yo Mamas Foods Tomato Sauce Original Marinara - 25 Oz"/>
    <n v="25"/>
    <s v="ounce"/>
    <d v="2021-10-28T00:00:00"/>
    <d v="2026-02-06T00:00:00"/>
    <s v="instacart"/>
    <n v="18689362"/>
    <n v="266357"/>
    <x v="0"/>
    <x v="0"/>
    <x v="0"/>
    <x v="0"/>
  </r>
  <r>
    <x v="24"/>
    <x v="21"/>
    <s v="Sacla Pasta Sauce, Marinara 23.6 oz"/>
    <n v="23.6"/>
    <s v="ounce"/>
    <d v="2021-10-28T00:00:00"/>
    <d v="2026-02-06T00:00:00"/>
    <s v="instacart"/>
    <n v="18301267"/>
    <n v="266388"/>
    <x v="1"/>
    <x v="0"/>
    <x v="1"/>
    <x v="0"/>
  </r>
  <r>
    <x v="25"/>
    <x v="22"/>
    <s v="Wild Mushroom Pasta Sauce, 25.5 OZ"/>
    <n v="25.5"/>
    <s v="ounce"/>
    <d v="2021-10-28T00:00:00"/>
    <d v="2026-02-06T00:00:00"/>
    <s v="instacart"/>
    <n v="2680706"/>
    <n v="266434"/>
    <x v="1"/>
    <x v="0"/>
    <x v="1"/>
    <x v="0"/>
  </r>
  <r>
    <x v="26"/>
    <x v="12"/>
    <s v="Orti Di Calabria Arrabbiata Pasta Sauce, 24.3 oz"/>
    <n v="24.3"/>
    <s v="ounce"/>
    <d v="2021-10-28T00:00:00"/>
    <d v="2026-02-05T00:00:00"/>
    <s v="instacart"/>
    <s v=""/>
    <n v="264368"/>
    <x v="0"/>
    <x v="0"/>
    <x v="0"/>
    <x v="0"/>
  </r>
  <r>
    <x v="27"/>
    <x v="23"/>
    <s v="Gino Angelini Organic Arrabiata Pasta Sauce"/>
    <m/>
    <m/>
    <d v="2021-10-28T00:00:00"/>
    <d v="2023-10-12T00:00:00"/>
    <s v="instacart"/>
    <s v=""/>
    <n v="264701"/>
    <x v="1"/>
    <x v="0"/>
    <x v="1"/>
    <x v="0"/>
  </r>
  <r>
    <x v="28"/>
    <x v="7"/>
    <s v="Rao's Homemade | Tomato Basil Sauce | 24 oz"/>
    <n v="24"/>
    <s v="ounce"/>
    <d v="2021-10-28T00:00:00"/>
    <d v="2026-02-04T00:00:00"/>
    <s v="instacart"/>
    <n v="16293666"/>
    <n v="262619"/>
    <x v="0"/>
    <x v="0"/>
    <x v="0"/>
    <x v="0"/>
  </r>
  <r>
    <x v="29"/>
    <x v="5"/>
    <s v="Prego Italian Tomato Pasta Sauce Flavored with Meat, 67 oz Jar"/>
    <n v="67"/>
    <s v="ounce"/>
    <d v="2021-10-28T00:00:00"/>
    <d v="2026-02-07T00:00:00"/>
    <s v="instacart"/>
    <n v="118427"/>
    <n v="267095"/>
    <x v="0"/>
    <x v="0"/>
    <x v="0"/>
    <x v="0"/>
  </r>
  <r>
    <x v="30"/>
    <x v="24"/>
    <s v="Hunt's Pasta Sauce, Traditional 24 oz"/>
    <n v="24"/>
    <s v="ounce"/>
    <d v="2021-10-28T00:00:00"/>
    <d v="2026-02-07T00:00:00"/>
    <s v="instacart"/>
    <n v="43575"/>
    <n v="266418"/>
    <x v="0"/>
    <x v="0"/>
    <x v="0"/>
    <x v="0"/>
  </r>
  <r>
    <x v="31"/>
    <x v="25"/>
    <s v="Jesben Sauce, Italian Tomato, Peppers &amp; Herbs"/>
    <m/>
    <m/>
    <d v="2021-10-28T00:00:00"/>
    <d v="2026-02-06T00:00:00"/>
    <s v="instacart"/>
    <s v=""/>
    <n v="266287"/>
    <x v="0"/>
    <x v="0"/>
    <x v="0"/>
    <x v="0"/>
  </r>
  <r>
    <x v="32"/>
    <x v="26"/>
    <s v="Ragu Hidden Heroes Pasta Sauce for Kids, Creamy Tomato Squad, 14 oz"/>
    <n v="14"/>
    <s v="ounce"/>
    <d v="2024-02-25T00:00:00"/>
    <d v="2026-02-02T00:00:00"/>
    <s v="instacart"/>
    <n v="42887397"/>
    <n v="264310"/>
    <x v="0"/>
    <x v="0"/>
    <x v="0"/>
    <x v="0"/>
  </r>
  <r>
    <x v="33"/>
    <x v="5"/>
    <s v="Prego Mini-Meatball Meat Sauce, 24 oz"/>
    <n v="24"/>
    <s v="ounce"/>
    <d v="2021-10-28T00:00:00"/>
    <d v="2026-02-06T00:00:00"/>
    <s v="instacart"/>
    <n v="36102"/>
    <n v="262546"/>
    <x v="0"/>
    <x v="0"/>
    <x v="0"/>
    <x v="0"/>
  </r>
  <r>
    <x v="34"/>
    <x v="19"/>
    <s v="Classico - Sweet Basil Marinara Sauce"/>
    <n v="20.288091000000001"/>
    <s v="fluid ounce"/>
    <d v="2024-12-05T00:00:00"/>
    <d v="2026-02-05T00:00:00"/>
    <s v="instacart"/>
    <s v=""/>
    <n v="261566"/>
    <x v="1"/>
    <x v="0"/>
    <x v="1"/>
    <x v="0"/>
  </r>
  <r>
    <x v="35"/>
    <x v="27"/>
    <s v="Clevelands Own Little Italy Pasta Sauce - 32 Oz"/>
    <n v="32"/>
    <s v="ounce"/>
    <d v="2021-10-28T00:00:00"/>
    <d v="2026-02-06T00:00:00"/>
    <s v="instacart"/>
    <n v="16314077"/>
    <n v="261787"/>
    <x v="0"/>
    <x v="0"/>
    <x v="0"/>
    <x v="0"/>
  </r>
  <r>
    <x v="36"/>
    <x v="6"/>
    <s v="Bertolli Garlic Vodka Sauce 24 oz"/>
    <n v="24"/>
    <s v="ounce"/>
    <d v="2025-03-12T00:00:00"/>
    <d v="2026-02-07T00:00:00"/>
    <s v="instacart"/>
    <n v="66908976"/>
    <n v="261707"/>
    <x v="1"/>
    <x v="0"/>
    <x v="1"/>
    <x v="0"/>
  </r>
  <r>
    <x v="37"/>
    <x v="28"/>
    <s v="De Massimo's Sauce, Tomato Basil"/>
    <n v="32"/>
    <s v="ounce"/>
    <d v="2021-10-28T00:00:00"/>
    <d v="2026-02-06T00:00:00"/>
    <s v="instacart"/>
    <n v="21008214"/>
    <n v="262011"/>
    <x v="1"/>
    <x v="0"/>
    <x v="1"/>
    <x v="0"/>
  </r>
  <r>
    <x v="38"/>
    <x v="29"/>
    <s v="Taste of The Hill Pasta Sauce, 24 oz"/>
    <n v="24"/>
    <s v="ounce"/>
    <d v="2021-10-28T00:00:00"/>
    <d v="2026-02-03T00:00:00"/>
    <s v="instacart"/>
    <n v="2812518"/>
    <n v="266639"/>
    <x v="0"/>
    <x v="0"/>
    <x v="0"/>
    <x v="0"/>
  </r>
  <r>
    <x v="39"/>
    <x v="30"/>
    <s v="Dei Fratelli Pasta Sauce, Traditional 24 oz"/>
    <n v="24"/>
    <s v="ounce"/>
    <d v="2021-10-28T00:00:00"/>
    <d v="2026-02-05T00:00:00"/>
    <s v="instacart"/>
    <n v="2691735"/>
    <n v="261901"/>
    <x v="0"/>
    <x v="0"/>
    <x v="0"/>
    <x v="0"/>
  </r>
  <r>
    <x v="40"/>
    <x v="20"/>
    <s v="Yo Mamas Roasted Garlic Tomato Sauce - 16 Oz"/>
    <n v="25"/>
    <s v="ounce"/>
    <d v="2021-10-28T00:00:00"/>
    <d v="2026-02-06T00:00:00"/>
    <s v="instacart"/>
    <n v="25741398"/>
    <n v="261540"/>
    <x v="0"/>
    <x v="0"/>
    <x v="0"/>
    <x v="0"/>
  </r>
  <r>
    <x v="41"/>
    <x v="31"/>
    <s v="Cravings By Chrissy Teigen Creamy Tomato Pasta Sauce"/>
    <n v="24"/>
    <s v="ounce"/>
    <d v="2025-11-13T00:00:00"/>
    <d v="2026-02-06T00:00:00"/>
    <s v="instacart"/>
    <n v="74007010"/>
    <n v="264460"/>
    <x v="1"/>
    <x v="0"/>
    <x v="1"/>
    <x v="0"/>
  </r>
  <r>
    <x v="42"/>
    <x v="32"/>
    <s v="Mid's Pasta Sauce, Italian Sausage 28 Oz"/>
    <n v="28"/>
    <s v="ounce"/>
    <d v="2021-10-28T00:00:00"/>
    <d v="2026-02-06T00:00:00"/>
    <s v="instacart"/>
    <n v="29328271"/>
    <n v="267064"/>
    <x v="0"/>
    <x v="0"/>
    <x v="0"/>
    <x v="0"/>
  </r>
  <r>
    <x v="43"/>
    <x v="4"/>
    <s v="Pasta Sauce Marinara Premium Quality Gourmet"/>
    <m/>
    <m/>
    <d v="2021-10-31T00:00:00"/>
    <d v="2023-07-26T00:00:00"/>
    <s v="instacart"/>
    <s v=""/>
    <n v="264426"/>
    <x v="1"/>
    <x v="0"/>
    <x v="1"/>
    <x v="0"/>
  </r>
  <r>
    <x v="44"/>
    <x v="33"/>
    <s v="Poblano Pasta Sauce"/>
    <n v="16"/>
    <s v="ounce"/>
    <d v="2021-10-28T00:00:00"/>
    <d v="2026-02-06T00:00:00"/>
    <s v="instacart"/>
    <n v="110843"/>
    <n v="266415"/>
    <x v="0"/>
    <x v="0"/>
    <x v="0"/>
    <x v="0"/>
  </r>
  <r>
    <x v="45"/>
    <x v="34"/>
    <s v="Newman's Own Pasta Sauce Marinara, 24.0 OZ"/>
    <n v="24"/>
    <s v="ounce"/>
    <d v="2021-10-28T00:00:00"/>
    <d v="2026-02-07T00:00:00"/>
    <s v="instacart"/>
    <n v="98540"/>
    <n v="261871"/>
    <x v="0"/>
    <x v="0"/>
    <x v="0"/>
    <x v="0"/>
  </r>
  <r>
    <x v="46"/>
    <x v="19"/>
    <s v="Classico - Di Lombardia Rose Pasta Sauce"/>
    <n v="13.863529"/>
    <s v="fluid ounce"/>
    <d v="2021-10-28T00:00:00"/>
    <d v="2026-02-05T00:00:00"/>
    <s v="instacart"/>
    <s v=""/>
    <n v="261785"/>
    <x v="1"/>
    <x v="0"/>
    <x v="1"/>
    <x v="0"/>
  </r>
  <r>
    <x v="47"/>
    <x v="35"/>
    <s v="SEGGIANO Organic Puttanesca Pasta Sauce, 24 OZ"/>
    <n v="24"/>
    <s v="ounce"/>
    <d v="2021-10-31T00:00:00"/>
    <d v="2026-02-06T00:00:00"/>
    <s v="instacart"/>
    <n v="19293749"/>
    <n v="261782"/>
    <x v="0"/>
    <x v="0"/>
    <x v="0"/>
    <x v="0"/>
  </r>
  <r>
    <x v="48"/>
    <x v="5"/>
    <s v="Prego Spicy Marinara"/>
    <n v="24"/>
    <s v="ounce"/>
    <d v="2022-02-15T00:00:00"/>
    <d v="2026-02-07T00:00:00"/>
    <s v="instacart"/>
    <n v="27126674"/>
    <n v="266863"/>
    <x v="0"/>
    <x v="0"/>
    <x v="0"/>
    <x v="0"/>
  </r>
  <r>
    <x v="49"/>
    <x v="5"/>
    <s v="Prego - Pasta Sauce Original"/>
    <n v="59.174500000000002"/>
    <s v="fluid ounce"/>
    <d v="2021-10-28T00:00:00"/>
    <d v="2026-02-05T00:00:00"/>
    <s v="instacart"/>
    <s v=""/>
    <n v="264031"/>
    <x v="1"/>
    <x v="0"/>
    <x v="1"/>
    <x v="0"/>
  </r>
  <r>
    <x v="50"/>
    <x v="36"/>
    <s v="Frik &amp; Frak Pasta Sauce K.I.S.S. - 24 Oz"/>
    <n v="24"/>
    <s v="ounce"/>
    <d v="2021-10-31T00:00:00"/>
    <d v="2026-02-06T00:00:00"/>
    <s v="instacart"/>
    <n v="19415306"/>
    <n v="266361"/>
    <x v="0"/>
    <x v="0"/>
    <x v="0"/>
    <x v="0"/>
  </r>
  <r>
    <x v="51"/>
    <x v="37"/>
    <s v="Primal Kitchen Vodka Sauce, No Dairy"/>
    <n v="23.5"/>
    <s v="ounce"/>
    <d v="2021-10-28T00:00:00"/>
    <d v="2026-02-06T00:00:00"/>
    <s v="instacart"/>
    <n v="20218143"/>
    <n v="266868"/>
    <x v="1"/>
    <x v="0"/>
    <x v="1"/>
    <x v="0"/>
  </r>
  <r>
    <x v="52"/>
    <x v="5"/>
    <s v="Prego Chunky Tomato, Onion &amp; Garlic Pasta Sauce, 45 oz"/>
    <n v="45"/>
    <s v="ounce"/>
    <d v="2021-10-28T00:00:00"/>
    <d v="2026-02-07T00:00:00"/>
    <s v="instacart"/>
    <n v="20020258"/>
    <n v="261884"/>
    <x v="1"/>
    <x v="0"/>
    <x v="1"/>
    <x v="0"/>
  </r>
  <r>
    <x v="53"/>
    <x v="36"/>
    <s v="Gino Angelini Foods Organic Pasta Sauce Marinara - 24 Oz"/>
    <n v="24"/>
    <s v="ounce"/>
    <d v="2021-10-28T00:00:00"/>
    <d v="2026-02-05T00:00:00"/>
    <s v="instacart"/>
    <s v=""/>
    <n v="262068"/>
    <x v="1"/>
    <x v="0"/>
    <x v="1"/>
    <x v="0"/>
  </r>
  <r>
    <x v="54"/>
    <x v="38"/>
    <s v="Philomenas Homemade Marinara Sauce - 24 Oz"/>
    <n v="24"/>
    <s v="ounce"/>
    <d v="2021-12-01T00:00:00"/>
    <d v="2024-11-03T00:00:00"/>
    <s v="instacart"/>
    <s v=""/>
    <n v="264699"/>
    <x v="0"/>
    <x v="1"/>
    <x v="0"/>
    <x v="1"/>
  </r>
  <r>
    <x v="55"/>
    <x v="39"/>
    <s v="Moms Pasta Sauce Special Marinara Jar - 24 Oz"/>
    <n v="24"/>
    <s v="ounce"/>
    <d v="2021-10-28T00:00:00"/>
    <d v="2026-02-05T00:00:00"/>
    <s v="instacart"/>
    <n v="218913"/>
    <n v="266880"/>
    <x v="0"/>
    <x v="0"/>
    <x v="0"/>
    <x v="0"/>
  </r>
  <r>
    <x v="56"/>
    <x v="40"/>
    <s v="Muir Glen Muir Glen Pasta Sauce Spicy Arrabiata"/>
    <n v="23.5"/>
    <s v="ounce"/>
    <d v="2021-10-28T00:00:00"/>
    <d v="2026-02-05T00:00:00"/>
    <s v="instacart"/>
    <s v=""/>
    <n v="261788"/>
    <x v="1"/>
    <x v="0"/>
    <x v="1"/>
    <x v="0"/>
  </r>
  <r>
    <x v="57"/>
    <x v="41"/>
    <s v="Nonna Pia's - Basil Marinara Sauce"/>
    <n v="22.3169"/>
    <s v="fluid ounce"/>
    <d v="2025-10-23T00:00:00"/>
    <d v="2026-02-05T00:00:00"/>
    <s v="instacart"/>
    <s v=""/>
    <n v="261889"/>
    <x v="0"/>
    <x v="0"/>
    <x v="0"/>
    <x v="0"/>
  </r>
  <r>
    <x v="58"/>
    <x v="42"/>
    <s v="Michael Angelo's Marinara, Vine-Ripened Tomatoes, Slow Simmered, Spicy"/>
    <n v="24"/>
    <s v="ounce"/>
    <d v="2023-01-11T00:00:00"/>
    <d v="2026-02-07T00:00:00"/>
    <s v="instacart"/>
    <n v="29202912"/>
    <n v="267004"/>
    <x v="0"/>
    <x v="0"/>
    <x v="0"/>
    <x v="0"/>
  </r>
  <r>
    <x v="59"/>
    <x v="43"/>
    <s v="Filippo Berio Tomato Basil Sauce, 24 oz"/>
    <n v="24"/>
    <s v="ounce"/>
    <d v="2024-06-16T00:00:00"/>
    <d v="2026-02-06T00:00:00"/>
    <s v="instacart"/>
    <n v="48699362"/>
    <n v="262287"/>
    <x v="1"/>
    <x v="0"/>
    <x v="1"/>
    <x v="0"/>
  </r>
  <r>
    <x v="60"/>
    <x v="5"/>
    <s v="Prego Sweet Sausage and Roasted Peppers Pasta Sauce - 23.5 Oz"/>
    <n v="23.5"/>
    <s v="ounce"/>
    <d v="2021-10-28T00:00:00"/>
    <d v="2026-02-06T00:00:00"/>
    <s v="instacart"/>
    <n v="27126599"/>
    <n v="261532"/>
    <x v="1"/>
    <x v="0"/>
    <x v="1"/>
    <x v="0"/>
  </r>
  <r>
    <x v="61"/>
    <x v="44"/>
    <s v="Organic Tomato Basil Sauce, 24 OZ"/>
    <n v="24"/>
    <s v="ounce"/>
    <d v="2025-01-29T00:00:00"/>
    <d v="2026-02-06T00:00:00"/>
    <s v="instacart"/>
    <n v="64885851"/>
    <n v="267038"/>
    <x v="0"/>
    <x v="0"/>
    <x v="0"/>
    <x v="0"/>
  </r>
  <r>
    <x v="62"/>
    <x v="45"/>
    <s v="Prego Italian Pasta Sauce Flavored With Meat, 45 oz Jar"/>
    <n v="45"/>
    <s v="ounce"/>
    <d v="2021-10-28T00:00:00"/>
    <d v="2026-02-07T00:00:00"/>
    <s v="instacart"/>
    <n v="19950603"/>
    <n v="267072"/>
    <x v="0"/>
    <x v="0"/>
    <x v="0"/>
    <x v="0"/>
  </r>
  <r>
    <x v="63"/>
    <x v="46"/>
    <s v="California Olive Ranch Sauce, Garden Basil 25 oz"/>
    <n v="25"/>
    <s v="ounce"/>
    <d v="2022-02-15T00:00:00"/>
    <d v="2026-02-06T00:00:00"/>
    <s v="instacart"/>
    <n v="27582936"/>
    <n v="267036"/>
    <x v="1"/>
    <x v="0"/>
    <x v="1"/>
    <x v="0"/>
  </r>
  <r>
    <x v="64"/>
    <x v="8"/>
    <s v="Dell Alpe Arrabbita Sauce - 25 Oz"/>
    <n v="25"/>
    <s v="ounce"/>
    <d v="2021-10-29T00:00:00"/>
    <d v="2026-02-05T00:00:00"/>
    <s v="instacart"/>
    <n v="16511765"/>
    <n v="266462"/>
    <x v="0"/>
    <x v="0"/>
    <x v="0"/>
    <x v="0"/>
  </r>
  <r>
    <x v="65"/>
    <x v="19"/>
    <s v="Classico - Roasted Garlic &amp; Onion Spaghetti Pasta Sauce"/>
    <n v="21.978764999999999"/>
    <s v="fluid ounce"/>
    <d v="2021-10-28T00:00:00"/>
    <d v="2025-06-12T00:00:00"/>
    <s v="instacart"/>
    <s v=""/>
    <n v="262043"/>
    <x v="1"/>
    <x v="0"/>
    <x v="1"/>
    <x v="0"/>
  </r>
  <r>
    <x v="66"/>
    <x v="47"/>
    <s v="Sonoma Gourmet Roasted Veggie"/>
    <n v="25"/>
    <s v="ounce"/>
    <d v="2021-10-28T00:00:00"/>
    <d v="2026-02-06T00:00:00"/>
    <s v="instacart"/>
    <n v="2219447"/>
    <n v="266548"/>
    <x v="1"/>
    <x v="0"/>
    <x v="1"/>
    <x v="0"/>
  </r>
  <r>
    <x v="67"/>
    <x v="48"/>
    <s v="Jersey Italian Gravy Sunday Dinner Pasta Sauce - 24 Oz"/>
    <n v="24"/>
    <s v="ounce"/>
    <d v="2023-09-20T00:00:00"/>
    <d v="2026-02-06T00:00:00"/>
    <s v="instacart"/>
    <n v="30769766"/>
    <n v="264179"/>
    <x v="1"/>
    <x v="0"/>
    <x v="1"/>
    <x v="0"/>
  </r>
  <r>
    <x v="68"/>
    <x v="44"/>
    <s v="Botticelli Rossa Alfredo Sauce, 14.5 oz"/>
    <n v="14.5"/>
    <s v="ounce"/>
    <d v="2021-11-01T00:00:00"/>
    <d v="2026-02-06T00:00:00"/>
    <s v="instacart"/>
    <n v="25392842"/>
    <n v="261770"/>
    <x v="0"/>
    <x v="0"/>
    <x v="0"/>
    <x v="0"/>
  </r>
  <r>
    <x v="69"/>
    <x v="49"/>
    <s v="Rao's Homemade Sauce, Tomato Basil 24 Oz"/>
    <n v="24"/>
    <s v="ounce"/>
    <d v="2021-10-28T00:00:00"/>
    <d v="2026-02-07T00:00:00"/>
    <s v="instacart"/>
    <n v="16293666"/>
    <n v="267044"/>
    <x v="0"/>
    <x v="0"/>
    <x v="0"/>
    <x v="0"/>
  </r>
  <r>
    <x v="70"/>
    <x v="50"/>
    <s v="Tantillo Arrabbiata Spicy Pasta Sauce"/>
    <n v="24"/>
    <s v="ounce"/>
    <d v="2021-11-01T00:00:00"/>
    <d v="2024-02-09T00:00:00"/>
    <s v="instacart"/>
    <s v=""/>
    <n v="262045"/>
    <x v="1"/>
    <x v="0"/>
    <x v="1"/>
    <x v="0"/>
  </r>
  <r>
    <x v="71"/>
    <x v="51"/>
    <s v="Organicville Pasta Sauce, Organic, Italian Herb"/>
    <n v="24"/>
    <s v="ounce"/>
    <d v="2021-10-28T00:00:00"/>
    <d v="2024-01-26T00:00:00"/>
    <s v="instacart"/>
    <s v=""/>
    <n v="261487"/>
    <x v="1"/>
    <x v="0"/>
    <x v="1"/>
    <x v="0"/>
  </r>
  <r>
    <x v="72"/>
    <x v="0"/>
    <s v="Francesco Rinaldi Sauce, Traditional  No Salt Added"/>
    <n v="23.5"/>
    <s v="ounce"/>
    <d v="2021-10-28T00:00:00"/>
    <d v="2026-02-06T00:00:00"/>
    <s v="instacart"/>
    <n v="36160"/>
    <n v="262522"/>
    <x v="1"/>
    <x v="0"/>
    <x v="1"/>
    <x v="0"/>
  </r>
  <r>
    <x v="73"/>
    <x v="52"/>
    <s v="P&amp;S Tomato Sauce, 32 oz"/>
    <n v="32"/>
    <s v="ounce"/>
    <d v="2021-10-28T00:00:00"/>
    <d v="2026-02-04T00:00:00"/>
    <s v="instacart"/>
    <s v=""/>
    <n v="266872"/>
    <x v="0"/>
    <x v="0"/>
    <x v="0"/>
    <x v="0"/>
  </r>
  <r>
    <x v="74"/>
    <x v="19"/>
    <s v="Classico - Bolognese Pasta Sauce"/>
    <n v="20.288091000000001"/>
    <s v="fluid ounce"/>
    <d v="2024-12-05T00:00:00"/>
    <d v="2026-02-05T00:00:00"/>
    <s v="instacart"/>
    <s v=""/>
    <n v="261784"/>
    <x v="1"/>
    <x v="0"/>
    <x v="1"/>
    <x v="0"/>
  </r>
  <r>
    <x v="75"/>
    <x v="38"/>
    <s v="Mantova, Pasta Sauce, Pomodoro Sauce"/>
    <n v="24"/>
    <s v="ounce"/>
    <d v="2021-12-09T00:00:00"/>
    <d v="2026-02-06T00:00:00"/>
    <s v="instacart"/>
    <n v="23820092"/>
    <n v="263993"/>
    <x v="1"/>
    <x v="1"/>
    <x v="1"/>
    <x v="1"/>
  </r>
  <r>
    <x v="76"/>
    <x v="38"/>
    <s v=" Cucina Antica Tomato Basil Cooking Sauce"/>
    <n v="16"/>
    <s v="ounce"/>
    <d v="2021-10-31T00:00:00"/>
    <d v="2025-03-20T00:00:00"/>
    <s v="instacart"/>
    <s v=""/>
    <n v="266445"/>
    <x v="0"/>
    <x v="1"/>
    <x v="0"/>
    <x v="1"/>
  </r>
  <r>
    <x v="77"/>
    <x v="14"/>
    <s v="Mezzetta Parmesan Reggiano Pasta Sauce - 24 Oz"/>
    <n v="24"/>
    <s v="ounce"/>
    <d v="2021-10-28T00:00:00"/>
    <d v="2026-02-06T00:00:00"/>
    <s v="instacart"/>
    <s v="23897615, 34796892"/>
    <s v="261505, 261504"/>
    <x v="1"/>
    <x v="0"/>
    <x v="1"/>
    <x v="0"/>
  </r>
  <r>
    <x v="78"/>
    <x v="6"/>
    <s v="Bertolli Sauce, Marinara 23 Oz"/>
    <n v="23"/>
    <s v="ounce"/>
    <d v="2021-10-28T00:00:00"/>
    <d v="2026-02-06T00:00:00"/>
    <s v="instacart"/>
    <n v="17066490"/>
    <n v="261855"/>
    <x v="0"/>
    <x v="0"/>
    <x v="0"/>
    <x v="0"/>
  </r>
  <r>
    <x v="79"/>
    <x v="38"/>
    <s v="IL MULINO TOMATO BASIL"/>
    <n v="24"/>
    <s v="ounce"/>
    <d v="2021-11-02T00:00:00"/>
    <d v="2025-06-25T00:00:00"/>
    <s v="instacart"/>
    <s v=""/>
    <n v="264245"/>
    <x v="1"/>
    <x v="1"/>
    <x v="1"/>
    <x v="1"/>
  </r>
  <r>
    <x v="80"/>
    <x v="53"/>
    <s v="Carfagnas Pasta Sauce, Original Family Recipe"/>
    <n v="32"/>
    <s v="ounce"/>
    <d v="2021-10-28T00:00:00"/>
    <d v="2026-02-06T00:00:00"/>
    <s v="instacart"/>
    <n v="16948683"/>
    <n v="266372"/>
    <x v="1"/>
    <x v="0"/>
    <x v="1"/>
    <x v="0"/>
  </r>
  <r>
    <x v="81"/>
    <x v="38"/>
    <s v="Paesana - Plant Based Bolognese"/>
    <n v="25"/>
    <s v="ounce"/>
    <d v="2021-10-31T00:00:00"/>
    <d v="2026-02-06T00:00:00"/>
    <s v="instacart"/>
    <n v="22221627"/>
    <n v="264254"/>
    <x v="1"/>
    <x v="1"/>
    <x v="1"/>
    <x v="1"/>
  </r>
  <r>
    <x v="82"/>
    <x v="38"/>
    <s v="Local Folks Foods Mushroom &amp; Garden Vegetable Pasta Sauce"/>
    <n v="24"/>
    <s v="ounce"/>
    <d v="2021-10-28T00:00:00"/>
    <d v="2026-02-06T00:00:00"/>
    <s v="instacart"/>
    <n v="19630001"/>
    <n v="266332"/>
    <x v="0"/>
    <x v="1"/>
    <x v="0"/>
    <x v="1"/>
  </r>
  <r>
    <x v="83"/>
    <x v="54"/>
    <s v="Carbone Fra Diavolo Italian Simmer Sauce"/>
    <n v="24"/>
    <s v="ounce"/>
    <d v="2025-10-09T00:00:00"/>
    <d v="2026-02-06T00:00:00"/>
    <s v="instacart"/>
    <n v="89942536"/>
    <n v="267003"/>
    <x v="1"/>
    <x v="0"/>
    <x v="1"/>
    <x v="0"/>
  </r>
  <r>
    <x v="84"/>
    <x v="55"/>
    <s v="Cucina Antica - Tuscany Pumpkin Pasta Sauce - 25oz (Pack of 6) - Gluten Free - Glass Jars"/>
    <n v="25"/>
    <s v="ounce"/>
    <d v="2021-10-28T00:00:00"/>
    <d v="2026-02-06T00:00:00"/>
    <s v="instacart"/>
    <n v="53393"/>
    <n v="264743"/>
    <x v="0"/>
    <x v="0"/>
    <x v="0"/>
    <x v="0"/>
  </r>
  <r>
    <x v="85"/>
    <x v="38"/>
    <s v="Rizzo Homemade Pasta Sauce"/>
    <m/>
    <m/>
    <d v="2025-04-18T00:00:00"/>
    <d v="2026-02-06T00:00:00"/>
    <s v="instacart"/>
    <s v=""/>
    <n v="262136"/>
    <x v="0"/>
    <x v="1"/>
    <x v="0"/>
    <x v="1"/>
  </r>
  <r>
    <x v="86"/>
    <x v="38"/>
    <s v="MANTOVA ORG TOM TRUFFLE SAUCE"/>
    <n v="17.600000000000001"/>
    <s v="ounce"/>
    <d v="2021-10-31T00:00:00"/>
    <d v="2026-02-06T00:00:00"/>
    <s v="instacart"/>
    <s v=""/>
    <n v="264641"/>
    <x v="1"/>
    <x v="1"/>
    <x v="1"/>
    <x v="1"/>
  </r>
  <r>
    <x v="87"/>
    <x v="6"/>
    <s v="BertolliÂ® Rustic Cutâ„¢ Sweet Peppers and Portobello Mushrooms Pasta Sauce"/>
    <n v="23"/>
    <s v="ounce"/>
    <d v="2021-10-28T00:00:00"/>
    <d v="2026-02-05T00:00:00"/>
    <s v="instacart"/>
    <n v="17066489"/>
    <n v="267111"/>
    <x v="0"/>
    <x v="0"/>
    <x v="0"/>
    <x v="0"/>
  </r>
  <r>
    <x v="88"/>
    <x v="56"/>
    <s v="Monjunis Salsa Di Pomidoro, 32.5 Oz"/>
    <n v="46"/>
    <s v="ounce"/>
    <d v="2021-10-29T00:00:00"/>
    <d v="2026-02-05T00:00:00"/>
    <s v="instacart"/>
    <n v="17680729"/>
    <n v="262375"/>
    <x v="0"/>
    <x v="0"/>
    <x v="0"/>
    <x v="0"/>
  </r>
  <r>
    <x v="89"/>
    <x v="57"/>
    <s v="MadeWith Marinara Organic Pasta Sauce - 24 Ounce"/>
    <n v="25"/>
    <s v="ounce"/>
    <d v="2021-10-29T00:00:00"/>
    <d v="2026-02-06T00:00:00"/>
    <s v="instacart"/>
    <s v=""/>
    <n v="264030"/>
    <x v="1"/>
    <x v="0"/>
    <x v="1"/>
    <x v="0"/>
  </r>
  <r>
    <x v="90"/>
    <x v="53"/>
    <s v="Graziano Bros. Calabrian Pasta Sauce w/Italian Sausage"/>
    <n v="24"/>
    <s v="ounce"/>
    <d v="2024-03-07T00:00:00"/>
    <d v="2026-02-04T00:00:00"/>
    <s v="instacart"/>
    <s v=""/>
    <n v="264582"/>
    <x v="1"/>
    <x v="0"/>
    <x v="1"/>
    <x v="0"/>
  </r>
  <r>
    <x v="91"/>
    <x v="58"/>
    <s v="Fody Arrabbiata Pasta Sauce, No Onion No Garlic"/>
    <n v="19.399999999999999"/>
    <s v="ounce"/>
    <d v="2021-10-28T00:00:00"/>
    <d v="2026-02-06T00:00:00"/>
    <s v="instacart"/>
    <n v="20111494"/>
    <n v="264139"/>
    <x v="1"/>
    <x v="0"/>
    <x v="1"/>
    <x v="0"/>
  </r>
  <r>
    <x v="92"/>
    <x v="0"/>
    <s v="Francesco Rinaldi Sauce, Traditional Mushroom"/>
    <n v="24"/>
    <s v="ounce"/>
    <d v="2021-10-28T00:00:00"/>
    <d v="2026-02-06T00:00:00"/>
    <s v="instacart"/>
    <n v="39371"/>
    <n v="266385"/>
    <x v="1"/>
    <x v="0"/>
    <x v="1"/>
    <x v="0"/>
  </r>
  <r>
    <x v="93"/>
    <x v="59"/>
    <s v="Cascones Cascone's Original Pasta Sauce 26 Oz"/>
    <n v="26"/>
    <s v="ounce"/>
    <d v="2021-10-28T00:00:00"/>
    <d v="2026-02-03T00:00:00"/>
    <s v="instacart"/>
    <n v="17616707"/>
    <n v="261824"/>
    <x v="0"/>
    <x v="0"/>
    <x v="0"/>
    <x v="0"/>
  </r>
  <r>
    <x v="94"/>
    <x v="60"/>
    <s v="Charlie's On 6th - Classic Pasta Sauce (26 Oz)"/>
    <n v="26"/>
    <s v="ounce"/>
    <d v="2022-12-06T00:00:00"/>
    <d v="2026-02-02T00:00:00"/>
    <s v="instacart"/>
    <s v=""/>
    <n v="261513"/>
    <x v="1"/>
    <x v="0"/>
    <x v="1"/>
    <x v="0"/>
  </r>
  <r>
    <x v="95"/>
    <x v="61"/>
    <s v="Naturas Tomato Sauce W Cheese - 7.1 OZ"/>
    <n v="7.1"/>
    <s v="ounce"/>
    <d v="2021-11-09T00:00:00"/>
    <d v="2026-02-06T00:00:00"/>
    <s v="instacart"/>
    <n v="25372760"/>
    <n v="264591"/>
    <x v="1"/>
    <x v="0"/>
    <x v="1"/>
    <x v="0"/>
  </r>
  <r>
    <x v="96"/>
    <x v="41"/>
    <s v="Nonna Pia's - Arrabiata Pasta Sauce"/>
    <n v="22.3169"/>
    <s v="fluid ounce"/>
    <d v="2025-04-10T00:00:00"/>
    <d v="2026-02-05T00:00:00"/>
    <s v="instacart"/>
    <s v=""/>
    <n v="266289"/>
    <x v="1"/>
    <x v="0"/>
    <x v="1"/>
    <x v="0"/>
  </r>
  <r>
    <x v="97"/>
    <x v="38"/>
    <s v="Germano's Pomodoro Classic Tomato Sauce"/>
    <n v="32"/>
    <s v="fluid ounce"/>
    <d v="2021-11-03T00:00:00"/>
    <d v="2026-02-05T00:00:00"/>
    <s v="instacart"/>
    <n v="17183494"/>
    <n v="261584"/>
    <x v="1"/>
    <x v="1"/>
    <x v="1"/>
    <x v="1"/>
  </r>
  <r>
    <x v="98"/>
    <x v="38"/>
    <s v="Annarino's Italian Marinara Sauce"/>
    <n v="32"/>
    <s v="fluid ounce"/>
    <d v="2021-11-03T00:00:00"/>
    <d v="2026-02-05T00:00:00"/>
    <s v="instacart"/>
    <n v="17183461"/>
    <n v="262233"/>
    <x v="0"/>
    <x v="1"/>
    <x v="0"/>
    <x v="1"/>
  </r>
  <r>
    <x v="99"/>
    <x v="19"/>
    <s v="Classico Italian Sausage With Peppers &amp; Onions Pasta Sauce 24 oz"/>
    <n v="24"/>
    <s v="ounce"/>
    <d v="2021-10-28T00:00:00"/>
    <d v="2026-02-07T00:00:00"/>
    <s v="instacart"/>
    <n v="73903"/>
    <n v="261748"/>
    <x v="1"/>
    <x v="0"/>
    <x v="1"/>
    <x v="0"/>
  </r>
  <r>
    <x v="100"/>
    <x v="38"/>
    <s v="SIMMER PASTA SAUCE TRUFFLE VODKA"/>
    <n v="16"/>
    <s v="ounce"/>
    <d v="2023-09-29T00:00:00"/>
    <d v="2025-11-26T00:00:00"/>
    <s v="instacart"/>
    <s v=""/>
    <n v="264213"/>
    <x v="0"/>
    <x v="1"/>
    <x v="0"/>
    <x v="1"/>
  </r>
  <r>
    <x v="101"/>
    <x v="45"/>
    <s v="PregoÂ® Plant Protein Traditional Pasta Sauce, 24 oz Jar"/>
    <n v="24"/>
    <s v="ounce"/>
    <d v="2021-10-28T00:00:00"/>
    <d v="2026-02-06T00:00:00"/>
    <s v="instacart"/>
    <n v="21836235"/>
    <n v="264473"/>
    <x v="0"/>
    <x v="0"/>
    <x v="0"/>
    <x v="0"/>
  </r>
  <r>
    <x v="102"/>
    <x v="62"/>
    <s v="Bellino Spaghetti Sauce - 26 Oz"/>
    <n v="26"/>
    <s v="ounce"/>
    <d v="2021-10-30T00:00:00"/>
    <d v="2026-02-05T00:00:00"/>
    <s v="instacart"/>
    <n v="212233"/>
    <n v="262542"/>
    <x v="1"/>
    <x v="0"/>
    <x v="1"/>
    <x v="0"/>
  </r>
  <r>
    <x v="103"/>
    <x v="14"/>
    <s v="Mezzetta Napa Valley Homemade Sauce Wild Mushroom Jar - 25 Oz"/>
    <n v="25"/>
    <s v="ounce"/>
    <d v="2021-10-28T00:00:00"/>
    <d v="2026-02-06T00:00:00"/>
    <s v="instacart"/>
    <n v="211562"/>
    <n v="266830"/>
    <x v="1"/>
    <x v="0"/>
    <x v="1"/>
    <x v="0"/>
  </r>
  <r>
    <x v="104"/>
    <x v="63"/>
    <s v="Victoria Sauce, Marinara 24 Oz"/>
    <n v="24"/>
    <s v="ounce"/>
    <d v="2021-10-28T00:00:00"/>
    <d v="2026-02-06T00:00:00"/>
    <s v="instacart"/>
    <n v="91462"/>
    <n v="264132"/>
    <x v="0"/>
    <x v="0"/>
    <x v="0"/>
    <x v="0"/>
  </r>
  <r>
    <x v="105"/>
    <x v="38"/>
    <s v="SAUCE PSTA CHRD TOM BAS"/>
    <n v="24"/>
    <s v="ounce"/>
    <d v="2023-06-07T00:00:00"/>
    <d v="2025-03-19T00:00:00"/>
    <s v="instacart"/>
    <s v=""/>
    <n v="266439"/>
    <x v="0"/>
    <x v="1"/>
    <x v="0"/>
    <x v="1"/>
  </r>
  <r>
    <x v="106"/>
    <x v="64"/>
    <s v="Luigi Bonura's Sicilian Pasta Sauce, 26.0 OZ"/>
    <n v="26"/>
    <s v="ounce"/>
    <d v="2021-10-28T00:00:00"/>
    <d v="2026-02-03T00:00:00"/>
    <s v="instacart"/>
    <n v="17616183"/>
    <n v="266383"/>
    <x v="1"/>
    <x v="0"/>
    <x v="1"/>
    <x v="0"/>
  </r>
  <r>
    <x v="107"/>
    <x v="49"/>
    <s v="Rao's Homemade Marinara Sauce, 22 oz., 2 pk."/>
    <n v="22"/>
    <s v="ounce"/>
    <d v="2021-10-28T00:00:00"/>
    <d v="2026-02-06T00:00:00"/>
    <s v="instacart"/>
    <n v="20753442"/>
    <n v="262367"/>
    <x v="0"/>
    <x v="0"/>
    <x v="0"/>
    <x v="0"/>
  </r>
  <r>
    <x v="108"/>
    <x v="65"/>
    <s v="Casa Visco Marinara Pasta Sauce"/>
    <n v="32"/>
    <s v="ounce"/>
    <d v="2021-10-29T00:00:00"/>
    <d v="2025-10-22T00:00:00"/>
    <s v="instacart"/>
    <s v=""/>
    <n v="264246"/>
    <x v="0"/>
    <x v="0"/>
    <x v="0"/>
    <x v="0"/>
  </r>
  <r>
    <x v="109"/>
    <x v="66"/>
    <s v="Frank's All Natural Original Marinara Pasta Sauce"/>
    <n v="26"/>
    <s v="ounce"/>
    <d v="2021-10-31T00:00:00"/>
    <d v="2025-03-24T00:00:00"/>
    <s v="instacart"/>
    <s v=""/>
    <n v="264707"/>
    <x v="0"/>
    <x v="0"/>
    <x v="0"/>
    <x v="0"/>
  </r>
  <r>
    <x v="110"/>
    <x v="67"/>
    <s v="Dell Amore Marinara Sauce Original Recipe Jar - 25 Oz"/>
    <n v="25"/>
    <s v="ounce"/>
    <d v="2021-10-28T00:00:00"/>
    <d v="2026-02-05T00:00:00"/>
    <s v="instacart"/>
    <n v="73917"/>
    <n v="261567"/>
    <x v="0"/>
    <x v="0"/>
    <x v="0"/>
    <x v="0"/>
  </r>
  <r>
    <x v="111"/>
    <x v="15"/>
    <s v="Ragu Marinara Sauce, Chunky 24 oz"/>
    <n v="24"/>
    <s v="ounce"/>
    <d v="2021-10-28T00:00:00"/>
    <d v="2026-02-06T00:00:00"/>
    <s v="instacart"/>
    <n v="19618069"/>
    <n v="262185"/>
    <x v="1"/>
    <x v="0"/>
    <x v="1"/>
    <x v="0"/>
  </r>
  <r>
    <x v="112"/>
    <x v="68"/>
    <s v="Buitoni Meat Sauce, Refrigerated Pasta Sauce"/>
    <n v="15"/>
    <s v="ounce"/>
    <d v="2021-10-28T00:00:00"/>
    <d v="2025-11-20T00:00:00"/>
    <s v="instacart"/>
    <n v="25372704"/>
    <n v="266367"/>
    <x v="1"/>
    <x v="0"/>
    <x v="1"/>
    <x v="0"/>
  </r>
  <r>
    <x v="113"/>
    <x v="69"/>
    <s v="Gefen, Fat Free Marinara Pasta Sauce, Fat Free Classic Marinara Sauce 26oz."/>
    <n v="26"/>
    <s v="ounce"/>
    <d v="2021-10-28T00:00:00"/>
    <d v="2026-02-06T00:00:00"/>
    <s v="instacart"/>
    <n v="190698"/>
    <n v="264449"/>
    <x v="1"/>
    <x v="0"/>
    <x v="1"/>
    <x v="0"/>
  </r>
  <r>
    <x v="114"/>
    <x v="13"/>
    <s v="Paesana Beyond Meat Bolognese - 25OZ"/>
    <n v="25"/>
    <s v="ounce"/>
    <d v="2021-10-28T00:00:00"/>
    <d v="2025-10-31T00:00:00"/>
    <s v="instacart"/>
    <s v=""/>
    <n v="262173"/>
    <x v="1"/>
    <x v="0"/>
    <x v="1"/>
    <x v="0"/>
  </r>
  <r>
    <x v="115"/>
    <x v="70"/>
    <s v="Livwell Pasta Sauce, Vegetable &amp; Herb"/>
    <n v="16"/>
    <s v="ounce"/>
    <d v="2023-01-11T00:00:00"/>
    <d v="2026-02-06T00:00:00"/>
    <s v="instacart"/>
    <n v="27261156"/>
    <n v="264347"/>
    <x v="1"/>
    <x v="0"/>
    <x v="1"/>
    <x v="0"/>
  </r>
  <r>
    <x v="116"/>
    <x v="71"/>
    <s v="Racconto Riserva Plant Based Sausage Marinara Sauce, 24 oz"/>
    <n v="24"/>
    <s v="ounce"/>
    <d v="2022-07-02T00:00:00"/>
    <d v="2024-07-04T00:00:00"/>
    <s v="instacart"/>
    <s v=""/>
    <n v="264041"/>
    <x v="0"/>
    <x v="0"/>
    <x v="0"/>
    <x v="0"/>
  </r>
  <r>
    <x v="117"/>
    <x v="53"/>
    <s v="CARINARA Spicy Cracked Pepper Pasta Sauce"/>
    <n v="25"/>
    <s v="ounce"/>
    <d v="2024-05-30T00:00:00"/>
    <d v="2026-02-04T00:00:00"/>
    <s v="instacart"/>
    <s v=""/>
    <n v="261802"/>
    <x v="0"/>
    <x v="0"/>
    <x v="0"/>
    <x v="0"/>
  </r>
  <r>
    <x v="118"/>
    <x v="72"/>
    <s v="Scarpetta Tuscan Vodka Sauce, 19.8 oz"/>
    <n v="19.8"/>
    <s v="ounce"/>
    <d v="2021-10-28T00:00:00"/>
    <d v="2026-01-12T00:00:00"/>
    <s v="instacart"/>
    <s v=""/>
    <n v="264027"/>
    <x v="1"/>
    <x v="0"/>
    <x v="1"/>
    <x v="0"/>
  </r>
  <r>
    <x v="119"/>
    <x v="37"/>
    <s v="Primal Kitchen Roasted Garlic Marinara Sauce 24 oz"/>
    <n v="24"/>
    <s v="ounce"/>
    <d v="2021-10-28T00:00:00"/>
    <d v="2026-02-06T00:00:00"/>
    <s v="instacart"/>
    <n v="20218167"/>
    <n v="262281"/>
    <x v="0"/>
    <x v="0"/>
    <x v="0"/>
    <x v="0"/>
  </r>
  <r>
    <x v="120"/>
    <x v="19"/>
    <s v="Classico - Tomato &amp; Pesto Spaghetti Pasta Sauce"/>
    <n v="21.978764999999999"/>
    <s v="fluid ounce"/>
    <d v="2021-10-28T00:00:00"/>
    <d v="2025-06-19T00:00:00"/>
    <s v="instacart"/>
    <s v=""/>
    <n v="261486"/>
    <x v="0"/>
    <x v="0"/>
    <x v="0"/>
    <x v="0"/>
  </r>
  <r>
    <x v="121"/>
    <x v="24"/>
    <s v="Hunt's Pasta Sauce, Premium, Meat Flavored 24 oz"/>
    <n v="24"/>
    <s v="ounce"/>
    <d v="2021-10-28T00:00:00"/>
    <d v="2026-02-07T00:00:00"/>
    <s v="instacart"/>
    <n v="39387"/>
    <n v="261805"/>
    <x v="0"/>
    <x v="0"/>
    <x v="0"/>
    <x v="0"/>
  </r>
  <r>
    <x v="122"/>
    <x v="14"/>
    <s v="Mezzetta Family Recipes Sensitive Marinara - 24.5 Oz"/>
    <n v="24.5"/>
    <s v="ounce"/>
    <d v="2023-07-30T00:00:00"/>
    <d v="2026-02-05T00:00:00"/>
    <s v="instacart"/>
    <n v="31575554"/>
    <n v="264023"/>
    <x v="0"/>
    <x v="0"/>
    <x v="0"/>
    <x v="0"/>
  </r>
  <r>
    <x v="123"/>
    <x v="73"/>
    <s v="DAVE'S GOURMET Creamy Parmesan Ramano Pasta Sauce"/>
    <n v="25"/>
    <s v="ounce"/>
    <d v="2021-10-28T00:00:00"/>
    <d v="2026-02-06T00:00:00"/>
    <s v="instacart"/>
    <n v="16270693"/>
    <n v="264174"/>
    <x v="1"/>
    <x v="0"/>
    <x v="1"/>
    <x v="0"/>
  </r>
  <r>
    <x v="124"/>
    <x v="38"/>
    <s v="Barilla - Vero Gusto Sicilian Oregano"/>
    <n v="20"/>
    <s v="ounce"/>
    <d v="2021-10-28T00:00:00"/>
    <d v="2026-02-06T00:00:00"/>
    <s v="instacart"/>
    <n v="19831654"/>
    <n v="264084"/>
    <x v="1"/>
    <x v="1"/>
    <x v="1"/>
    <x v="1"/>
  </r>
  <r>
    <x v="125"/>
    <x v="63"/>
    <s v="Victoria Marinara Pasta Sauce"/>
    <n v="32"/>
    <s v="ounce"/>
    <d v="2021-10-28T00:00:00"/>
    <d v="2025-07-21T00:00:00"/>
    <s v="instacart"/>
    <s v=""/>
    <n v="264424"/>
    <x v="1"/>
    <x v="0"/>
    <x v="1"/>
    <x v="0"/>
  </r>
  <r>
    <x v="126"/>
    <x v="34"/>
    <s v="Newman's Own Pasta Sauce, Organic, Olive Oil, Basil &amp; Garlic 23.5 oz"/>
    <n v="23.5"/>
    <s v="ounce"/>
    <d v="2021-10-28T00:00:00"/>
    <d v="2026-02-05T00:00:00"/>
    <s v="instacart"/>
    <n v="19645610"/>
    <n v="261781"/>
    <x v="0"/>
    <x v="0"/>
    <x v="0"/>
    <x v="0"/>
  </r>
  <r>
    <x v="127"/>
    <x v="74"/>
    <s v="Capa Di Roma Fresh Basil Sauce"/>
    <n v="24"/>
    <s v="ounce"/>
    <d v="2021-10-31T00:00:00"/>
    <d v="2026-02-04T00:00:00"/>
    <s v="instacart"/>
    <n v="110844"/>
    <n v="267035"/>
    <x v="0"/>
    <x v="0"/>
    <x v="0"/>
    <x v="0"/>
  </r>
  <r>
    <x v="128"/>
    <x v="49"/>
    <s v="Rao's Caramelized Onion Sauce"/>
    <n v="24"/>
    <s v="ounce"/>
    <d v="2023-06-07T00:00:00"/>
    <d v="2026-02-07T00:00:00"/>
    <s v="instacart"/>
    <n v="30364098"/>
    <n v="261495"/>
    <x v="1"/>
    <x v="0"/>
    <x v="1"/>
    <x v="0"/>
  </r>
  <r>
    <x v="129"/>
    <x v="49"/>
    <s v="Rao's Homemade Tomato Basil Sauce, 22 oz., 2 pk."/>
    <n v="44"/>
    <s v="ounce"/>
    <d v="2024-07-04T00:00:00"/>
    <d v="2026-02-05T00:00:00"/>
    <s v="instacart"/>
    <s v=""/>
    <n v="266867"/>
    <x v="1"/>
    <x v="0"/>
    <x v="1"/>
    <x v="0"/>
  </r>
  <r>
    <x v="130"/>
    <x v="45"/>
    <s v="PregoÂ® Roasted Garlic And Herb Pasta Sauce 45.000 Oz"/>
    <n v="45"/>
    <s v="ounce"/>
    <d v="2021-10-28T00:00:00"/>
    <d v="2026-02-07T00:00:00"/>
    <s v="instacart"/>
    <n v="24680112"/>
    <n v="266368"/>
    <x v="0"/>
    <x v="0"/>
    <x v="0"/>
    <x v="0"/>
  </r>
  <r>
    <x v="131"/>
    <x v="72"/>
    <s v="Scarpetta Pasta Sauce, Fresh, Marinara"/>
    <m/>
    <m/>
    <d v="2021-10-28T00:00:00"/>
    <d v="2024-06-25T00:00:00"/>
    <s v="instacart"/>
    <s v=""/>
    <n v="266441"/>
    <x v="0"/>
    <x v="0"/>
    <x v="0"/>
    <x v="0"/>
  </r>
  <r>
    <x v="132"/>
    <x v="19"/>
    <s v="Classico Creamy Ricotta Pasta Sauce 24 oz"/>
    <n v="24"/>
    <s v="ounce"/>
    <d v="2024-05-19T00:00:00"/>
    <d v="2026-02-06T00:00:00"/>
    <s v="instacart"/>
    <n v="43579806"/>
    <n v="264075"/>
    <x v="1"/>
    <x v="0"/>
    <x v="1"/>
    <x v="0"/>
  </r>
  <r>
    <x v="133"/>
    <x v="15"/>
    <s v="Ragu Cheese Creations Parmesan &amp; Romano Sauce"/>
    <n v="24"/>
    <s v="ounce"/>
    <d v="2021-10-28T00:00:00"/>
    <d v="2026-02-06T00:00:00"/>
    <s v="instacart"/>
    <n v="77091"/>
    <n v="264133"/>
    <x v="0"/>
    <x v="0"/>
    <x v="0"/>
    <x v="0"/>
  </r>
  <r>
    <x v="134"/>
    <x v="39"/>
    <s v="MOM's Spag Garlic Basil - 24 Ounce"/>
    <n v="24"/>
    <s v="ounce"/>
    <d v="2021-10-28T00:00:00"/>
    <d v="2026-02-05T00:00:00"/>
    <s v="instacart"/>
    <n v="24834"/>
    <n v="264108"/>
    <x v="0"/>
    <x v="0"/>
    <x v="0"/>
    <x v="0"/>
  </r>
  <r>
    <x v="135"/>
    <x v="32"/>
    <s v="Mid's Pasta Sauce, Three Cheese 28 Oz"/>
    <n v="28"/>
    <s v="ounce"/>
    <d v="2021-10-28T00:00:00"/>
    <d v="2026-02-06T00:00:00"/>
    <s v="instacart"/>
    <n v="29624508"/>
    <n v="266536"/>
    <x v="1"/>
    <x v="0"/>
    <x v="1"/>
    <x v="0"/>
  </r>
  <r>
    <x v="136"/>
    <x v="0"/>
    <s v="Francesco Rinaldi, Classic Marinara Sauce, 24 Oz, Low Fat, Gluten-Free, No Saturated Fat"/>
    <n v="24"/>
    <s v="ounce"/>
    <d v="2021-10-28T00:00:00"/>
    <d v="2026-02-06T00:00:00"/>
    <s v="instacart"/>
    <n v="91503"/>
    <n v="264282"/>
    <x v="0"/>
    <x v="0"/>
    <x v="0"/>
    <x v="0"/>
  </r>
  <r>
    <x v="137"/>
    <x v="26"/>
    <s v="Ragu Old World Style Sauce Flavored with Meat, Made with Olive Oil, Perfect for Italian Style Meals at Home, 4.4 oz, 4 Count"/>
    <n v="17.600000000000001"/>
    <s v="ounce"/>
    <d v="2021-10-28T00:00:00"/>
    <d v="2026-01-25T00:00:00"/>
    <s v="instacart"/>
    <s v=""/>
    <n v="262237"/>
    <x v="1"/>
    <x v="0"/>
    <x v="1"/>
    <x v="0"/>
  </r>
  <r>
    <x v="138"/>
    <x v="44"/>
    <s v="Botticelli Pasta Sauce, Caramelized Onion, Premium 24 Oz"/>
    <n v="24"/>
    <s v="ounce"/>
    <d v="2024-05-19T00:00:00"/>
    <d v="2026-02-06T00:00:00"/>
    <s v="instacart"/>
    <n v="47565125"/>
    <n v="262257"/>
    <x v="0"/>
    <x v="0"/>
    <x v="0"/>
    <x v="0"/>
  </r>
  <r>
    <x v="139"/>
    <x v="38"/>
    <s v="Luigi Del Conte Spicy Ala Vodka Sauce"/>
    <n v="16"/>
    <s v="ounce"/>
    <d v="2021-10-29T00:00:00"/>
    <d v="2025-10-31T00:00:00"/>
    <s v="instacart"/>
    <s v=""/>
    <n v="264238"/>
    <x v="0"/>
    <x v="1"/>
    <x v="0"/>
    <x v="1"/>
  </r>
  <r>
    <x v="140"/>
    <x v="38"/>
    <s v="Botticelli - Primavera Sauce"/>
    <n v="24"/>
    <s v="ounce"/>
    <d v="2021-10-28T00:00:00"/>
    <d v="2026-02-06T00:00:00"/>
    <s v="instacart"/>
    <n v="17727700"/>
    <n v="264042"/>
    <x v="1"/>
    <x v="1"/>
    <x v="1"/>
    <x v="1"/>
  </r>
  <r>
    <x v="141"/>
    <x v="19"/>
    <s v="Classico - Bolognese Spaghetti Pasta Sauce"/>
    <n v="21.978764999999999"/>
    <s v="fluid ounce"/>
    <d v="2021-10-28T00:00:00"/>
    <d v="2024-12-12T00:00:00"/>
    <s v="instacart"/>
    <s v=""/>
    <n v="261812"/>
    <x v="1"/>
    <x v="0"/>
    <x v="1"/>
    <x v="0"/>
  </r>
  <r>
    <x v="142"/>
    <x v="38"/>
    <s v="Giusto Marinara Sauce"/>
    <n v="24"/>
    <s v="ounce"/>
    <d v="2022-12-03T00:00:00"/>
    <d v="2026-02-06T00:00:00"/>
    <s v="instacart"/>
    <n v="19870427"/>
    <n v="262606"/>
    <x v="1"/>
    <x v="1"/>
    <x v="1"/>
    <x v="1"/>
  </r>
  <r>
    <x v="143"/>
    <x v="75"/>
    <s v="La Famiglia DelGrosso Uncle Fred's Fireworks Pasta Sauce"/>
    <n v="26"/>
    <s v="ounce"/>
    <d v="2021-10-28T00:00:00"/>
    <d v="2026-02-06T00:00:00"/>
    <s v="instacart"/>
    <n v="123505"/>
    <n v="264274"/>
    <x v="1"/>
    <x v="0"/>
    <x v="1"/>
    <x v="0"/>
  </r>
  <r>
    <x v="144"/>
    <x v="76"/>
    <s v="Ferrara Red Clam Sauce, 15 oz"/>
    <n v="15"/>
    <s v="ounce"/>
    <d v="2021-10-30T00:00:00"/>
    <d v="2026-02-06T00:00:00"/>
    <s v="instacart"/>
    <n v="3262026"/>
    <n v="261899"/>
    <x v="0"/>
    <x v="0"/>
    <x v="0"/>
    <x v="0"/>
  </r>
  <r>
    <x v="145"/>
    <x v="77"/>
    <s v="Sclafani All Purpose Marinara Sauce, 16 oz"/>
    <n v="16"/>
    <s v="ounce"/>
    <d v="2021-10-31T00:00:00"/>
    <d v="2026-02-06T00:00:00"/>
    <s v="instacart"/>
    <n v="228203"/>
    <n v="264371"/>
    <x v="1"/>
    <x v="0"/>
    <x v="1"/>
    <x v="0"/>
  </r>
  <r>
    <x v="146"/>
    <x v="5"/>
    <s v="PregoÂ® Mushroom &amp; Green Pepper Pasta Sauce"/>
    <m/>
    <m/>
    <d v="2021-10-28T00:00:00"/>
    <d v="2023-06-08T00:00:00"/>
    <s v="instacart"/>
    <s v=""/>
    <n v="264099"/>
    <x v="0"/>
    <x v="0"/>
    <x v="0"/>
    <x v="0"/>
  </r>
  <r>
    <x v="147"/>
    <x v="71"/>
    <s v="Racconto Bolognese Pasta Sauce - 24 Oz"/>
    <n v="24"/>
    <s v="ounce"/>
    <d v="2021-10-28T00:00:00"/>
    <d v="2026-02-05T00:00:00"/>
    <s v="instacart"/>
    <n v="91496"/>
    <n v="264230"/>
    <x v="1"/>
    <x v="0"/>
    <x v="1"/>
    <x v="0"/>
  </r>
  <r>
    <x v="148"/>
    <x v="37"/>
    <s v="Primal Kitchen Arrabbiata Marinara Sauce"/>
    <n v="23.5"/>
    <s v="ounce"/>
    <d v="2021-10-28T00:00:00"/>
    <d v="2026-02-06T00:00:00"/>
    <s v="instacart"/>
    <n v="23129319"/>
    <n v="261713"/>
    <x v="1"/>
    <x v="0"/>
    <x v="1"/>
    <x v="0"/>
  </r>
  <r>
    <x v="149"/>
    <x v="78"/>
    <s v="Osm Romanoff Sauce - 13 Oz"/>
    <n v="13"/>
    <s v="ounce"/>
    <d v="2021-10-28T00:00:00"/>
    <d v="2026-02-06T00:00:00"/>
    <s v="instacart"/>
    <n v="17554800"/>
    <n v="264655"/>
    <x v="1"/>
    <x v="0"/>
    <x v="1"/>
    <x v="0"/>
  </r>
  <r>
    <x v="150"/>
    <x v="79"/>
    <s v="Rigazzis - Fine Italian Pasta Sauce (33 Oz)"/>
    <n v="33"/>
    <s v="ounce"/>
    <d v="2022-12-06T00:00:00"/>
    <d v="2026-02-02T00:00:00"/>
    <s v="instacart"/>
    <s v=""/>
    <n v="261678"/>
    <x v="0"/>
    <x v="0"/>
    <x v="0"/>
    <x v="0"/>
  </r>
  <r>
    <x v="151"/>
    <x v="80"/>
    <s v="Muir Glen Organic Pasta Sauce, Roasted Garlic, 25.5 oz"/>
    <n v="25.5"/>
    <s v="ounce"/>
    <d v="2021-10-28T00:00:00"/>
    <d v="2026-02-06T00:00:00"/>
    <s v="instacart"/>
    <n v="16754516"/>
    <n v="266644"/>
    <x v="0"/>
    <x v="0"/>
    <x v="0"/>
    <x v="0"/>
  </r>
  <r>
    <x v="152"/>
    <x v="81"/>
    <s v="Boves Organic Roasted Garlic Pasta Sauce"/>
    <n v="24"/>
    <s v="ounce"/>
    <d v="2025-05-28T00:00:00"/>
    <d v="2025-10-22T00:00:00"/>
    <s v="instacart"/>
    <s v=""/>
    <n v="262603"/>
    <x v="0"/>
    <x v="0"/>
    <x v="0"/>
    <x v="0"/>
  </r>
  <r>
    <x v="153"/>
    <x v="0"/>
    <s v="Francesco Rinaldi Sauce, Tomato, Garlic &amp; Onion 45 oz"/>
    <n v="45"/>
    <s v="ounce"/>
    <d v="2021-10-28T00:00:00"/>
    <d v="2026-02-05T00:00:00"/>
    <s v="instacart"/>
    <n v="143291"/>
    <n v="264448"/>
    <x v="1"/>
    <x v="0"/>
    <x v="1"/>
    <x v="0"/>
  </r>
  <r>
    <x v="154"/>
    <x v="7"/>
    <s v="Rao's Homemade Arrabbiata Sauce, 32 oz, Tomato Sauce, All Purpose, Keto Friendly Pasta Sauce, Premium Quality Tomatoes from Italy &amp; Crushed Red Pepper"/>
    <n v="32"/>
    <s v="ounce"/>
    <d v="2021-10-28T00:00:00"/>
    <d v="2026-02-07T00:00:00"/>
    <s v="instacart"/>
    <s v="18628190, 30585530"/>
    <s v="266870, 266871"/>
    <x v="1"/>
    <x v="0"/>
    <x v="1"/>
    <x v="0"/>
  </r>
  <r>
    <x v="155"/>
    <x v="19"/>
    <s v="Classico - Florentine Spinach and Cheese Pasta Sauce"/>
    <n v="20.288091000000001"/>
    <s v="fluid ounce"/>
    <d v="2024-09-27T00:00:00"/>
    <d v="2026-02-05T00:00:00"/>
    <s v="instacart"/>
    <s v=""/>
    <n v="261878"/>
    <x v="1"/>
    <x v="0"/>
    <x v="1"/>
    <x v="0"/>
  </r>
  <r>
    <x v="156"/>
    <x v="82"/>
    <s v="Tuttorosso Pasta Sauce, Natural, Marinara"/>
    <n v="24"/>
    <s v="ounce"/>
    <d v="2021-10-28T00:00:00"/>
    <d v="2026-02-06T00:00:00"/>
    <s v="instacart"/>
    <n v="98524"/>
    <n v="264079"/>
    <x v="0"/>
    <x v="0"/>
    <x v="0"/>
    <x v="0"/>
  </r>
  <r>
    <x v="157"/>
    <x v="83"/>
    <s v="Only Goodness - ONLY GOODNESS Orgnc Arbbta Pasta Sauce"/>
    <n v="22.993169999999999"/>
    <s v="fluid ounce"/>
    <d v="2023-11-03T00:00:00"/>
    <d v="2025-12-04T00:00:00"/>
    <s v="instacart"/>
    <s v=""/>
    <n v="264369"/>
    <x v="1"/>
    <x v="0"/>
    <x v="1"/>
    <x v="0"/>
  </r>
  <r>
    <x v="158"/>
    <x v="38"/>
    <s v="All Nat Pasta Sauce Mushroom"/>
    <n v="24"/>
    <s v="ounce"/>
    <d v="2021-10-28T00:00:00"/>
    <d v="2026-02-06T00:00:00"/>
    <s v="instacart"/>
    <s v=""/>
    <n v="261508"/>
    <x v="0"/>
    <x v="1"/>
    <x v="0"/>
    <x v="1"/>
  </r>
  <r>
    <x v="159"/>
    <x v="84"/>
    <s v="Lidias Marinara 25 Oz"/>
    <n v="25"/>
    <s v="ounce"/>
    <d v="2021-10-28T00:00:00"/>
    <d v="2026-02-06T00:00:00"/>
    <s v="instacart"/>
    <n v="91471"/>
    <n v="264367"/>
    <x v="0"/>
    <x v="0"/>
    <x v="0"/>
    <x v="0"/>
  </r>
  <r>
    <x v="160"/>
    <x v="80"/>
    <s v="Muir Glen Organic Organic Tomato Basil Pasta Sauce, 23.5 oz"/>
    <n v="23.5"/>
    <s v="ounce"/>
    <d v="2022-02-20T00:00:00"/>
    <d v="2026-02-06T00:00:00"/>
    <s v="instacart"/>
    <n v="27767012"/>
    <n v="261607"/>
    <x v="1"/>
    <x v="0"/>
    <x v="1"/>
    <x v="0"/>
  </r>
  <r>
    <x v="161"/>
    <x v="32"/>
    <s v="Mids Pasta Sauce, Garlic &amp; Onion"/>
    <n v="32"/>
    <s v="ounce"/>
    <d v="2021-10-28T00:00:00"/>
    <d v="2026-02-05T00:00:00"/>
    <s v="instacart"/>
    <s v=""/>
    <n v="264117"/>
    <x v="1"/>
    <x v="0"/>
    <x v="1"/>
    <x v="0"/>
  </r>
  <r>
    <x v="162"/>
    <x v="24"/>
    <s v="Hunt's Pasta Sauce, Premium, Cheese &amp; Garlic 24 oz"/>
    <n v="24"/>
    <s v="ounce"/>
    <d v="2021-10-28T00:00:00"/>
    <d v="2026-02-06T00:00:00"/>
    <s v="instacart"/>
    <n v="3168273"/>
    <n v="266985"/>
    <x v="0"/>
    <x v="0"/>
    <x v="0"/>
    <x v="0"/>
  </r>
  <r>
    <x v="163"/>
    <x v="85"/>
    <s v="Cucina Antica Cooking Sauce,  Spicy Arrabbiata"/>
    <n v="25"/>
    <s v="ounce"/>
    <d v="2021-10-28T00:00:00"/>
    <d v="2026-02-06T00:00:00"/>
    <s v="instacart"/>
    <n v="53395"/>
    <n v="261727"/>
    <x v="0"/>
    <x v="0"/>
    <x v="0"/>
    <x v="0"/>
  </r>
  <r>
    <x v="164"/>
    <x v="86"/>
    <s v="Pasta Jays Sauce Pasta Creamy Tomato - 25 Oz"/>
    <n v="25"/>
    <s v="ounce"/>
    <d v="2021-10-28T00:00:00"/>
    <d v="2025-09-18T00:00:00"/>
    <s v="instacart"/>
    <s v=""/>
    <n v="266845"/>
    <x v="1"/>
    <x v="0"/>
    <x v="1"/>
    <x v="0"/>
  </r>
  <r>
    <x v="165"/>
    <x v="87"/>
    <s v="Organico BelloÂ® Tomato Basil Pasta Sauce"/>
    <n v="25"/>
    <s v="ounce"/>
    <d v="2021-10-28T00:00:00"/>
    <d v="2026-02-06T00:00:00"/>
    <s v="instacart"/>
    <n v="175472"/>
    <n v="264047"/>
    <x v="0"/>
    <x v="0"/>
    <x v="0"/>
    <x v="0"/>
  </r>
  <r>
    <x v="166"/>
    <x v="6"/>
    <s v="Bertolli Vodka Sauce, 24 oz., 3 pk."/>
    <n v="72"/>
    <s v="ounce"/>
    <d v="2022-10-20T00:00:00"/>
    <d v="2026-02-05T00:00:00"/>
    <s v="instacart"/>
    <s v=""/>
    <n v="266298"/>
    <x v="1"/>
    <x v="0"/>
    <x v="1"/>
    <x v="0"/>
  </r>
  <r>
    <x v="167"/>
    <x v="13"/>
    <s v="Paesana Tomato Basil Pasta Sauce, 25 oz"/>
    <n v="25"/>
    <s v="ounce"/>
    <d v="2021-10-28T00:00:00"/>
    <d v="2026-02-06T00:00:00"/>
    <s v="instacart"/>
    <n v="1918135"/>
    <n v="261881"/>
    <x v="1"/>
    <x v="0"/>
    <x v="1"/>
    <x v="0"/>
  </r>
  <r>
    <x v="168"/>
    <x v="75"/>
    <s v="DelGrosso Pasta Sauce, Three Cheese"/>
    <n v="45"/>
    <s v="ounce"/>
    <d v="2021-10-28T00:00:00"/>
    <d v="2026-02-06T00:00:00"/>
    <s v="instacart"/>
    <s v=""/>
    <n v="261911"/>
    <x v="1"/>
    <x v="0"/>
    <x v="1"/>
    <x v="0"/>
  </r>
  <r>
    <x v="169"/>
    <x v="73"/>
    <s v="Daves Gourmet Organic Pasta Sauce Red Heirloom - 25.5 Oz"/>
    <n v="24"/>
    <s v="ounce"/>
    <d v="2021-10-28T00:00:00"/>
    <d v="2026-02-06T00:00:00"/>
    <s v="instacart"/>
    <n v="24828"/>
    <n v="266322"/>
    <x v="0"/>
    <x v="0"/>
    <x v="0"/>
    <x v="0"/>
  </r>
  <r>
    <x v="170"/>
    <x v="53"/>
    <s v="Chef Pasquale's &quot;Hometown&quot; Tomato Sauce with Mushrooms"/>
    <n v="24"/>
    <s v="ounce"/>
    <d v="2022-12-08T00:00:00"/>
    <d v="2025-11-24T00:00:00"/>
    <s v="instacart"/>
    <s v=""/>
    <n v="266914"/>
    <x v="1"/>
    <x v="0"/>
    <x v="1"/>
    <x v="0"/>
  </r>
  <r>
    <x v="171"/>
    <x v="38"/>
    <s v="Antonia Carlo Handcrafted Tomato Basil Marinara Sauce"/>
    <n v="24"/>
    <s v="ounce"/>
    <d v="2021-10-28T00:00:00"/>
    <d v="2026-02-05T00:00:00"/>
    <s v="instacart"/>
    <n v="19520086"/>
    <n v="262168"/>
    <x v="1"/>
    <x v="1"/>
    <x v="1"/>
    <x v="1"/>
  </r>
  <r>
    <x v="172"/>
    <x v="48"/>
    <s v="Jersey Italian Gravy Arrabiata Sauce, 6 PK"/>
    <m/>
    <m/>
    <d v="2023-03-24T00:00:00"/>
    <d v="2023-06-22T00:00:00"/>
    <s v="instacart"/>
    <s v=""/>
    <n v="262611"/>
    <x v="1"/>
    <x v="0"/>
    <x v="1"/>
    <x v="0"/>
  </r>
  <r>
    <x v="173"/>
    <x v="88"/>
    <s v="Pirros Pasta Sauce Rustic Vodka - 24 Oz"/>
    <n v="24"/>
    <s v="ounce"/>
    <d v="2021-10-28T00:00:00"/>
    <d v="2026-02-05T00:00:00"/>
    <s v="instacart"/>
    <n v="24496159"/>
    <n v="261797"/>
    <x v="1"/>
    <x v="0"/>
    <x v="1"/>
    <x v="0"/>
  </r>
  <r>
    <x v="174"/>
    <x v="89"/>
    <s v="LaDoriaArrab, PLCHD cont-3rd party agency"/>
    <n v="12.172855"/>
    <s v="fluid ounce"/>
    <d v="2025-05-20T00:00:00"/>
    <d v="2026-02-05T00:00:00"/>
    <s v="instacart"/>
    <s v=""/>
    <n v="266514"/>
    <x v="1"/>
    <x v="0"/>
    <x v="1"/>
    <x v="0"/>
  </r>
  <r>
    <x v="175"/>
    <x v="24"/>
    <s v="Huntâ€™s Spaghetti Sauce, Traditional, 26.5 oz Can"/>
    <n v="26.5"/>
    <s v="ounce"/>
    <d v="2021-10-28T00:00:00"/>
    <d v="2026-02-07T00:00:00"/>
    <s v="instacart"/>
    <s v=""/>
    <n v="266970"/>
    <x v="0"/>
    <x v="0"/>
    <x v="0"/>
    <x v="0"/>
  </r>
  <r>
    <x v="176"/>
    <x v="38"/>
    <s v="The Sonoma Kitchen Zinfandel Roasted Garlic Sauce"/>
    <n v="24"/>
    <s v="ounce"/>
    <d v="2023-06-07T00:00:00"/>
    <d v="2025-03-05T00:00:00"/>
    <s v="instacart"/>
    <s v=""/>
    <n v="262042"/>
    <x v="1"/>
    <x v="1"/>
    <x v="1"/>
    <x v="1"/>
  </r>
  <r>
    <x v="177"/>
    <x v="38"/>
    <s v="n/a - Classico Portabella Mushroom"/>
    <n v="24"/>
    <s v="ounce"/>
    <d v="2021-10-28T00:00:00"/>
    <d v="2026-02-06T00:00:00"/>
    <s v="instacart"/>
    <s v=""/>
    <n v="261583"/>
    <x v="1"/>
    <x v="1"/>
    <x v="1"/>
    <x v="1"/>
  </r>
  <r>
    <x v="178"/>
    <x v="19"/>
    <s v="Classico Pasta Sauce, Tomato &amp; Basil"/>
    <n v="44"/>
    <s v="ounce"/>
    <d v="2021-10-28T00:00:00"/>
    <d v="2026-02-06T00:00:00"/>
    <s v="instacart"/>
    <n v="98536"/>
    <n v="266353"/>
    <x v="1"/>
    <x v="0"/>
    <x v="1"/>
    <x v="0"/>
  </r>
  <r>
    <x v="179"/>
    <x v="90"/>
    <s v="Ginos Spaghetti Sauce"/>
    <n v="24"/>
    <s v="ounce"/>
    <d v="2021-10-28T00:00:00"/>
    <d v="2026-02-04T00:00:00"/>
    <s v="instacart"/>
    <s v=""/>
    <n v="266304"/>
    <x v="1"/>
    <x v="0"/>
    <x v="1"/>
    <x v="0"/>
  </r>
  <r>
    <x v="180"/>
    <x v="91"/>
    <s v="Stonewall Kitchen Mom's Meatloaf Sauce"/>
    <n v="20.5"/>
    <s v="ounce"/>
    <d v="2021-10-28T00:00:00"/>
    <d v="2026-02-06T00:00:00"/>
    <s v="instacart"/>
    <n v="260901"/>
    <n v="264439"/>
    <x v="0"/>
    <x v="0"/>
    <x v="0"/>
    <x v="0"/>
  </r>
  <r>
    <x v="181"/>
    <x v="9"/>
    <s v="STEFANO Faita - Arrabbiata Tomato Pasta Sauce"/>
    <n v="21.911138000000001"/>
    <s v="fluid ounce"/>
    <d v="2021-10-28T00:00:00"/>
    <d v="2026-02-05T00:00:00"/>
    <s v="instacart"/>
    <s v=""/>
    <n v="261592"/>
    <x v="0"/>
    <x v="0"/>
    <x v="0"/>
    <x v="0"/>
  </r>
  <r>
    <x v="182"/>
    <x v="92"/>
    <s v="LaRosa's Original Pasta Sauce- 24oz PET Jar"/>
    <n v="24"/>
    <s v="ounce"/>
    <d v="2021-10-28T00:00:00"/>
    <d v="2026-02-04T00:00:00"/>
    <s v="instacart"/>
    <n v="27976721"/>
    <n v="264292"/>
    <x v="0"/>
    <x v="0"/>
    <x v="0"/>
    <x v="0"/>
  </r>
  <r>
    <x v="183"/>
    <x v="40"/>
    <s v="Muir Glen Pasta Sauce, Organic, Tomato Basil 25.5 oz"/>
    <n v="25.5"/>
    <s v="ounce"/>
    <d v="2021-10-28T00:00:00"/>
    <d v="2026-02-06T00:00:00"/>
    <s v="instacart"/>
    <n v="24836"/>
    <n v="264039"/>
    <x v="0"/>
    <x v="0"/>
    <x v="0"/>
    <x v="0"/>
  </r>
  <r>
    <x v="184"/>
    <x v="93"/>
    <s v="Sauce Marinara, 16 OZ"/>
    <n v="16"/>
    <s v="ounce"/>
    <d v="2021-10-28T00:00:00"/>
    <d v="2026-02-04T00:00:00"/>
    <s v="instacart"/>
    <n v="243574"/>
    <n v="264451"/>
    <x v="1"/>
    <x v="0"/>
    <x v="1"/>
    <x v="0"/>
  </r>
  <r>
    <x v="185"/>
    <x v="53"/>
    <s v="Ponti Tomato &amp; Roasted Garlic Italian Pasta Sauce"/>
    <n v="24.3"/>
    <s v="ounce"/>
    <d v="2021-10-28T00:00:00"/>
    <d v="2026-02-04T00:00:00"/>
    <s v="instacart"/>
    <s v=""/>
    <n v="266333"/>
    <x v="1"/>
    <x v="0"/>
    <x v="1"/>
    <x v="0"/>
  </r>
  <r>
    <x v="186"/>
    <x v="94"/>
    <s v="Mia Cucina Marinara Fra Diavolo Tomato Sauce, 24 oz"/>
    <n v="24"/>
    <s v="ounce"/>
    <d v="2021-10-31T00:00:00"/>
    <d v="2026-02-04T00:00:00"/>
    <s v="instacart"/>
    <n v="19953888"/>
    <n v="261605"/>
    <x v="1"/>
    <x v="0"/>
    <x v="1"/>
    <x v="0"/>
  </r>
  <r>
    <x v="187"/>
    <x v="63"/>
    <s v="Victoria Organic Toasted Garlic Pasta Sauce 24 oz"/>
    <n v="24"/>
    <s v="ounce"/>
    <d v="2021-10-28T00:00:00"/>
    <d v="2026-02-06T00:00:00"/>
    <s v="instacart"/>
    <n v="3134590"/>
    <n v="266316"/>
    <x v="1"/>
    <x v="0"/>
    <x v="1"/>
    <x v="0"/>
  </r>
  <r>
    <x v="188"/>
    <x v="77"/>
    <s v="Sclafani Spaghetti Sauce"/>
    <n v="16"/>
    <s v="ounce"/>
    <d v="2021-10-31T00:00:00"/>
    <d v="2026-02-06T00:00:00"/>
    <s v="instacart"/>
    <n v="228597"/>
    <n v="264278"/>
    <x v="1"/>
    <x v="0"/>
    <x v="1"/>
    <x v="0"/>
  </r>
  <r>
    <x v="189"/>
    <x v="61"/>
    <s v="Natura's Creole Style Pasta Sauce With Vegetables 7.1 Oz"/>
    <n v="7.1"/>
    <s v="ounce"/>
    <d v="2021-11-02T00:00:00"/>
    <d v="2026-02-06T00:00:00"/>
    <s v="instacart"/>
    <n v="25352145"/>
    <n v="262547"/>
    <x v="1"/>
    <x v="0"/>
    <x v="1"/>
    <x v="0"/>
  </r>
  <r>
    <x v="190"/>
    <x v="19"/>
    <s v="Classico - Fire Roasted Tomato &amp; Garlic Spaghetti Pa"/>
    <n v="21.978764999999999"/>
    <s v="fluid ounce"/>
    <d v="2021-10-28T00:00:00"/>
    <d v="2025-05-08T00:00:00"/>
    <s v="instacart"/>
    <s v=""/>
    <n v="266345"/>
    <x v="1"/>
    <x v="0"/>
    <x v="1"/>
    <x v="0"/>
  </r>
  <r>
    <x v="191"/>
    <x v="75"/>
    <s v="DelGrosso All Natural Pasta Sauce Mushroom"/>
    <n v="26"/>
    <s v="ounce"/>
    <d v="2021-10-28T00:00:00"/>
    <d v="2026-02-06T00:00:00"/>
    <s v="instacart"/>
    <n v="16991191"/>
    <n v="261838"/>
    <x v="1"/>
    <x v="0"/>
    <x v="1"/>
    <x v="0"/>
  </r>
  <r>
    <x v="192"/>
    <x v="45"/>
    <s v="PregoÂ® Roasted Garlic &amp; Herb Pasta Sauce 24.000 oz"/>
    <n v="24"/>
    <s v="ounce"/>
    <d v="2021-10-28T00:00:00"/>
    <d v="2026-02-07T00:00:00"/>
    <s v="instacart"/>
    <n v="36251"/>
    <n v="267008"/>
    <x v="1"/>
    <x v="0"/>
    <x v="1"/>
    <x v="0"/>
  </r>
  <r>
    <x v="193"/>
    <x v="95"/>
    <s v="DeNunzioâ€™s Specialty Foods Jarred Spaghetti Sauce"/>
    <m/>
    <m/>
    <d v="2021-11-01T00:00:00"/>
    <d v="2026-02-06T00:00:00"/>
    <s v="instacart"/>
    <s v=""/>
    <n v="264064"/>
    <x v="0"/>
    <x v="0"/>
    <x v="0"/>
    <x v="0"/>
  </r>
  <r>
    <x v="194"/>
    <x v="96"/>
    <s v="Michaels Of Brooklyn Fresh Tomato &amp; Basil 16 oz"/>
    <n v="16"/>
    <s v="ounce"/>
    <d v="2021-10-28T00:00:00"/>
    <d v="2026-02-06T00:00:00"/>
    <s v="instacart"/>
    <n v="1409099"/>
    <n v="264475"/>
    <x v="1"/>
    <x v="0"/>
    <x v="1"/>
    <x v="0"/>
  </r>
  <r>
    <x v="195"/>
    <x v="97"/>
    <s v="Classico Marinara Pasta Sauce, 24 OZ"/>
    <n v="24"/>
    <s v="ounce"/>
    <d v="2025-01-23T00:00:00"/>
    <d v="2026-02-04T00:00:00"/>
    <s v="instacart"/>
    <n v="28235195"/>
    <n v="266876"/>
    <x v="0"/>
    <x v="0"/>
    <x v="0"/>
    <x v="0"/>
  </r>
  <r>
    <x v="196"/>
    <x v="98"/>
    <s v="Lucini Organic Oil-Free Tuscan Tomato Marinara, 16.5 Oz"/>
    <n v="16.5"/>
    <s v="ounce"/>
    <d v="2023-08-03T00:00:00"/>
    <d v="2026-02-06T00:00:00"/>
    <s v="instacart"/>
    <s v=""/>
    <n v="266423"/>
    <x v="0"/>
    <x v="0"/>
    <x v="0"/>
    <x v="0"/>
  </r>
  <r>
    <x v="197"/>
    <x v="99"/>
    <s v="Delallo Pasta Sauce, Roasted Garlic"/>
    <n v="24"/>
    <s v="ounce"/>
    <d v="2021-10-28T00:00:00"/>
    <d v="2026-02-06T00:00:00"/>
    <s v="instacart"/>
    <s v=""/>
    <n v="264419"/>
    <x v="0"/>
    <x v="0"/>
    <x v="0"/>
    <x v="0"/>
  </r>
  <r>
    <x v="198"/>
    <x v="6"/>
    <s v="Bertolli Sauce, Olive Oil &amp; Garlic 24 Oz"/>
    <n v="24"/>
    <s v="ounce"/>
    <d v="2021-10-28T00:00:00"/>
    <d v="2026-02-07T00:00:00"/>
    <s v="instacart"/>
    <n v="16409122"/>
    <n v="264087"/>
    <x v="1"/>
    <x v="0"/>
    <x v="1"/>
    <x v="0"/>
  </r>
  <r>
    <x v="199"/>
    <x v="53"/>
    <s v="Scimeca's Famous Home Made Recipe Marinara Sauce"/>
    <n v="26"/>
    <s v="ounce"/>
    <d v="2021-10-28T00:00:00"/>
    <d v="2026-02-04T00:00:00"/>
    <s v="instacart"/>
    <n v="17617978"/>
    <n v="261840"/>
    <x v="1"/>
    <x v="0"/>
    <x v="1"/>
    <x v="0"/>
  </r>
  <r>
    <x v="200"/>
    <x v="19"/>
    <s v="CLASSICO - Italian Sausage, Peppers &amp; Onions Spaghetti Sauce."/>
    <n v="21.978764999999999"/>
    <s v="fluid ounce"/>
    <d v="2021-10-28T00:00:00"/>
    <d v="2024-11-17T00:00:00"/>
    <s v="instacart"/>
    <s v=""/>
    <n v="264703"/>
    <x v="1"/>
    <x v="0"/>
    <x v="1"/>
    <x v="0"/>
  </r>
  <r>
    <x v="201"/>
    <x v="74"/>
    <s v="Capa Di Roma Marinara Sauce"/>
    <n v="24"/>
    <s v="ounce"/>
    <d v="2021-10-31T00:00:00"/>
    <d v="2026-02-01T00:00:00"/>
    <s v="instacart"/>
    <n v="110845"/>
    <n v="264336"/>
    <x v="1"/>
    <x v="0"/>
    <x v="1"/>
    <x v="0"/>
  </r>
  <r>
    <x v="202"/>
    <x v="14"/>
    <s v="Mezzetta Family Recipes Marinara Family Size - 32 Fl. Oz."/>
    <n v="32"/>
    <s v="fluid ounce"/>
    <d v="2023-08-21T00:00:00"/>
    <d v="2026-02-06T00:00:00"/>
    <s v="instacart"/>
    <n v="31577329"/>
    <n v="266286"/>
    <x v="0"/>
    <x v="0"/>
    <x v="0"/>
    <x v="0"/>
  </r>
  <r>
    <x v="203"/>
    <x v="70"/>
    <s v="LIVWELL Calabrian Chili Pepper Romesco Sauce - 16 Oz"/>
    <n v="16"/>
    <s v="ounce"/>
    <d v="2023-01-18T00:00:00"/>
    <d v="2026-02-06T00:00:00"/>
    <s v="instacart"/>
    <n v="26633780"/>
    <n v="261734"/>
    <x v="0"/>
    <x v="0"/>
    <x v="0"/>
    <x v="0"/>
  </r>
  <r>
    <x v="204"/>
    <x v="30"/>
    <s v="Dei Fratelli Italian Sauce, All Purpose 28 oz"/>
    <n v="28"/>
    <s v="ounce"/>
    <d v="2021-10-28T00:00:00"/>
    <d v="2026-02-07T00:00:00"/>
    <s v="instacart"/>
    <n v="70095"/>
    <n v="262642"/>
    <x v="1"/>
    <x v="0"/>
    <x v="1"/>
    <x v="0"/>
  </r>
  <r>
    <x v="205"/>
    <x v="32"/>
    <s v="Generic Mid's Sausage Pasta Sauce"/>
    <n v="32"/>
    <s v="ounce"/>
    <d v="2021-10-28T00:00:00"/>
    <d v="2026-02-04T00:00:00"/>
    <s v="instacart"/>
    <s v=""/>
    <n v="264356"/>
    <x v="0"/>
    <x v="0"/>
    <x v="0"/>
    <x v="0"/>
  </r>
  <r>
    <x v="206"/>
    <x v="50"/>
    <s v="TantilloÂ® Reserve Porcini &amp; Black Truffle Pasta Sauce"/>
    <n v="21.2"/>
    <s v="ounce"/>
    <d v="2021-12-08T00:00:00"/>
    <d v="2026-02-05T00:00:00"/>
    <s v="instacart"/>
    <n v="26251381"/>
    <n v="264129"/>
    <x v="1"/>
    <x v="0"/>
    <x v="1"/>
    <x v="0"/>
  </r>
  <r>
    <x v="207"/>
    <x v="100"/>
    <s v="NONNA PIAS Puttanesca Pasta Sauce, 19.4 OZ"/>
    <n v="19.399999999999999"/>
    <s v="ounce"/>
    <d v="2025-01-22T00:00:00"/>
    <d v="2026-02-06T00:00:00"/>
    <s v="instacart"/>
    <n v="59114020"/>
    <n v="266931"/>
    <x v="0"/>
    <x v="0"/>
    <x v="0"/>
    <x v="0"/>
  </r>
  <r>
    <x v="208"/>
    <x v="44"/>
    <s v="Botticelli Pasta Sauce, Premium, Marinara 24 oz"/>
    <n v="24"/>
    <s v="ounce"/>
    <d v="2021-10-28T00:00:00"/>
    <d v="2026-02-06T00:00:00"/>
    <s v="instacart"/>
    <n v="2003474"/>
    <n v="267028"/>
    <x v="1"/>
    <x v="0"/>
    <x v="1"/>
    <x v="0"/>
  </r>
  <r>
    <x v="209"/>
    <x v="75"/>
    <s v="Delgrosso Organic Sauce Pasta Tmo Bsl - 24 Oz"/>
    <n v="24"/>
    <s v="ounce"/>
    <d v="2021-10-28T00:00:00"/>
    <d v="2026-02-06T00:00:00"/>
    <s v="instacart"/>
    <n v="16246254"/>
    <n v="264225"/>
    <x v="0"/>
    <x v="0"/>
    <x v="0"/>
    <x v="0"/>
  </r>
  <r>
    <x v="210"/>
    <x v="101"/>
    <s v="Cucina &amp; Amore Arrabbiata Pasta Sauce"/>
    <n v="16.8"/>
    <s v="ounce"/>
    <d v="2021-10-28T00:00:00"/>
    <d v="2026-02-06T00:00:00"/>
    <s v="instacart"/>
    <n v="137063"/>
    <n v="264690"/>
    <x v="1"/>
    <x v="0"/>
    <x v="1"/>
    <x v="0"/>
  </r>
  <r>
    <x v="211"/>
    <x v="84"/>
    <s v="Lidias Pasta Sauce Vodka Jar - 25 Oz"/>
    <n v="25"/>
    <s v="ounce"/>
    <d v="2021-10-28T00:00:00"/>
    <d v="2026-02-06T00:00:00"/>
    <s v="instacart"/>
    <n v="98545"/>
    <n v="266380"/>
    <x v="1"/>
    <x v="0"/>
    <x v="1"/>
    <x v="0"/>
  </r>
  <r>
    <x v="212"/>
    <x v="102"/>
    <s v="Cucina Moderna Fire Roasted Vodka Sauce Pasta - 20 Oz"/>
    <n v="20"/>
    <s v="ounce"/>
    <d v="2023-06-25T00:00:00"/>
    <d v="2026-02-05T00:00:00"/>
    <s v="instacart"/>
    <n v="31998848"/>
    <n v="261527"/>
    <x v="1"/>
    <x v="0"/>
    <x v="1"/>
    <x v="0"/>
  </r>
  <r>
    <x v="213"/>
    <x v="15"/>
    <s v="Ragu Sauce, Mama's Special Garden, Chunky 24 oz"/>
    <n v="24"/>
    <s v="ounce"/>
    <d v="2021-10-28T00:00:00"/>
    <d v="2026-02-07T00:00:00"/>
    <s v="instacart"/>
    <n v="123550"/>
    <n v="266430"/>
    <x v="1"/>
    <x v="0"/>
    <x v="1"/>
    <x v="0"/>
  </r>
  <r>
    <x v="214"/>
    <x v="14"/>
    <s v="Mezzetta Marinara, Truffle, Porcini &amp; Cream 24 oz"/>
    <n v="24"/>
    <s v="ounce"/>
    <d v="2021-10-28T00:00:00"/>
    <d v="2026-02-06T00:00:00"/>
    <s v="instacart"/>
    <n v="23898034"/>
    <n v="261888"/>
    <x v="0"/>
    <x v="0"/>
    <x v="0"/>
    <x v="0"/>
  </r>
  <r>
    <x v="215"/>
    <x v="90"/>
    <s v="Ginos Marinara Sauce With Mushrooms"/>
    <n v="24"/>
    <s v="ounce"/>
    <d v="2021-10-28T00:00:00"/>
    <d v="2026-02-04T00:00:00"/>
    <s v="instacart"/>
    <s v=""/>
    <n v="262032"/>
    <x v="1"/>
    <x v="0"/>
    <x v="1"/>
    <x v="0"/>
  </r>
  <r>
    <x v="216"/>
    <x v="38"/>
    <s v="GERARDOS MARINA"/>
    <n v="32"/>
    <s v="ounce"/>
    <d v="2021-10-31T00:00:00"/>
    <d v="2026-02-04T00:00:00"/>
    <s v="instacart"/>
    <s v=""/>
    <n v="266640"/>
    <x v="1"/>
    <x v="1"/>
    <x v="1"/>
    <x v="1"/>
  </r>
  <r>
    <x v="217"/>
    <x v="10"/>
    <s v="Cento Pasta Sauce Marinara Passata - 25 Oz"/>
    <n v="26"/>
    <s v="ounce"/>
    <d v="2021-10-28T00:00:00"/>
    <d v="2026-02-06T00:00:00"/>
    <s v="instacart"/>
    <n v="73868"/>
    <n v="262213"/>
    <x v="0"/>
    <x v="0"/>
    <x v="0"/>
    <x v="0"/>
  </r>
  <r>
    <x v="218"/>
    <x v="38"/>
    <s v="Isola Marinara Pasta Sauce"/>
    <n v="25"/>
    <s v="ounce"/>
    <d v="2021-10-31T00:00:00"/>
    <d v="2026-02-03T00:00:00"/>
    <s v="instacart"/>
    <n v="2586915"/>
    <n v="264049"/>
    <x v="0"/>
    <x v="1"/>
    <x v="0"/>
    <x v="1"/>
  </r>
  <r>
    <x v="219"/>
    <x v="103"/>
    <s v="Don Pomodoro Sauce Arrabbiata Jar - 24.3 Oz"/>
    <n v="24.3"/>
    <s v="ounce"/>
    <d v="2021-10-28T00:00:00"/>
    <d v="2026-02-06T00:00:00"/>
    <s v="instacart"/>
    <n v="80798"/>
    <n v="266290"/>
    <x v="0"/>
    <x v="0"/>
    <x v="0"/>
    <x v="0"/>
  </r>
  <r>
    <x v="220"/>
    <x v="15"/>
    <s v="RAGU SPAGHETTI SAUCE MEAT"/>
    <n v="45"/>
    <s v="ounce"/>
    <d v="2021-10-28T00:00:00"/>
    <d v="2026-02-07T00:00:00"/>
    <s v="instacart"/>
    <n v="16408773"/>
    <n v="264045"/>
    <x v="1"/>
    <x v="0"/>
    <x v="1"/>
    <x v="0"/>
  </r>
  <r>
    <x v="221"/>
    <x v="20"/>
    <s v="Yo Mamas Foods Tomato Sauce Bellisima Basil - 25 Oz"/>
    <n v="25"/>
    <s v="ounce"/>
    <d v="2021-10-28T00:00:00"/>
    <d v="2026-02-06T00:00:00"/>
    <s v="instacart"/>
    <n v="18688750"/>
    <n v="266317"/>
    <x v="1"/>
    <x v="0"/>
    <x v="1"/>
    <x v="0"/>
  </r>
  <r>
    <x v="222"/>
    <x v="19"/>
    <s v="Classico - Di Firenze Florentine Spinach &amp; Cheese Pasta Sauce"/>
    <n v="21.978764999999999"/>
    <s v="fluid ounce"/>
    <d v="2021-10-28T00:00:00"/>
    <d v="2025-06-05T00:00:00"/>
    <s v="instacart"/>
    <s v=""/>
    <n v="264436"/>
    <x v="0"/>
    <x v="0"/>
    <x v="0"/>
    <x v="0"/>
  </r>
  <r>
    <x v="223"/>
    <x v="19"/>
    <s v="Classico Spicy Tomato &amp; Basil Pasta Sauce - 24 Oz"/>
    <n v="24"/>
    <s v="ounce"/>
    <d v="2021-10-28T00:00:00"/>
    <d v="2026-02-06T00:00:00"/>
    <s v="instacart"/>
    <n v="73915"/>
    <n v="266356"/>
    <x v="0"/>
    <x v="0"/>
    <x v="0"/>
    <x v="0"/>
  </r>
  <r>
    <x v="224"/>
    <x v="53"/>
    <s v="Fontecchio's Gourmet Marinara Sauce"/>
    <n v="25"/>
    <s v="fluid ounce"/>
    <d v="2021-11-07T00:00:00"/>
    <d v="2026-02-03T00:00:00"/>
    <s v="instacart"/>
    <n v="26025551"/>
    <n v="267045"/>
    <x v="0"/>
    <x v="0"/>
    <x v="0"/>
    <x v="0"/>
  </r>
  <r>
    <x v="225"/>
    <x v="2"/>
    <s v="Rao's Homemade Roasted Garlic Sauce, 2 pk./22 oz."/>
    <n v="9.0909000000000004E-2"/>
    <s v="ounce"/>
    <d v="2024-09-26T00:00:00"/>
    <d v="2026-01-23T00:00:00"/>
    <s v="instacart"/>
    <s v=""/>
    <n v="266801"/>
    <x v="0"/>
    <x v="0"/>
    <x v="0"/>
    <x v="0"/>
  </r>
  <r>
    <x v="226"/>
    <x v="38"/>
    <s v="Antonio Carlo Gourmet Sauce, Roasted Garlic, 24 oz"/>
    <n v="24"/>
    <s v="ounce"/>
    <d v="2022-11-27T00:00:00"/>
    <d v="2026-02-05T00:00:00"/>
    <s v="instacart"/>
    <n v="19516364"/>
    <n v="266417"/>
    <x v="0"/>
    <x v="1"/>
    <x v="0"/>
    <x v="1"/>
  </r>
  <r>
    <x v="227"/>
    <x v="49"/>
    <s v="Rao's Homemade Roasted Red Pepper Sauce, Red Pepper Pasta Sauce, 24 Oz"/>
    <n v="24"/>
    <s v="ounce"/>
    <d v="2024-01-31T00:00:00"/>
    <d v="2026-02-06T00:00:00"/>
    <s v="instacart"/>
    <n v="36930214"/>
    <n v="266581"/>
    <x v="0"/>
    <x v="0"/>
    <x v="0"/>
    <x v="0"/>
  </r>
  <r>
    <x v="228"/>
    <x v="5"/>
    <s v="Prego Traditional Italian Sauce 24 oz (1 lb 8 oz) 680 g"/>
    <n v="24"/>
    <s v="ounce"/>
    <d v="2021-10-28T00:00:00"/>
    <d v="2026-02-07T00:00:00"/>
    <s v="instacart"/>
    <n v="39349"/>
    <n v="266411"/>
    <x v="0"/>
    <x v="0"/>
    <x v="0"/>
    <x v="0"/>
  </r>
  <r>
    <x v="229"/>
    <x v="19"/>
    <s v="Classico Sun-Dried Tomato Alfredo Spaghetti Pasta Sauce, 15 oz. Jar"/>
    <n v="15"/>
    <s v="ounce"/>
    <d v="2021-10-28T00:00:00"/>
    <d v="2026-02-06T00:00:00"/>
    <s v="instacart"/>
    <n v="143282"/>
    <n v="262286"/>
    <x v="0"/>
    <x v="0"/>
    <x v="0"/>
    <x v="0"/>
  </r>
  <r>
    <x v="230"/>
    <x v="15"/>
    <s v="Ragu Sauce, Chunky Garden Vegetable 24 oz"/>
    <n v="24"/>
    <s v="ounce"/>
    <d v="2021-10-28T00:00:00"/>
    <d v="2026-02-06T00:00:00"/>
    <s v="instacart"/>
    <n v="18581123"/>
    <n v="266915"/>
    <x v="0"/>
    <x v="0"/>
    <x v="0"/>
    <x v="0"/>
  </r>
  <r>
    <x v="231"/>
    <x v="15"/>
    <s v="Ragu Chunky Sauteed Onion and Garlic Pasta Sauce - 24 Oz"/>
    <n v="24"/>
    <s v="ounce"/>
    <d v="2021-10-28T00:00:00"/>
    <d v="2026-02-07T00:00:00"/>
    <s v="instacart"/>
    <n v="39214"/>
    <n v="261680"/>
    <x v="1"/>
    <x v="0"/>
    <x v="1"/>
    <x v="0"/>
  </r>
  <r>
    <x v="232"/>
    <x v="5"/>
    <s v="Prego Sweet Sausage and Roasted Peppers Pasta Sauce - 23.5 Oz"/>
    <n v="23.5"/>
    <s v="ounce"/>
    <d v="2021-10-28T00:00:00"/>
    <d v="2026-02-06T00:00:00"/>
    <s v="instacart"/>
    <n v="27126599"/>
    <n v="261766"/>
    <x v="1"/>
    <x v="0"/>
    <x v="1"/>
    <x v="0"/>
  </r>
  <r>
    <x v="233"/>
    <x v="104"/>
    <s v="Botticelli, Sauce Vodka Creamy Organic, 24 Ounce"/>
    <n v="24"/>
    <s v="ounce"/>
    <d v="2025-01-30T00:00:00"/>
    <d v="2026-02-06T00:00:00"/>
    <s v="instacart"/>
    <n v="66368531"/>
    <n v="267066"/>
    <x v="1"/>
    <x v="0"/>
    <x v="1"/>
    <x v="0"/>
  </r>
  <r>
    <x v="234"/>
    <x v="105"/>
    <s v="O' SOLE MIO Marinara Sauce"/>
    <n v="13"/>
    <s v="ounce"/>
    <d v="2021-10-28T00:00:00"/>
    <d v="2026-02-05T00:00:00"/>
    <s v="instacart"/>
    <n v="17554703"/>
    <n v="266641"/>
    <x v="0"/>
    <x v="0"/>
    <x v="0"/>
    <x v="0"/>
  </r>
  <r>
    <x v="235"/>
    <x v="106"/>
    <s v="Butternut Squash Pasta Sauce, 14.5 oz"/>
    <n v="15"/>
    <s v="ounce"/>
    <d v="2023-10-11T00:00:00"/>
    <d v="2025-10-31T00:00:00"/>
    <s v="instacart"/>
    <s v=""/>
    <n v="261758"/>
    <x v="0"/>
    <x v="0"/>
    <x v="0"/>
    <x v="0"/>
  </r>
  <r>
    <x v="236"/>
    <x v="15"/>
    <s v="Ragu Sauce, Garden Combination, Chunky 24 Oz"/>
    <n v="24"/>
    <s v="ounce"/>
    <d v="2021-10-28T00:00:00"/>
    <d v="2026-02-07T00:00:00"/>
    <s v="instacart"/>
    <n v="77103"/>
    <n v="264273"/>
    <x v="1"/>
    <x v="0"/>
    <x v="1"/>
    <x v="0"/>
  </r>
  <r>
    <x v="237"/>
    <x v="38"/>
    <s v="mezzetta pasta sauce caramelized onion marinara"/>
    <n v="24"/>
    <s v="ounce"/>
    <d v="2021-10-28T00:00:00"/>
    <d v="2026-02-05T00:00:00"/>
    <s v="instacart"/>
    <n v="16792964"/>
    <n v="266431"/>
    <x v="0"/>
    <x v="1"/>
    <x v="0"/>
    <x v="1"/>
  </r>
  <r>
    <x v="238"/>
    <x v="96"/>
    <s v="Michaels Of Brooklyn Vodka Sauce - 15 Oz"/>
    <n v="15"/>
    <s v="ounce"/>
    <d v="2023-11-08T00:00:00"/>
    <d v="2026-02-06T00:00:00"/>
    <s v="instacart"/>
    <n v="33264218"/>
    <n v="264109"/>
    <x v="1"/>
    <x v="0"/>
    <x v="1"/>
    <x v="0"/>
  </r>
  <r>
    <x v="239"/>
    <x v="107"/>
    <s v="Fra Diavolo Sauce, 25 OZ"/>
    <n v="25"/>
    <s v="ounce"/>
    <d v="2023-02-12T00:00:00"/>
    <d v="2026-02-03T00:00:00"/>
    <s v="instacart"/>
    <s v=""/>
    <n v="267013"/>
    <x v="1"/>
    <x v="0"/>
    <x v="1"/>
    <x v="0"/>
  </r>
  <r>
    <x v="240"/>
    <x v="108"/>
    <s v="Authentica - World Cuisine Puttanesca Sauce"/>
    <n v="17.921147000000001"/>
    <s v="fluid ounce"/>
    <d v="2021-10-28T00:00:00"/>
    <d v="2025-06-22T00:00:00"/>
    <s v="instacart"/>
    <s v=""/>
    <n v="266342"/>
    <x v="0"/>
    <x v="0"/>
    <x v="0"/>
    <x v="0"/>
  </r>
  <r>
    <x v="241"/>
    <x v="88"/>
    <s v="Kissino All Natural Original Marinara Pasta Sauce - 25 Oz"/>
    <n v="25"/>
    <s v="ounce"/>
    <d v="2021-10-28T00:00:00"/>
    <d v="2026-02-05T00:00:00"/>
    <s v="instacart"/>
    <s v=""/>
    <n v="266293"/>
    <x v="0"/>
    <x v="0"/>
    <x v="0"/>
    <x v="0"/>
  </r>
  <r>
    <x v="242"/>
    <x v="34"/>
    <s v="Newmans Own Marinara Pasta Sauce - 24 Oz"/>
    <n v="24"/>
    <s v="ounce"/>
    <d v="2021-10-28T00:00:00"/>
    <d v="2026-02-07T00:00:00"/>
    <s v="instacart"/>
    <n v="19974011"/>
    <n v="264558"/>
    <x v="0"/>
    <x v="0"/>
    <x v="0"/>
    <x v="0"/>
  </r>
  <r>
    <x v="243"/>
    <x v="1"/>
    <s v="Carfagna's Pasta Sauce, The Sicilian 1 qt"/>
    <n v="32"/>
    <s v="ounce"/>
    <d v="2021-10-28T00:00:00"/>
    <d v="2026-02-06T00:00:00"/>
    <s v="instacart"/>
    <n v="16948718"/>
    <n v="266362"/>
    <x v="0"/>
    <x v="0"/>
    <x v="0"/>
    <x v="0"/>
  </r>
  <r>
    <x v="244"/>
    <x v="69"/>
    <s v="Gefen Pasta Sauce Classic Marinara - 26 Oz"/>
    <n v="26"/>
    <s v="ounce"/>
    <d v="2021-10-28T00:00:00"/>
    <d v="2026-02-06T00:00:00"/>
    <s v="instacart"/>
    <n v="1389848"/>
    <n v="262583"/>
    <x v="0"/>
    <x v="0"/>
    <x v="0"/>
    <x v="0"/>
  </r>
  <r>
    <x v="245"/>
    <x v="109"/>
    <s v="Spinellis Sauce Co Classic Marinara Sauce, 26 Oz"/>
    <n v="26"/>
    <s v="ounce"/>
    <d v="2021-10-28T00:00:00"/>
    <d v="2026-02-06T00:00:00"/>
    <s v="instacart"/>
    <n v="232483"/>
    <n v="266828"/>
    <x v="0"/>
    <x v="0"/>
    <x v="0"/>
    <x v="0"/>
  </r>
  <r>
    <x v="246"/>
    <x v="110"/>
    <s v="Sacla' Tomato &amp; Roasted Garlic Pasta Sauce, 24.0 oz"/>
    <n v="24"/>
    <s v="ounce"/>
    <d v="2021-10-28T00:00:00"/>
    <d v="2026-02-06T00:00:00"/>
    <s v="instacart"/>
    <n v="18283099"/>
    <n v="264297"/>
    <x v="0"/>
    <x v="0"/>
    <x v="0"/>
    <x v="0"/>
  </r>
  <r>
    <x v="247"/>
    <x v="97"/>
    <s v="Creamy Calabrian Marinara Pasta Sauce, 24 OZ"/>
    <n v="24"/>
    <s v="ounce"/>
    <d v="2025-01-23T00:00:00"/>
    <d v="2026-02-04T00:00:00"/>
    <s v="instacart"/>
    <n v="64188277"/>
    <n v="266305"/>
    <x v="0"/>
    <x v="0"/>
    <x v="0"/>
    <x v="0"/>
  </r>
  <r>
    <x v="248"/>
    <x v="111"/>
    <s v="Classic Spicy Tomato Sauce, 16 OZ"/>
    <n v="16"/>
    <s v="ounce"/>
    <d v="2021-10-31T00:00:00"/>
    <d v="2026-02-04T00:00:00"/>
    <s v="instacart"/>
    <s v=""/>
    <n v="261736"/>
    <x v="1"/>
    <x v="0"/>
    <x v="1"/>
    <x v="0"/>
  </r>
  <r>
    <x v="249"/>
    <x v="50"/>
    <s v="TantilloÂ® Reserve Tomato &amp; Basil Pasta Sauce"/>
    <n v="21.2"/>
    <s v="ounce"/>
    <d v="2021-12-08T00:00:00"/>
    <d v="2026-02-05T00:00:00"/>
    <s v="instacart"/>
    <n v="26251302"/>
    <n v="264746"/>
    <x v="0"/>
    <x v="0"/>
    <x v="0"/>
    <x v="0"/>
  </r>
  <r>
    <x v="250"/>
    <x v="112"/>
    <s v="Sauce Spicy Tomato, 24 OZ"/>
    <n v="24"/>
    <s v="ounce"/>
    <d v="2021-10-31T00:00:00"/>
    <d v="2026-02-04T00:00:00"/>
    <s v="instacart"/>
    <s v=""/>
    <n v="261531"/>
    <x v="0"/>
    <x v="0"/>
    <x v="0"/>
    <x v="0"/>
  </r>
  <r>
    <x v="251"/>
    <x v="113"/>
    <s v="Organic Rustic Tomato Basil Pasta Sauce, 16.5 OZ"/>
    <n v="16.5"/>
    <s v="ounce"/>
    <d v="2023-08-03T00:00:00"/>
    <d v="2026-02-04T00:00:00"/>
    <s v="instacart"/>
    <s v=""/>
    <n v="266564"/>
    <x v="1"/>
    <x v="0"/>
    <x v="1"/>
    <x v="0"/>
  </r>
  <r>
    <x v="252"/>
    <x v="114"/>
    <s v="Hoboken Farms Basil Marinara Sauce 25 oz"/>
    <n v="25"/>
    <s v="ounce"/>
    <d v="2021-10-28T00:00:00"/>
    <d v="2026-02-06T00:00:00"/>
    <s v="instacart"/>
    <n v="16400724"/>
    <n v="264029"/>
    <x v="0"/>
    <x v="0"/>
    <x v="0"/>
    <x v="0"/>
  </r>
  <r>
    <x v="253"/>
    <x v="5"/>
    <s v="Prego Cremini Pomodoro with Roasted Garlic Italian Sauce 23.5 oz (1 lb 7.5 oz) 666 g"/>
    <n v="24"/>
    <s v="ounce"/>
    <d v="2022-06-15T00:00:00"/>
    <d v="2026-02-06T00:00:00"/>
    <s v="instacart"/>
    <n v="27126675"/>
    <n v="266409"/>
    <x v="1"/>
    <x v="0"/>
    <x v="1"/>
    <x v="0"/>
  </r>
  <r>
    <x v="254"/>
    <x v="49"/>
    <s v="Rao's Homemade Vodka Sauce, 22 oz., 2 pk."/>
    <n v="44"/>
    <s v="ounce"/>
    <d v="2024-08-22T00:00:00"/>
    <d v="2026-02-05T00:00:00"/>
    <s v="instacart"/>
    <n v="56218215"/>
    <n v="262647"/>
    <x v="0"/>
    <x v="0"/>
    <x v="0"/>
    <x v="0"/>
  </r>
  <r>
    <x v="255"/>
    <x v="38"/>
    <s v="wise pies classic marinara"/>
    <n v="24"/>
    <s v="ounce"/>
    <d v="2023-12-17T00:00:00"/>
    <d v="2026-02-01T00:00:00"/>
    <s v="instacart"/>
    <s v=""/>
    <n v="266650"/>
    <x v="1"/>
    <x v="1"/>
    <x v="1"/>
    <x v="1"/>
  </r>
  <r>
    <x v="256"/>
    <x v="75"/>
    <s v="DelGrosso Aunt Cindy's Roasted Garlic Pasta Sauce, 26 oz"/>
    <n v="26"/>
    <s v="ounce"/>
    <d v="2021-10-28T00:00:00"/>
    <d v="2026-02-06T00:00:00"/>
    <s v="instacart"/>
    <n v="196353"/>
    <n v="264190"/>
    <x v="0"/>
    <x v="0"/>
    <x v="0"/>
    <x v="0"/>
  </r>
  <r>
    <x v="257"/>
    <x v="38"/>
    <s v="Antonio Carlo Handcrafted Original Recipe Marinara Sauce"/>
    <n v="24"/>
    <s v="ounce"/>
    <d v="2021-10-28T00:00:00"/>
    <d v="2026-02-05T00:00:00"/>
    <s v="instacart"/>
    <n v="19536888"/>
    <n v="264227"/>
    <x v="0"/>
    <x v="1"/>
    <x v="0"/>
    <x v="1"/>
  </r>
  <r>
    <x v="258"/>
    <x v="107"/>
    <s v="Marinara Sauce, 25 OZ"/>
    <n v="25"/>
    <s v="ounce"/>
    <d v="2022-07-10T00:00:00"/>
    <d v="2026-02-04T00:00:00"/>
    <s v="instacart"/>
    <n v="26604723"/>
    <n v="264568"/>
    <x v="1"/>
    <x v="0"/>
    <x v="1"/>
    <x v="0"/>
  </r>
  <r>
    <x v="259"/>
    <x v="115"/>
    <s v="Sauz Vodka Sauce Creamy Calabrian - 25 OZ"/>
    <n v="25"/>
    <s v="ounce"/>
    <d v="2024-05-23T00:00:00"/>
    <d v="2026-02-06T00:00:00"/>
    <s v="instacart"/>
    <n v="41164273"/>
    <n v="261599"/>
    <x v="1"/>
    <x v="0"/>
    <x v="1"/>
    <x v="0"/>
  </r>
  <r>
    <x v="260"/>
    <x v="116"/>
    <s v="Gia Russa Pasta Sauce, Select, Marinara 24 Oz"/>
    <n v="24"/>
    <s v="ounce"/>
    <d v="2021-10-28T00:00:00"/>
    <d v="2026-02-06T00:00:00"/>
    <s v="instacart"/>
    <n v="73928"/>
    <n v="261519"/>
    <x v="0"/>
    <x v="0"/>
    <x v="0"/>
    <x v="0"/>
  </r>
  <r>
    <x v="261"/>
    <x v="15"/>
    <s v="Ragu Old World Style Traditional Sauce 24 oz"/>
    <n v="24"/>
    <s v="ounce"/>
    <d v="2021-10-28T00:00:00"/>
    <d v="2026-02-07T00:00:00"/>
    <s v="instacart"/>
    <n v="143265"/>
    <n v="264159"/>
    <x v="1"/>
    <x v="0"/>
    <x v="1"/>
    <x v="0"/>
  </r>
  <r>
    <x v="262"/>
    <x v="117"/>
    <s v="Pomi Marinara Sauce 26.46 Oz"/>
    <n v="26.46"/>
    <s v="ounce"/>
    <d v="2021-10-28T00:00:00"/>
    <d v="2026-02-06T00:00:00"/>
    <s v="instacart"/>
    <n v="24802"/>
    <n v="266977"/>
    <x v="1"/>
    <x v="0"/>
    <x v="1"/>
    <x v="0"/>
  </r>
  <r>
    <x v="263"/>
    <x v="38"/>
    <s v="Giusto Sapore Tomato and Basil Sauce"/>
    <n v="24"/>
    <s v="ounce"/>
    <d v="2022-12-03T00:00:00"/>
    <d v="2026-02-06T00:00:00"/>
    <s v="instacart"/>
    <n v="19870284"/>
    <n v="264734"/>
    <x v="1"/>
    <x v="1"/>
    <x v="1"/>
    <x v="1"/>
  </r>
  <r>
    <x v="264"/>
    <x v="13"/>
    <s v="Paesana Organic Sicilian Gravy Sauce - 25OZ"/>
    <n v="25"/>
    <s v="ounce"/>
    <d v="2021-10-28T00:00:00"/>
    <d v="2026-02-06T00:00:00"/>
    <s v="instacart"/>
    <n v="17525660"/>
    <n v="267014"/>
    <x v="0"/>
    <x v="0"/>
    <x v="0"/>
    <x v="0"/>
  </r>
  <r>
    <x v="265"/>
    <x v="71"/>
    <s v="Raccnto Riserva Marinara - 24 Oz"/>
    <n v="24"/>
    <s v="ounce"/>
    <d v="2021-10-28T00:00:00"/>
    <d v="2025-10-31T00:00:00"/>
    <s v="instacart"/>
    <n v="19764867"/>
    <n v="264339"/>
    <x v="1"/>
    <x v="0"/>
    <x v="1"/>
    <x v="0"/>
  </r>
  <r>
    <x v="266"/>
    <x v="91"/>
    <s v="Stonewall Kitchen Butternut Squash Pasta Sauce, 18.5 oz"/>
    <n v="1"/>
    <s v="ounce"/>
    <d v="2021-10-29T00:00:00"/>
    <d v="2026-02-06T00:00:00"/>
    <s v="instacart"/>
    <n v="2358220"/>
    <n v="264043"/>
    <x v="0"/>
    <x v="0"/>
    <x v="0"/>
    <x v="0"/>
  </r>
  <r>
    <x v="267"/>
    <x v="118"/>
    <s v="Campo Doro Pasta Sauce Sicilian Cherry Tomatoes - 6.35 OZ"/>
    <n v="6.3"/>
    <s v="ounce"/>
    <d v="2023-10-08T00:00:00"/>
    <d v="2026-02-06T00:00:00"/>
    <s v="instacart"/>
    <n v="34962112"/>
    <n v="266370"/>
    <x v="1"/>
    <x v="0"/>
    <x v="1"/>
    <x v="0"/>
  </r>
  <r>
    <x v="268"/>
    <x v="119"/>
    <s v="BELLA ITALIA Organic Tomato &amp; Basil Pasta Sauce, 13.9 OZ"/>
    <n v="13.9"/>
    <s v="ounce"/>
    <d v="2025-05-21T00:00:00"/>
    <d v="2026-02-06T00:00:00"/>
    <s v="instacart"/>
    <n v="80078914"/>
    <n v="264026"/>
    <x v="0"/>
    <x v="0"/>
    <x v="0"/>
    <x v="0"/>
  </r>
  <r>
    <x v="269"/>
    <x v="53"/>
    <s v="Scimeca's Famous Home Made Recipe Spaghetti Sauce"/>
    <n v="26"/>
    <s v="ounce"/>
    <d v="2021-10-28T00:00:00"/>
    <d v="2026-02-04T00:00:00"/>
    <s v="instacart"/>
    <n v="17617977"/>
    <n v="262253"/>
    <x v="0"/>
    <x v="0"/>
    <x v="0"/>
    <x v="0"/>
  </r>
  <r>
    <x v="270"/>
    <x v="48"/>
    <s v="Jersey Italian Gravy Clasic Marinara, 12 PK"/>
    <m/>
    <m/>
    <d v="2023-03-24T00:00:00"/>
    <d v="2023-06-22T00:00:00"/>
    <s v="instacart"/>
    <s v=""/>
    <n v="266447"/>
    <x v="1"/>
    <x v="0"/>
    <x v="1"/>
    <x v="0"/>
  </r>
  <r>
    <x v="271"/>
    <x v="6"/>
    <s v="Bertolli Sauce, Five Cheese 24 oz"/>
    <n v="24"/>
    <s v="ounce"/>
    <d v="2021-10-28T00:00:00"/>
    <d v="2026-02-07T00:00:00"/>
    <s v="instacart"/>
    <n v="123498"/>
    <n v="267069"/>
    <x v="1"/>
    <x v="0"/>
    <x v="1"/>
    <x v="0"/>
  </r>
  <r>
    <x v="272"/>
    <x v="99"/>
    <s v="Delallo Pasta Sauce, Premium, Tomato Basil"/>
    <n v="24"/>
    <s v="ounce"/>
    <d v="2021-10-28T00:00:00"/>
    <d v="2026-02-06T00:00:00"/>
    <s v="instacart"/>
    <n v="2870612"/>
    <n v="264755"/>
    <x v="0"/>
    <x v="0"/>
    <x v="0"/>
    <x v="0"/>
  </r>
  <r>
    <x v="273"/>
    <x v="81"/>
    <s v="Boves Pasta Sauce Roasted Garlic - 24 Oz"/>
    <n v="24"/>
    <s v="ounce"/>
    <d v="2021-10-28T00:00:00"/>
    <d v="2026-02-06T00:00:00"/>
    <s v="instacart"/>
    <n v="53392"/>
    <n v="266328"/>
    <x v="1"/>
    <x v="0"/>
    <x v="1"/>
    <x v="0"/>
  </r>
  <r>
    <x v="274"/>
    <x v="120"/>
    <s v="Yo Mama's Foods Spicy Marinara Sauce"/>
    <m/>
    <m/>
    <d v="2022-11-01T00:00:00"/>
    <d v="2023-06-22T00:00:00"/>
    <s v="instacart"/>
    <s v=""/>
    <n v="266446"/>
    <x v="1"/>
    <x v="0"/>
    <x v="1"/>
    <x v="0"/>
  </r>
  <r>
    <x v="275"/>
    <x v="121"/>
    <s v="Le Sauce &amp; Co. Classic Marinara Gourmet Pasta Sauce, 8.8 oz, 2 Serving Pouch"/>
    <n v="8.8000000000000007"/>
    <s v="ounce"/>
    <d v="2024-12-12T00:00:00"/>
    <d v="2026-02-06T00:00:00"/>
    <s v="instacart"/>
    <n v="53639591"/>
    <n v="264123"/>
    <x v="1"/>
    <x v="0"/>
    <x v="1"/>
    <x v="0"/>
  </r>
  <r>
    <x v="276"/>
    <x v="15"/>
    <s v="Ragu Chunky Garden Combination Pasta Sauce"/>
    <n v="45"/>
    <s v="ounce"/>
    <d v="2021-11-01T00:00:00"/>
    <d v="2025-03-28T00:00:00"/>
    <s v="instacart"/>
    <s v=""/>
    <n v="261650"/>
    <x v="0"/>
    <x v="0"/>
    <x v="0"/>
    <x v="0"/>
  </r>
  <r>
    <x v="277"/>
    <x v="15"/>
    <s v="Ragu Sauce, Traditional, Old World Style 4 Ea"/>
    <n v="17.600000000000001"/>
    <s v="ounce"/>
    <d v="2021-10-28T00:00:00"/>
    <d v="2025-08-31T00:00:00"/>
    <s v="instacart"/>
    <s v=""/>
    <n v="266452"/>
    <x v="1"/>
    <x v="0"/>
    <x v="1"/>
    <x v="0"/>
  </r>
  <r>
    <x v="278"/>
    <x v="7"/>
    <s v="Rao's, Reserve Balsamic Marinara Pasta Sauce, 19 Oz"/>
    <n v="19"/>
    <s v="ounce"/>
    <d v="2023-11-02T00:00:00"/>
    <d v="2026-02-06T00:00:00"/>
    <s v="instacart"/>
    <n v="35599661"/>
    <n v="261494"/>
    <x v="1"/>
    <x v="0"/>
    <x v="1"/>
    <x v="0"/>
  </r>
  <r>
    <x v="279"/>
    <x v="122"/>
    <s v="Carmine's Homemade Classic Italian Fra Diavolo Sauce, 32 oz"/>
    <n v="32"/>
    <s v="ounce"/>
    <d v="2023-01-22T00:00:00"/>
    <d v="2026-02-04T00:00:00"/>
    <s v="instacart"/>
    <n v="27721530"/>
    <n v="267090"/>
    <x v="1"/>
    <x v="0"/>
    <x v="1"/>
    <x v="0"/>
  </r>
  <r>
    <x v="280"/>
    <x v="10"/>
    <s v="CENTO Hot Spicy Arrabbiata Pasta Sauce, 25.5 oz"/>
    <n v="24"/>
    <s v="ounce"/>
    <d v="2021-10-31T00:00:00"/>
    <d v="2026-02-06T00:00:00"/>
    <s v="instacart"/>
    <n v="73898"/>
    <n v="261869"/>
    <x v="1"/>
    <x v="0"/>
    <x v="1"/>
    <x v="0"/>
  </r>
  <r>
    <x v="281"/>
    <x v="24"/>
    <s v="Huntâ€™s Roasted Garlic &amp; Onion Pasta Sauce, 24 oz. Can"/>
    <n v="24"/>
    <s v="ounce"/>
    <d v="2021-10-28T00:00:00"/>
    <d v="2026-02-07T00:00:00"/>
    <s v="instacart"/>
    <n v="36101"/>
    <n v="262290"/>
    <x v="0"/>
    <x v="0"/>
    <x v="0"/>
    <x v="0"/>
  </r>
  <r>
    <x v="282"/>
    <x v="38"/>
    <s v="Annarino's Meat Italian Sauce"/>
    <n v="32"/>
    <s v="fluid ounce"/>
    <d v="2021-11-03T00:00:00"/>
    <d v="2026-02-05T00:00:00"/>
    <s v="instacart"/>
    <n v="17183054"/>
    <n v="262622"/>
    <x v="1"/>
    <x v="1"/>
    <x v="1"/>
    <x v="1"/>
  </r>
  <r>
    <x v="283"/>
    <x v="120"/>
    <s v="Yo Mama's Foods Spicy Marinara Sauce, 2 PK"/>
    <m/>
    <m/>
    <d v="2022-11-01T00:00:00"/>
    <d v="2023-06-22T00:00:00"/>
    <s v="instacart"/>
    <s v=""/>
    <n v="262602"/>
    <x v="1"/>
    <x v="0"/>
    <x v="1"/>
    <x v="0"/>
  </r>
  <r>
    <x v="284"/>
    <x v="123"/>
    <s v="Mama Mancini's Spaghetti Sauce &amp; Beef Meatballs"/>
    <m/>
    <m/>
    <d v="2022-07-27T00:00:00"/>
    <d v="2023-09-13T00:00:00"/>
    <s v="instacart"/>
    <s v=""/>
    <n v="262610"/>
    <x v="1"/>
    <x v="0"/>
    <x v="1"/>
    <x v="0"/>
  </r>
  <r>
    <x v="285"/>
    <x v="121"/>
    <s v="Le Sauce &amp; Co. Spicy Pomodoro Gourmet Pasta Sauce, 8.8 oz, 2 Serving Pouch"/>
    <n v="8.8000000000000007"/>
    <s v="ounce"/>
    <d v="2025-06-15T00:00:00"/>
    <d v="2026-02-03T00:00:00"/>
    <s v="instacart"/>
    <n v="53639549"/>
    <n v="267074"/>
    <x v="0"/>
    <x v="0"/>
    <x v="0"/>
    <x v="0"/>
  </r>
  <r>
    <x v="286"/>
    <x v="19"/>
    <s v="Classico - Vodka Sauce Spaghetti Pasta Sauce"/>
    <n v="21.978764999999999"/>
    <s v="fluid ounce"/>
    <d v="2021-10-28T00:00:00"/>
    <d v="2025-03-09T00:00:00"/>
    <s v="instacart"/>
    <s v=""/>
    <n v="262609"/>
    <x v="1"/>
    <x v="0"/>
    <x v="1"/>
    <x v="0"/>
  </r>
  <r>
    <x v="287"/>
    <x v="34"/>
    <s v="Newman's Own: Sockarooni Pasta Sauce, 24 Oz"/>
    <n v="24"/>
    <s v="ounce"/>
    <d v="2021-10-28T00:00:00"/>
    <d v="2026-02-07T00:00:00"/>
    <s v="instacart"/>
    <n v="77115"/>
    <n v="264718"/>
    <x v="1"/>
    <x v="0"/>
    <x v="1"/>
    <x v="0"/>
  </r>
  <r>
    <x v="288"/>
    <x v="75"/>
    <s v="Delgrosso Pasta Sauce, Pure Olive Oil &amp; Herbs"/>
    <n v="24"/>
    <s v="ounce"/>
    <d v="2021-10-28T00:00:00"/>
    <d v="2026-02-06T00:00:00"/>
    <s v="instacart"/>
    <n v="3363864"/>
    <n v="264745"/>
    <x v="0"/>
    <x v="0"/>
    <x v="0"/>
    <x v="0"/>
  </r>
  <r>
    <x v="289"/>
    <x v="100"/>
    <s v="NONNA PIAS Siciliana Pasta Sauce, 19.4 OZ"/>
    <n v="19.399999999999999"/>
    <s v="ounce"/>
    <d v="2025-01-22T00:00:00"/>
    <d v="2026-02-06T00:00:00"/>
    <s v="instacart"/>
    <n v="58276339"/>
    <n v="261502"/>
    <x v="0"/>
    <x v="0"/>
    <x v="0"/>
    <x v="0"/>
  </r>
  <r>
    <x v="290"/>
    <x v="19"/>
    <s v="Classico Four Cheese Pasta Sauce, Classico Tomato &amp; Four Cheese 600ML"/>
    <n v="20.288091000000001"/>
    <s v="fluid ounce"/>
    <d v="2024-09-27T00:00:00"/>
    <d v="2026-02-05T00:00:00"/>
    <s v="instacart"/>
    <s v=""/>
    <n v="264214"/>
    <x v="1"/>
    <x v="0"/>
    <x v="1"/>
    <x v="0"/>
  </r>
  <r>
    <x v="291"/>
    <x v="38"/>
    <s v="Victoria - Cacciatore Simmer Sauce"/>
    <n v="16"/>
    <s v="ounce"/>
    <d v="2021-10-28T00:00:00"/>
    <d v="2026-02-06T00:00:00"/>
    <s v="instacart"/>
    <s v=""/>
    <n v="261522"/>
    <x v="1"/>
    <x v="1"/>
    <x v="1"/>
    <x v="1"/>
  </r>
  <r>
    <x v="292"/>
    <x v="32"/>
    <s v="Mids Pasta Sauce"/>
    <n v="32"/>
    <s v="ounce"/>
    <d v="2021-10-28T00:00:00"/>
    <d v="2026-02-04T00:00:00"/>
    <s v="instacart"/>
    <s v=""/>
    <n v="266904"/>
    <x v="1"/>
    <x v="0"/>
    <x v="1"/>
    <x v="0"/>
  </r>
  <r>
    <x v="293"/>
    <x v="124"/>
    <s v="Pastene Sauce Tomato Basil - 24 Oz"/>
    <n v="24"/>
    <s v="ounce"/>
    <d v="2021-10-28T00:00:00"/>
    <d v="2026-02-06T00:00:00"/>
    <s v="instacart"/>
    <n v="3340288"/>
    <n v="261789"/>
    <x v="0"/>
    <x v="0"/>
    <x v="0"/>
    <x v="0"/>
  </r>
  <r>
    <x v="294"/>
    <x v="2"/>
    <s v="RAO'S Red Wine Marinara Limited Reserve"/>
    <n v="19"/>
    <s v="ounce"/>
    <d v="2024-09-01T00:00:00"/>
    <d v="2026-02-06T00:00:00"/>
    <s v="instacart"/>
    <n v="33264269"/>
    <n v="264135"/>
    <x v="1"/>
    <x v="0"/>
    <x v="1"/>
    <x v="0"/>
  </r>
  <r>
    <x v="295"/>
    <x v="125"/>
    <s v="Meat Pasta Sauce, 24 oz"/>
    <n v="24"/>
    <s v="ounce"/>
    <d v="2024-01-04T00:00:00"/>
    <d v="2026-02-07T00:00:00"/>
    <s v="instacart"/>
    <n v="18649449"/>
    <n v="261509"/>
    <x v="1"/>
    <x v="0"/>
    <x v="1"/>
    <x v="0"/>
  </r>
  <r>
    <x v="296"/>
    <x v="126"/>
    <s v="Mantova Italian Traditional Tomato Roasted Garlic Sauce"/>
    <m/>
    <m/>
    <d v="2022-11-01T00:00:00"/>
    <d v="2023-06-22T00:00:00"/>
    <s v="instacart"/>
    <s v=""/>
    <n v="266448"/>
    <x v="1"/>
    <x v="0"/>
    <x v="1"/>
    <x v="0"/>
  </r>
  <r>
    <x v="297"/>
    <x v="127"/>
    <s v="The Silver Palate San Marzano Pasta Sauce Marinara Jar - 25 Oz"/>
    <n v="25"/>
    <s v="ounce"/>
    <d v="2021-10-28T00:00:00"/>
    <d v="2026-02-06T00:00:00"/>
    <s v="instacart"/>
    <n v="77095"/>
    <n v="264337"/>
    <x v="0"/>
    <x v="0"/>
    <x v="0"/>
    <x v="0"/>
  </r>
  <r>
    <x v="298"/>
    <x v="128"/>
    <s v="ITS A UTICA THING ! Sauce, for Chicken Riggie, Classic"/>
    <n v="24"/>
    <s v="ounce"/>
    <d v="2021-10-29T00:00:00"/>
    <d v="2026-02-06T00:00:00"/>
    <s v="instacart"/>
    <s v=""/>
    <n v="266541"/>
    <x v="1"/>
    <x v="0"/>
    <x v="1"/>
    <x v="0"/>
  </r>
  <r>
    <x v="299"/>
    <x v="124"/>
    <s v="Pastene Vodka Pasta Sauce"/>
    <n v="16"/>
    <s v="fluid ounce"/>
    <d v="2023-04-16T00:00:00"/>
    <d v="2026-02-05T00:00:00"/>
    <s v="instacart"/>
    <n v="27878096"/>
    <n v="266980"/>
    <x v="1"/>
    <x v="0"/>
    <x v="1"/>
    <x v="0"/>
  </r>
  <r>
    <x v="300"/>
    <x v="129"/>
    <s v="IT S A UTICA THING! Riggie Sauce, Roasted Garlic"/>
    <n v="24"/>
    <s v="ounce"/>
    <d v="2021-10-29T00:00:00"/>
    <d v="2026-01-23T00:00:00"/>
    <s v="instacart"/>
    <n v="18628384"/>
    <n v="266910"/>
    <x v="0"/>
    <x v="0"/>
    <x v="0"/>
    <x v="0"/>
  </r>
  <r>
    <x v="301"/>
    <x v="34"/>
    <s v="Newman's Own Fire Roasted Tomato &amp; Garlic Pasta Sauce, 24 oz"/>
    <n v="24"/>
    <s v="ounce"/>
    <d v="2021-11-02T00:00:00"/>
    <d v="2024-12-09T00:00:00"/>
    <s v="instacart"/>
    <s v=""/>
    <n v="267057"/>
    <x v="0"/>
    <x v="0"/>
    <x v="0"/>
    <x v="0"/>
  </r>
  <r>
    <x v="302"/>
    <x v="130"/>
    <s v="Organic Eggplant Sauce, 24 oz"/>
    <m/>
    <m/>
    <d v="2021-11-01T00:00:00"/>
    <d v="2023-12-27T00:00:00"/>
    <s v="instacart"/>
    <s v=""/>
    <n v="266340"/>
    <x v="0"/>
    <x v="0"/>
    <x v="0"/>
    <x v="0"/>
  </r>
  <r>
    <x v="303"/>
    <x v="131"/>
    <s v="ANDUCCI - Asiago &amp; Roasted Garlic Sauce"/>
    <n v="16.906742000000001"/>
    <s v="fluid ounce"/>
    <d v="2023-06-22T00:00:00"/>
    <d v="2026-02-05T00:00:00"/>
    <s v="instacart"/>
    <s v=""/>
    <n v="266408"/>
    <x v="1"/>
    <x v="0"/>
    <x v="1"/>
    <x v="0"/>
  </r>
  <r>
    <x v="304"/>
    <x v="132"/>
    <s v="Michael's of Brooklyn Pasta Sauce, Putanesca gluten free, 32 oz"/>
    <n v="32.304347999999997"/>
    <s v="ounce"/>
    <d v="2021-11-07T00:00:00"/>
    <d v="2026-02-03T00:00:00"/>
    <s v="instacart"/>
    <n v="110868"/>
    <n v="262204"/>
    <x v="0"/>
    <x v="0"/>
    <x v="0"/>
    <x v="0"/>
  </r>
  <r>
    <x v="305"/>
    <x v="19"/>
    <s v="Classico Four Cheese Pasta Sauce, 24 oz Jar"/>
    <n v="24"/>
    <s v="ounce"/>
    <d v="2021-10-28T00:00:00"/>
    <d v="2026-02-07T00:00:00"/>
    <s v="instacart"/>
    <n v="39352"/>
    <n v="262020"/>
    <x v="1"/>
    <x v="0"/>
    <x v="1"/>
    <x v="0"/>
  </r>
  <r>
    <x v="306"/>
    <x v="19"/>
    <s v="Classico Vodka Sauce Pasta Sauce, Classico Vodka Sauce 600ML"/>
    <n v="20.288091000000001"/>
    <s v="fluid ounce"/>
    <d v="2025-10-19T00:00:00"/>
    <d v="2026-02-05T00:00:00"/>
    <s v="instacart"/>
    <s v=""/>
    <n v="261783"/>
    <x v="0"/>
    <x v="0"/>
    <x v="0"/>
    <x v="0"/>
  </r>
  <r>
    <x v="307"/>
    <x v="6"/>
    <s v="Bertolli Pasta Sauce, Vodka"/>
    <n v="24"/>
    <s v="ounce"/>
    <d v="2021-10-28T00:00:00"/>
    <d v="2026-02-07T00:00:00"/>
    <s v="instacart"/>
    <n v="91515"/>
    <n v="261859"/>
    <x v="0"/>
    <x v="0"/>
    <x v="0"/>
    <x v="0"/>
  </r>
  <r>
    <x v="308"/>
    <x v="133"/>
    <s v="Organic Tomato Basil Pasta Sauce, 24 OZ"/>
    <n v="24"/>
    <s v="ounce"/>
    <d v="2025-01-22T00:00:00"/>
    <d v="2026-02-06T00:00:00"/>
    <s v="instacart"/>
    <n v="64419193"/>
    <n v="261762"/>
    <x v="1"/>
    <x v="0"/>
    <x v="1"/>
    <x v="0"/>
  </r>
  <r>
    <x v="309"/>
    <x v="134"/>
    <s v="Del Monte Pasta Sauce, Traditional"/>
    <n v="24"/>
    <s v="ounce"/>
    <d v="2021-10-28T00:00:00"/>
    <d v="2026-02-06T00:00:00"/>
    <s v="instacart"/>
    <n v="252547"/>
    <n v="266386"/>
    <x v="1"/>
    <x v="0"/>
    <x v="1"/>
    <x v="0"/>
  </r>
  <r>
    <x v="310"/>
    <x v="135"/>
    <s v="Scardigno's Marinara Sauce, 28 oz"/>
    <n v="28"/>
    <s v="ounce"/>
    <d v="2021-10-31T00:00:00"/>
    <d v="2026-02-04T00:00:00"/>
    <s v="instacart"/>
    <s v=""/>
    <n v="264068"/>
    <x v="1"/>
    <x v="0"/>
    <x v="1"/>
    <x v="0"/>
  </r>
  <r>
    <x v="311"/>
    <x v="128"/>
    <s v="ITS A UTICA THING ! Sauce, Vodka Riggie"/>
    <n v="24"/>
    <s v="ounce"/>
    <d v="2021-10-29T00:00:00"/>
    <d v="2026-02-06T00:00:00"/>
    <s v="instacart"/>
    <n v="19793112"/>
    <n v="261880"/>
    <x v="0"/>
    <x v="0"/>
    <x v="0"/>
    <x v="0"/>
  </r>
  <r>
    <x v="312"/>
    <x v="15"/>
    <s v="Ragu Old World Style Traditional Sauce, 3 pk./45 oz."/>
    <n v="135"/>
    <s v="ounce"/>
    <d v="2021-10-28T00:00:00"/>
    <d v="2026-02-05T00:00:00"/>
    <s v="instacart"/>
    <s v=""/>
    <n v="262051"/>
    <x v="1"/>
    <x v="0"/>
    <x v="1"/>
    <x v="0"/>
  </r>
  <r>
    <x v="313"/>
    <x v="45"/>
    <s v="Prego 100% Natural Italian Pasta Sauce, Traditional"/>
    <n v="45"/>
    <s v="ounce"/>
    <d v="2021-10-28T00:00:00"/>
    <d v="2026-02-07T00:00:00"/>
    <s v="instacart"/>
    <n v="36161"/>
    <n v="264446"/>
    <x v="0"/>
    <x v="0"/>
    <x v="0"/>
    <x v="0"/>
  </r>
  <r>
    <x v="314"/>
    <x v="136"/>
    <s v="Mutti Tomato &amp; Basil Pasta Sauce - 24 Oz."/>
    <n v="24"/>
    <s v="ounce"/>
    <d v="2022-04-14T00:00:00"/>
    <d v="2026-02-06T00:00:00"/>
    <s v="instacart"/>
    <n v="26979968"/>
    <n v="264312"/>
    <x v="0"/>
    <x v="0"/>
    <x v="0"/>
    <x v="0"/>
  </r>
  <r>
    <x v="315"/>
    <x v="137"/>
    <s v="Just Like Home Sauce Bolognese Chicago-Style"/>
    <n v="25"/>
    <s v="ounce"/>
    <d v="2021-10-28T00:00:00"/>
    <d v="2026-02-05T00:00:00"/>
    <s v="instacart"/>
    <n v="23525742"/>
    <n v="266291"/>
    <x v="1"/>
    <x v="0"/>
    <x v="1"/>
    <x v="0"/>
  </r>
  <r>
    <x v="316"/>
    <x v="131"/>
    <s v="Anducci - Anducci 3 Cheese Marinara Sauce"/>
    <n v="16.906742000000001"/>
    <s v="fluid ounce"/>
    <d v="2023-06-22T00:00:00"/>
    <d v="2026-02-05T00:00:00"/>
    <s v="instacart"/>
    <s v=""/>
    <n v="266318"/>
    <x v="1"/>
    <x v="0"/>
    <x v="1"/>
    <x v="0"/>
  </r>
  <r>
    <x v="317"/>
    <x v="113"/>
    <s v="Lucini Sauce Tomato Artichoke Tomato Hearty Bottle - 25.5 Oz"/>
    <n v="24"/>
    <s v="ounce"/>
    <d v="2021-10-31T00:00:00"/>
    <d v="2026-02-06T00:00:00"/>
    <s v="instacart"/>
    <s v=""/>
    <n v="262141"/>
    <x v="1"/>
    <x v="0"/>
    <x v="1"/>
    <x v="0"/>
  </r>
  <r>
    <x v="318"/>
    <x v="138"/>
    <s v="Osem Pasta Sauce - 17 OZ"/>
    <n v="17"/>
    <s v="ounce"/>
    <d v="2022-06-26T00:00:00"/>
    <d v="2026-02-05T00:00:00"/>
    <s v="instacart"/>
    <n v="26992768"/>
    <n v="264143"/>
    <x v="0"/>
    <x v="0"/>
    <x v="0"/>
    <x v="0"/>
  </r>
  <r>
    <x v="319"/>
    <x v="139"/>
    <s v="Le Sauce &amp; Co Pasta Sauce Classic Marinara - 8.8 OZ"/>
    <n v="8.8000000000000007"/>
    <s v="ounce"/>
    <d v="2024-08-20T00:00:00"/>
    <d v="2026-02-05T00:00:00"/>
    <s v="instacart"/>
    <n v="53639591"/>
    <n v="266810"/>
    <x v="1"/>
    <x v="0"/>
    <x v="1"/>
    <x v="0"/>
  </r>
  <r>
    <x v="320"/>
    <x v="140"/>
    <s v="SIMMER Organic Basil Tomato Pasta Sauce, 8 OZ"/>
    <m/>
    <m/>
    <d v="2021-10-31T00:00:00"/>
    <d v="2023-07-09T00:00:00"/>
    <s v="instacart"/>
    <s v=""/>
    <n v="267058"/>
    <x v="0"/>
    <x v="0"/>
    <x v="0"/>
    <x v="0"/>
  </r>
  <r>
    <x v="321"/>
    <x v="81"/>
    <s v="Boves Organic Spicy Marinara Pasta Sauce"/>
    <n v="24"/>
    <s v="ounce"/>
    <d v="2025-06-25T00:00:00"/>
    <d v="2025-10-22T00:00:00"/>
    <s v="instacart"/>
    <s v=""/>
    <n v="264103"/>
    <x v="1"/>
    <x v="0"/>
    <x v="1"/>
    <x v="0"/>
  </r>
  <r>
    <x v="322"/>
    <x v="141"/>
    <s v="VESPER BROTHERS Sauce Tomato Signature Spicy, 24 OZ"/>
    <n v="24"/>
    <s v="ounce"/>
    <d v="2021-10-31T00:00:00"/>
    <d v="2026-02-06T00:00:00"/>
    <s v="instacart"/>
    <n v="577680"/>
    <n v="266285"/>
    <x v="1"/>
    <x v="0"/>
    <x v="1"/>
    <x v="0"/>
  </r>
  <r>
    <x v="323"/>
    <x v="38"/>
    <s v="Local Folks Foods Tomato &amp; Herb Marinara Sauce"/>
    <n v="24"/>
    <s v="ounce"/>
    <d v="2021-10-28T00:00:00"/>
    <d v="2026-02-06T00:00:00"/>
    <s v="instacart"/>
    <n v="19624852"/>
    <n v="264561"/>
    <x v="1"/>
    <x v="1"/>
    <x v="1"/>
    <x v="1"/>
  </r>
  <r>
    <x v="324"/>
    <x v="38"/>
    <s v="Giannotti Marinara Sauce"/>
    <n v="26"/>
    <s v="ounce"/>
    <d v="2021-10-29T00:00:00"/>
    <d v="2026-02-03T00:00:00"/>
    <s v="instacart"/>
    <n v="73929"/>
    <n v="262566"/>
    <x v="1"/>
    <x v="1"/>
    <x v="1"/>
    <x v="1"/>
  </r>
  <r>
    <x v="325"/>
    <x v="54"/>
    <s v="Carbone Arrabbiata Pasta Sauce"/>
    <n v="24"/>
    <s v="ounce"/>
    <d v="2021-10-28T00:00:00"/>
    <d v="2026-02-07T00:00:00"/>
    <s v="instacart"/>
    <n v="25652103"/>
    <n v="266424"/>
    <x v="1"/>
    <x v="0"/>
    <x v="1"/>
    <x v="0"/>
  </r>
  <r>
    <x v="326"/>
    <x v="35"/>
    <s v="SEGGIANO Organic Garlic Marinara Pasta Sauce, 24 OZ"/>
    <n v="24"/>
    <s v="ounce"/>
    <d v="2021-10-28T00:00:00"/>
    <d v="2026-02-06T00:00:00"/>
    <s v="instacart"/>
    <n v="19280366"/>
    <n v="266461"/>
    <x v="0"/>
    <x v="0"/>
    <x v="0"/>
    <x v="0"/>
  </r>
  <r>
    <x v="327"/>
    <x v="21"/>
    <s v="Sacla Tomato Cherry &amp; Basil"/>
    <n v="24"/>
    <s v="ounce"/>
    <d v="2021-10-28T00:00:00"/>
    <d v="2026-02-06T00:00:00"/>
    <s v="instacart"/>
    <n v="18412565"/>
    <n v="261800"/>
    <x v="1"/>
    <x v="0"/>
    <x v="1"/>
    <x v="0"/>
  </r>
  <r>
    <x v="328"/>
    <x v="38"/>
    <s v="Prego Italian Tomato Pasta Sauce Flavored With Meat, Value Size Jar, 38 oz"/>
    <n v="38"/>
    <s v="ounce"/>
    <d v="2023-01-03T00:00:00"/>
    <d v="2026-02-07T00:00:00"/>
    <s v="instacart"/>
    <n v="20680338"/>
    <n v="267067"/>
    <x v="0"/>
    <x v="1"/>
    <x v="0"/>
    <x v="1"/>
  </r>
  <r>
    <x v="329"/>
    <x v="116"/>
    <s v="Gia Russa Pasta Sauce, Select, Tomato Basil"/>
    <n v="24"/>
    <s v="ounce"/>
    <d v="2021-10-28T00:00:00"/>
    <d v="2026-02-06T00:00:00"/>
    <s v="instacart"/>
    <n v="91489"/>
    <n v="264455"/>
    <x v="1"/>
    <x v="0"/>
    <x v="1"/>
    <x v="0"/>
  </r>
  <r>
    <x v="330"/>
    <x v="142"/>
    <s v="Rustichella D Abruzzo Tomato Sauce Arrabbiata Jar - 23.9 Oz"/>
    <n v="23.9"/>
    <s v="ounce"/>
    <d v="2021-10-28T00:00:00"/>
    <d v="2026-02-06T00:00:00"/>
    <s v="instacart"/>
    <n v="232513"/>
    <n v="261695"/>
    <x v="0"/>
    <x v="0"/>
    <x v="0"/>
    <x v="0"/>
  </r>
  <r>
    <x v="331"/>
    <x v="13"/>
    <s v="Paesana Marinara Traditional Pasta Sauce, 25 oz"/>
    <n v="25"/>
    <s v="ounce"/>
    <d v="2021-10-28T00:00:00"/>
    <d v="2026-02-06T00:00:00"/>
    <s v="instacart"/>
    <n v="95028"/>
    <n v="264071"/>
    <x v="0"/>
    <x v="0"/>
    <x v="0"/>
    <x v="0"/>
  </r>
  <r>
    <x v="332"/>
    <x v="63"/>
    <s v="Victoria Avocado Oil Marinara Sauce 24 oz"/>
    <n v="24"/>
    <s v="ounce"/>
    <d v="2021-10-28T00:00:00"/>
    <d v="2026-02-06T00:00:00"/>
    <s v="instacart"/>
    <n v="3406177"/>
    <n v="264160"/>
    <x v="1"/>
    <x v="0"/>
    <x v="1"/>
    <x v="0"/>
  </r>
  <r>
    <x v="333"/>
    <x v="45"/>
    <s v="PregoÂ® Parmesan Basil Pasta Sauce 24.000 Oz"/>
    <n v="23.75"/>
    <s v="ounce"/>
    <d v="2023-03-09T00:00:00"/>
    <d v="2026-02-06T00:00:00"/>
    <s v="instacart"/>
    <n v="29627781"/>
    <n v="266377"/>
    <x v="1"/>
    <x v="0"/>
    <x v="1"/>
    <x v="0"/>
  </r>
  <r>
    <x v="334"/>
    <x v="11"/>
    <s v="Calandra's Marinara Sauce, 32 oz"/>
    <n v="32"/>
    <s v="ounce"/>
    <d v="2021-11-02T00:00:00"/>
    <d v="2026-02-06T00:00:00"/>
    <s v="instacart"/>
    <n v="17671849"/>
    <n v="264523"/>
    <x v="1"/>
    <x v="0"/>
    <x v="1"/>
    <x v="0"/>
  </r>
  <r>
    <x v="335"/>
    <x v="143"/>
    <s v="Rao's Homemade Pasta Sauce, Roasted Garlic"/>
    <n v="32"/>
    <s v="ounce"/>
    <d v="2021-10-28T00:00:00"/>
    <d v="2026-02-07T00:00:00"/>
    <s v="instacart"/>
    <n v="20128017"/>
    <n v="262282"/>
    <x v="0"/>
    <x v="0"/>
    <x v="0"/>
    <x v="0"/>
  </r>
  <r>
    <x v="336"/>
    <x v="87"/>
    <s v="Organico BelloÂ® Delicate Recipeâ„¢ Organic Pasta Sauce"/>
    <n v="25"/>
    <s v="ounce"/>
    <d v="2021-10-30T00:00:00"/>
    <d v="2026-02-06T00:00:00"/>
    <s v="instacart"/>
    <n v="21354357"/>
    <n v="264061"/>
    <x v="0"/>
    <x v="0"/>
    <x v="0"/>
    <x v="0"/>
  </r>
  <r>
    <x v="337"/>
    <x v="38"/>
    <s v="Schiavone's All Purpose Italian Sauce"/>
    <n v="28"/>
    <s v="ounce"/>
    <d v="2021-11-03T00:00:00"/>
    <d v="2026-02-05T00:00:00"/>
    <s v="instacart"/>
    <n v="1556232"/>
    <n v="264162"/>
    <x v="1"/>
    <x v="1"/>
    <x v="1"/>
    <x v="1"/>
  </r>
  <r>
    <x v="338"/>
    <x v="120"/>
    <s v="Yo Mama's Foods No Sugar Added, Low Carb, Marinara Sauce"/>
    <m/>
    <m/>
    <d v="2023-04-03T00:00:00"/>
    <d v="2023-06-22T00:00:00"/>
    <s v="instacart"/>
    <s v=""/>
    <n v="261482"/>
    <x v="0"/>
    <x v="0"/>
    <x v="0"/>
    <x v="0"/>
  </r>
  <r>
    <x v="339"/>
    <x v="38"/>
    <s v="Villa Valenti Traditional Pasta Sauce"/>
    <n v="26"/>
    <s v="ounce"/>
    <d v="2021-10-29T00:00:00"/>
    <d v="2025-10-22T00:00:00"/>
    <s v="instacart"/>
    <s v=""/>
    <n v="261652"/>
    <x v="1"/>
    <x v="1"/>
    <x v="1"/>
    <x v="1"/>
  </r>
  <r>
    <x v="340"/>
    <x v="144"/>
    <s v="Mutti Tomato Sauce, With Basil &amp; Oregano 14 Oz"/>
    <n v="14"/>
    <s v="ounce"/>
    <d v="2021-10-28T00:00:00"/>
    <d v="2026-02-06T00:00:00"/>
    <s v="instacart"/>
    <n v="2725311"/>
    <n v="262034"/>
    <x v="1"/>
    <x v="0"/>
    <x v="1"/>
    <x v="0"/>
  </r>
  <r>
    <x v="341"/>
    <x v="20"/>
    <s v="Yo Mama's Sensitive Marinara Tomato Sauce, 25 oz"/>
    <n v="25"/>
    <s v="ounce"/>
    <d v="2024-02-13T00:00:00"/>
    <d v="2026-02-05T00:00:00"/>
    <s v="instacart"/>
    <n v="42368658"/>
    <n v="264458"/>
    <x v="1"/>
    <x v="0"/>
    <x v="1"/>
    <x v="0"/>
  </r>
  <r>
    <x v="342"/>
    <x v="145"/>
    <s v="MEZZETTA SAUCE PSTA TOM SWT BASL N"/>
    <n v="25"/>
    <s v="ounce"/>
    <d v="2021-11-09T00:00:00"/>
    <d v="2026-02-04T00:00:00"/>
    <s v="instacart"/>
    <n v="16698389"/>
    <n v="261606"/>
    <x v="0"/>
    <x v="0"/>
    <x v="0"/>
    <x v="0"/>
  </r>
  <r>
    <x v="343"/>
    <x v="69"/>
    <s v="Gefen Sauce Pasta Spicy - 26 Oz"/>
    <n v="26"/>
    <s v="ounce"/>
    <d v="2021-10-28T00:00:00"/>
    <d v="2026-02-06T00:00:00"/>
    <s v="instacart"/>
    <n v="1387358"/>
    <n v="264116"/>
    <x v="1"/>
    <x v="0"/>
    <x v="1"/>
    <x v="0"/>
  </r>
  <r>
    <x v="344"/>
    <x v="146"/>
    <s v="Cajun Power Pasta Sauce, Marinara 32 oz"/>
    <n v="32"/>
    <s v="ounce"/>
    <d v="2021-10-28T00:00:00"/>
    <d v="2026-02-05T00:00:00"/>
    <s v="instacart"/>
    <n v="20211116"/>
    <n v="264556"/>
    <x v="0"/>
    <x v="0"/>
    <x v="0"/>
    <x v="0"/>
  </r>
  <r>
    <x v="345"/>
    <x v="58"/>
    <s v="Fody Tomato &amp; Basil Pasta Sauce"/>
    <n v="19.399999999999999"/>
    <s v="ounce"/>
    <d v="2021-10-28T00:00:00"/>
    <d v="2026-02-06T00:00:00"/>
    <s v="instacart"/>
    <n v="19044988"/>
    <n v="264144"/>
    <x v="1"/>
    <x v="0"/>
    <x v="1"/>
    <x v="0"/>
  </r>
  <r>
    <x v="346"/>
    <x v="73"/>
    <s v="DAVE's Gourmet Pasta Sauce Organic Roasted Garlic &amp; Sweet Basil - 25.5 Ounce - 1 Count"/>
    <n v="24"/>
    <s v="ounce"/>
    <d v="2021-10-28T00:00:00"/>
    <d v="2026-02-06T00:00:00"/>
    <s v="instacart"/>
    <n v="9993"/>
    <n v="266308"/>
    <x v="1"/>
    <x v="0"/>
    <x v="1"/>
    <x v="0"/>
  </r>
  <r>
    <x v="347"/>
    <x v="73"/>
    <s v="Dave's Gourmet Pasta Sauce, Hearty Marinara, Organic 25.5 Oz"/>
    <n v="25.5"/>
    <s v="ounce"/>
    <d v="2021-10-28T00:00:00"/>
    <d v="2026-02-06T00:00:00"/>
    <s v="instacart"/>
    <n v="2778610"/>
    <n v="264115"/>
    <x v="0"/>
    <x v="0"/>
    <x v="0"/>
    <x v="0"/>
  </r>
  <r>
    <x v="348"/>
    <x v="0"/>
    <s v="Francesco Rinaldi Sauce, Tomato &amp; Basil 24 oz"/>
    <n v="24"/>
    <s v="ounce"/>
    <d v="2021-10-28T00:00:00"/>
    <d v="2026-02-06T00:00:00"/>
    <s v="instacart"/>
    <n v="73923"/>
    <n v="264107"/>
    <x v="0"/>
    <x v="0"/>
    <x v="0"/>
    <x v="0"/>
  </r>
  <r>
    <x v="349"/>
    <x v="147"/>
    <s v="Terlato Kitchen Sauce Tomato Basil - 24 Oz"/>
    <n v="24"/>
    <s v="ounce"/>
    <d v="2021-10-28T00:00:00"/>
    <d v="2026-02-05T00:00:00"/>
    <s v="instacart"/>
    <n v="19226244"/>
    <n v="267108"/>
    <x v="1"/>
    <x v="0"/>
    <x v="1"/>
    <x v="0"/>
  </r>
  <r>
    <x v="350"/>
    <x v="148"/>
    <s v="Ooma Tesoros Marinara Sauce, 26 Oz"/>
    <n v="26"/>
    <s v="ounce"/>
    <d v="2021-10-31T00:00:00"/>
    <d v="2026-02-06T00:00:00"/>
    <s v="instacart"/>
    <n v="110850"/>
    <n v="262621"/>
    <x v="0"/>
    <x v="0"/>
    <x v="0"/>
    <x v="0"/>
  </r>
  <r>
    <x v="351"/>
    <x v="50"/>
    <s v="TantilloÂ® Reserve Pomodoro Marinara Pasta Sauce"/>
    <n v="21.2"/>
    <s v="ounce"/>
    <d v="2021-12-08T00:00:00"/>
    <d v="2026-02-05T00:00:00"/>
    <s v="instacart"/>
    <n v="26250896"/>
    <n v="262264"/>
    <x v="1"/>
    <x v="0"/>
    <x v="1"/>
    <x v="0"/>
  </r>
  <r>
    <x v="352"/>
    <x v="53"/>
    <s v="Gino's Spicy Diavolo Marinara"/>
    <n v="24"/>
    <s v="ounce"/>
    <d v="2021-10-28T00:00:00"/>
    <d v="2026-02-04T00:00:00"/>
    <s v="instacart"/>
    <s v=""/>
    <n v="264236"/>
    <x v="0"/>
    <x v="0"/>
    <x v="0"/>
    <x v="0"/>
  </r>
  <r>
    <x v="353"/>
    <x v="42"/>
    <s v="Michael Angelo's Secret Marinara Pasta Sauce - 24 Oz"/>
    <n v="24"/>
    <s v="ounce"/>
    <d v="2023-01-09T00:00:00"/>
    <d v="2026-02-06T00:00:00"/>
    <s v="instacart"/>
    <n v="29203222"/>
    <n v="261582"/>
    <x v="0"/>
    <x v="0"/>
    <x v="0"/>
    <x v="0"/>
  </r>
  <r>
    <x v="354"/>
    <x v="149"/>
    <s v="Muir Glen Organic Italian Herb Pasta Sauce, No Sugar Added, 23.5 oz."/>
    <n v="23.5"/>
    <s v="ounce"/>
    <d v="2022-02-20T00:00:00"/>
    <d v="2026-02-06T00:00:00"/>
    <s v="instacart"/>
    <n v="27993124"/>
    <n v="264373"/>
    <x v="0"/>
    <x v="0"/>
    <x v="0"/>
    <x v="0"/>
  </r>
  <r>
    <x v="355"/>
    <x v="38"/>
    <s v="Luigi Del Conte Country-Style Marinara Sauce"/>
    <n v="16"/>
    <s v="ounce"/>
    <d v="2021-10-29T00:00:00"/>
    <d v="2025-10-22T00:00:00"/>
    <s v="instacart"/>
    <s v=""/>
    <n v="261484"/>
    <x v="0"/>
    <x v="1"/>
    <x v="0"/>
    <x v="1"/>
  </r>
  <r>
    <x v="356"/>
    <x v="72"/>
    <s v="Scarpetta Cherry Tomato Sauce, 19.8 oz"/>
    <n v="19.8"/>
    <s v="ounce"/>
    <d v="2021-11-02T00:00:00"/>
    <d v="2026-01-19T00:00:00"/>
    <s v="instacart"/>
    <s v=""/>
    <n v="264059"/>
    <x v="0"/>
    <x v="0"/>
    <x v="0"/>
    <x v="0"/>
  </r>
  <r>
    <x v="357"/>
    <x v="13"/>
    <s v="Paesana Pasta Sauce Organic Marinara - 25 Oz"/>
    <n v="25"/>
    <s v="ounce"/>
    <d v="2021-10-28T00:00:00"/>
    <d v="2026-02-06T00:00:00"/>
    <s v="instacart"/>
    <n v="3122953"/>
    <n v="264063"/>
    <x v="0"/>
    <x v="0"/>
    <x v="0"/>
    <x v="0"/>
  </r>
  <r>
    <x v="358"/>
    <x v="80"/>
    <s v="Muir Glen Organic No Sugar Added Garden Vegetable Pasta Sauce 23.5 oz"/>
    <n v="23.5"/>
    <s v="ounce"/>
    <d v="2022-09-18T00:00:00"/>
    <d v="2026-02-06T00:00:00"/>
    <s v="instacart"/>
    <n v="27740612"/>
    <n v="264751"/>
    <x v="0"/>
    <x v="0"/>
    <x v="0"/>
    <x v="0"/>
  </r>
  <r>
    <x v="359"/>
    <x v="14"/>
    <s v="Mezzetta Marinara, Whole Garlic &amp; Sweet Basil 24 oz"/>
    <n v="24"/>
    <s v="ounce"/>
    <d v="2021-10-28T00:00:00"/>
    <d v="2026-02-06T00:00:00"/>
    <s v="instacart"/>
    <n v="23897341"/>
    <n v="266547"/>
    <x v="1"/>
    <x v="0"/>
    <x v="1"/>
    <x v="0"/>
  </r>
  <r>
    <x v="360"/>
    <x v="150"/>
    <s v="Cortazzo Marinara Sauce, Pomodoro"/>
    <n v="24"/>
    <s v="ounce"/>
    <d v="2021-10-28T00:00:00"/>
    <d v="2025-05-23T00:00:00"/>
    <s v="instacart"/>
    <s v=""/>
    <n v="261480"/>
    <x v="0"/>
    <x v="0"/>
    <x v="0"/>
    <x v="0"/>
  </r>
  <r>
    <x v="361"/>
    <x v="26"/>
    <s v="Ragu Traditional Spaghetti Sauce, 3 Ct./45 oz.- Pasta Sauces"/>
    <n v="45"/>
    <s v="ounce"/>
    <d v="2021-11-01T00:00:00"/>
    <d v="2026-02-07T00:00:00"/>
    <s v="instacart"/>
    <n v="77085"/>
    <n v="264441"/>
    <x v="0"/>
    <x v="0"/>
    <x v="0"/>
    <x v="0"/>
  </r>
  <r>
    <x v="362"/>
    <x v="151"/>
    <s v="Pomodoro Sauce, 24 oz"/>
    <n v="24"/>
    <s v="ounce"/>
    <d v="2021-11-01T00:00:00"/>
    <d v="2024-02-21T00:00:00"/>
    <s v="instacart"/>
    <s v=""/>
    <n v="262615"/>
    <x v="0"/>
    <x v="0"/>
    <x v="0"/>
    <x v="0"/>
  </r>
  <r>
    <x v="363"/>
    <x v="38"/>
    <s v="Antonio Carlo Gourmet Sauce, Arrabbiata, 24 oz"/>
    <n v="24"/>
    <s v="ounce"/>
    <d v="2021-10-28T00:00:00"/>
    <d v="2026-02-05T00:00:00"/>
    <s v="instacart"/>
    <n v="19516349"/>
    <n v="261572"/>
    <x v="1"/>
    <x v="1"/>
    <x v="1"/>
    <x v="1"/>
  </r>
  <r>
    <x v="364"/>
    <x v="10"/>
    <s v="Cento San Marzano Tomato Sauce, Vodka"/>
    <n v="26"/>
    <s v="ounce"/>
    <d v="2021-10-30T00:00:00"/>
    <d v="2026-02-06T00:00:00"/>
    <s v="instacart"/>
    <s v=""/>
    <n v="266301"/>
    <x v="1"/>
    <x v="0"/>
    <x v="1"/>
    <x v="0"/>
  </r>
  <r>
    <x v="365"/>
    <x v="5"/>
    <s v="Prego Chunky Garden Combo Italian Sauce, 23.75 oz"/>
    <n v="23.75"/>
    <s v="ounce"/>
    <d v="2021-10-28T00:00:00"/>
    <d v="2026-02-07T00:00:00"/>
    <s v="instacart"/>
    <n v="77109"/>
    <n v="261791"/>
    <x v="0"/>
    <x v="0"/>
    <x v="0"/>
    <x v="0"/>
  </r>
  <r>
    <x v="366"/>
    <x v="90"/>
    <s v="Ginos Marinara Sauce"/>
    <n v="24"/>
    <s v="ounce"/>
    <d v="2021-10-28T00:00:00"/>
    <d v="2026-02-04T00:00:00"/>
    <s v="instacart"/>
    <s v=""/>
    <n v="264372"/>
    <x v="1"/>
    <x v="0"/>
    <x v="1"/>
    <x v="0"/>
  </r>
  <r>
    <x v="367"/>
    <x v="55"/>
    <s v="Cucina Antica - Tomato Basil Pasta Sauce - 32oz (Pack of 6) - Non GMO, Whole 30 Approved, Gluten Free"/>
    <n v="32"/>
    <s v="ounce"/>
    <d v="2021-10-28T00:00:00"/>
    <d v="2025-11-18T00:00:00"/>
    <s v="instacart"/>
    <s v=""/>
    <n v="264359"/>
    <x v="1"/>
    <x v="0"/>
    <x v="1"/>
    <x v="0"/>
  </r>
  <r>
    <x v="368"/>
    <x v="34"/>
    <s v="Newman's Own Pasta Sauce, Sockarooni 24 oz"/>
    <n v="24"/>
    <s v="ounce"/>
    <d v="2021-10-28T00:00:00"/>
    <d v="2026-02-07T00:00:00"/>
    <s v="instacart"/>
    <s v="19977941, 77115"/>
    <s v="261525, 261526"/>
    <x v="0"/>
    <x v="0"/>
    <x v="0"/>
    <x v="0"/>
  </r>
  <r>
    <x v="369"/>
    <x v="5"/>
    <s v="Prego Pasta Sauce, Tomato Sauce with Italian Sausage &amp; Garlic, 44 Ounce Jar"/>
    <n v="44"/>
    <s v="ounce"/>
    <d v="2021-10-28T00:00:00"/>
    <d v="2026-02-07T00:00:00"/>
    <s v="instacart"/>
    <n v="20021629"/>
    <n v="266312"/>
    <x v="0"/>
    <x v="0"/>
    <x v="0"/>
    <x v="0"/>
  </r>
  <r>
    <x v="370"/>
    <x v="81"/>
    <s v="Boves Pasta Sauce Roasted Vodka - 24 Oz"/>
    <n v="24"/>
    <s v="ounce"/>
    <d v="2021-10-28T00:00:00"/>
    <d v="2026-02-06T00:00:00"/>
    <s v="instacart"/>
    <n v="53390"/>
    <n v="264562"/>
    <x v="0"/>
    <x v="0"/>
    <x v="0"/>
    <x v="0"/>
  </r>
  <r>
    <x v="371"/>
    <x v="38"/>
    <s v="Mamma DiSalvo's Authentic Original Recipe Italian Sauce"/>
    <n v="32"/>
    <s v="fluid ounce"/>
    <d v="2021-11-03T00:00:00"/>
    <d v="2026-02-05T00:00:00"/>
    <s v="instacart"/>
    <n v="2385620"/>
    <n v="264559"/>
    <x v="1"/>
    <x v="1"/>
    <x v="1"/>
    <x v="1"/>
  </r>
  <r>
    <x v="372"/>
    <x v="75"/>
    <s v="Delgrosso Pasta Sauce, Meat Flavored"/>
    <n v="24"/>
    <s v="ounce"/>
    <d v="2021-10-28T00:00:00"/>
    <d v="2026-02-06T00:00:00"/>
    <s v="instacart"/>
    <n v="3363866"/>
    <n v="264453"/>
    <x v="1"/>
    <x v="0"/>
    <x v="1"/>
    <x v="0"/>
  </r>
  <r>
    <x v="373"/>
    <x v="114"/>
    <s v="Hoboken Farms Low Sodium Marinara Sauce, 25 oz"/>
    <n v="25"/>
    <s v="ounce"/>
    <d v="2021-10-31T00:00:00"/>
    <d v="2026-02-06T00:00:00"/>
    <s v="instacart"/>
    <n v="17867975"/>
    <n v="261801"/>
    <x v="1"/>
    <x v="0"/>
    <x v="1"/>
    <x v="0"/>
  </r>
  <r>
    <x v="374"/>
    <x v="152"/>
    <s v="Giovanni Rana Homestyle Sauce Meat Lovers Premium Pasta Topping Jar (Share Size, 11oz)"/>
    <n v="11"/>
    <s v="ounce"/>
    <d v="2021-10-28T00:00:00"/>
    <d v="2024-03-21T00:00:00"/>
    <s v="instacart"/>
    <s v=""/>
    <n v="266440"/>
    <x v="1"/>
    <x v="0"/>
    <x v="1"/>
    <x v="0"/>
  </r>
  <r>
    <x v="375"/>
    <x v="141"/>
    <s v="Vesper Brothers, Sauce Tomato Signature, 24 Ounce-Best of America"/>
    <n v="24"/>
    <s v="ounce"/>
    <d v="2021-10-31T00:00:00"/>
    <d v="2026-02-06T00:00:00"/>
    <s v="instacart"/>
    <n v="3203826"/>
    <n v="262247"/>
    <x v="1"/>
    <x v="0"/>
    <x v="1"/>
    <x v="0"/>
  </r>
  <r>
    <x v="376"/>
    <x v="0"/>
    <s v="Francesco Rinaldi Pasta Sauce, Original Recipe 24 oz"/>
    <n v="24"/>
    <s v="ounce"/>
    <d v="2021-10-28T00:00:00"/>
    <d v="2026-02-06T00:00:00"/>
    <s v="instacart"/>
    <n v="39359"/>
    <n v="266373"/>
    <x v="0"/>
    <x v="0"/>
    <x v="0"/>
    <x v="0"/>
  </r>
  <r>
    <x v="377"/>
    <x v="153"/>
    <s v="Classico Tomato and Basil Pasta Sauce (32 oz., 3 pk.)"/>
    <m/>
    <m/>
    <d v="2021-10-28T00:00:00"/>
    <d v="2024-02-08T00:00:00"/>
    <s v="instacart"/>
    <s v=""/>
    <n v="261651"/>
    <x v="0"/>
    <x v="0"/>
    <x v="0"/>
    <x v="0"/>
  </r>
  <r>
    <x v="378"/>
    <x v="24"/>
    <s v="Hunt's Pasta Sauce, Mushroom 24 oz"/>
    <n v="24"/>
    <s v="ounce"/>
    <d v="2021-10-28T00:00:00"/>
    <d v="2026-02-06T00:00:00"/>
    <s v="instacart"/>
    <n v="43574"/>
    <n v="262283"/>
    <x v="0"/>
    <x v="0"/>
    <x v="0"/>
    <x v="0"/>
  </r>
  <r>
    <x v="379"/>
    <x v="82"/>
    <s v="TUTTOROSSO TRADITIONAL PASTA SAUCE"/>
    <n v="24"/>
    <s v="ounce"/>
    <d v="2021-10-28T00:00:00"/>
    <d v="2026-02-06T00:00:00"/>
    <s v="instacart"/>
    <n v="98525"/>
    <n v="264761"/>
    <x v="0"/>
    <x v="0"/>
    <x v="0"/>
    <x v="0"/>
  </r>
  <r>
    <x v="380"/>
    <x v="54"/>
    <s v="Carbone World Famous Spicy Vodka Sauce, 24 oz"/>
    <n v="24"/>
    <s v="ounce"/>
    <d v="2023-06-21T00:00:00"/>
    <d v="2026-02-07T00:00:00"/>
    <s v="instacart"/>
    <n v="31793735"/>
    <n v="261677"/>
    <x v="0"/>
    <x v="0"/>
    <x v="0"/>
    <x v="0"/>
  </r>
  <r>
    <x v="381"/>
    <x v="5"/>
    <s v="Prego - Pasta Sauce - Mushroom &amp; Herb"/>
    <n v="21.809698000000001"/>
    <s v="fluid ounce"/>
    <d v="2021-10-28T00:00:00"/>
    <d v="2026-02-05T00:00:00"/>
    <s v="instacart"/>
    <s v=""/>
    <n v="261872"/>
    <x v="1"/>
    <x v="0"/>
    <x v="1"/>
    <x v="0"/>
  </r>
  <r>
    <x v="382"/>
    <x v="115"/>
    <s v="Sauz Marinara Sauce Summer Lemon - 25 OZ"/>
    <n v="25"/>
    <s v="ounce"/>
    <d v="2024-03-07T00:00:00"/>
    <d v="2026-02-06T00:00:00"/>
    <s v="instacart"/>
    <n v="32557993"/>
    <n v="261598"/>
    <x v="0"/>
    <x v="0"/>
    <x v="0"/>
    <x v="0"/>
  </r>
  <r>
    <x v="383"/>
    <x v="154"/>
    <s v="Di Bruno Bros. Arrabbiata Spicy Tomato Sauce, 24 oz"/>
    <n v="24"/>
    <s v="ounce"/>
    <d v="2024-10-09T00:00:00"/>
    <d v="2026-02-04T00:00:00"/>
    <s v="instacart"/>
    <n v="56744665"/>
    <n v="261864"/>
    <x v="0"/>
    <x v="0"/>
    <x v="0"/>
    <x v="0"/>
  </r>
  <r>
    <x v="384"/>
    <x v="96"/>
    <s v="Michaels Of Brooklyn Sauce Arrabbiata Jar - 32 Oz"/>
    <n v="32"/>
    <s v="ounce"/>
    <d v="2021-10-28T00:00:00"/>
    <d v="2026-02-06T00:00:00"/>
    <s v="instacart"/>
    <n v="17330579"/>
    <n v="261860"/>
    <x v="1"/>
    <x v="0"/>
    <x v="1"/>
    <x v="0"/>
  </r>
  <r>
    <x v="385"/>
    <x v="155"/>
    <s v="WALDEN FARMS TOMATO BASIL PASTA SAUCE"/>
    <n v="12"/>
    <s v="ounce"/>
    <d v="2021-10-28T00:00:00"/>
    <d v="2026-02-05T00:00:00"/>
    <s v="instacart"/>
    <n v="511281"/>
    <n v="266323"/>
    <x v="0"/>
    <x v="0"/>
    <x v="0"/>
    <x v="0"/>
  </r>
  <r>
    <x v="386"/>
    <x v="156"/>
    <s v="Ethnic Cottage Marinara Jersey Tomato Sauce, 25 oz"/>
    <n v="25"/>
    <s v="ounce"/>
    <d v="2021-10-31T00:00:00"/>
    <d v="2026-02-06T00:00:00"/>
    <s v="instacart"/>
    <n v="138168"/>
    <n v="264565"/>
    <x v="0"/>
    <x v="0"/>
    <x v="0"/>
    <x v="0"/>
  </r>
  <r>
    <x v="387"/>
    <x v="40"/>
    <s v="Muir Glen Organic Classic Marinara Pasta Sauce, No Sugar Added, 23.5 oz."/>
    <n v="23.5"/>
    <s v="ounce"/>
    <d v="2021-10-28T00:00:00"/>
    <d v="2026-02-06T00:00:00"/>
    <s v="instacart"/>
    <n v="27744073"/>
    <n v="266297"/>
    <x v="0"/>
    <x v="0"/>
    <x v="0"/>
    <x v="0"/>
  </r>
  <r>
    <x v="388"/>
    <x v="54"/>
    <s v="Carbone Classic Vodka Sauce, 24 oz"/>
    <n v="24"/>
    <s v="ounce"/>
    <d v="2024-05-01T00:00:00"/>
    <d v="2026-02-07T00:00:00"/>
    <s v="instacart"/>
    <n v="42699552"/>
    <n v="266374"/>
    <x v="0"/>
    <x v="0"/>
    <x v="0"/>
    <x v="0"/>
  </r>
  <r>
    <x v="389"/>
    <x v="127"/>
    <s v="Silver Palate Roasted Garlic Pasta Sauce - 25 OZ"/>
    <n v="25"/>
    <s v="ounce"/>
    <d v="2021-10-28T00:00:00"/>
    <d v="2026-02-06T00:00:00"/>
    <s v="instacart"/>
    <n v="226683"/>
    <n v="264082"/>
    <x v="1"/>
    <x v="0"/>
    <x v="1"/>
    <x v="0"/>
  </r>
  <r>
    <x v="390"/>
    <x v="58"/>
    <s v="Fody Plant-Based Bolognese Sensitive Pasta Sauce 19.4 oz"/>
    <n v="19.399999999999999"/>
    <s v="ounce"/>
    <d v="2021-10-28T00:00:00"/>
    <d v="2026-02-06T00:00:00"/>
    <s v="instacart"/>
    <n v="24837786"/>
    <n v="266450"/>
    <x v="0"/>
    <x v="0"/>
    <x v="0"/>
    <x v="0"/>
  </r>
  <r>
    <x v="391"/>
    <x v="157"/>
    <s v="Montova Pasta Sauce Organic Tomato Basil"/>
    <n v="17"/>
    <s v="ounce"/>
    <d v="2021-10-31T00:00:00"/>
    <d v="2025-10-03T00:00:00"/>
    <s v="instacart"/>
    <s v=""/>
    <n v="264239"/>
    <x v="0"/>
    <x v="0"/>
    <x v="0"/>
    <x v="0"/>
  </r>
  <r>
    <x v="392"/>
    <x v="99"/>
    <s v="DeLallo Pomodoro Fresco, Spicy Vodka"/>
    <n v="25.25"/>
    <s v="ounce"/>
    <d v="2022-06-20T00:00:00"/>
    <d v="2026-02-06T00:00:00"/>
    <s v="instacart"/>
    <n v="25900539"/>
    <n v="264470"/>
    <x v="1"/>
    <x v="0"/>
    <x v="1"/>
    <x v="0"/>
  </r>
  <r>
    <x v="393"/>
    <x v="158"/>
    <s v="Tonelli Marinara Sauce Original - 25 Oz"/>
    <n v="24"/>
    <s v="ounce"/>
    <d v="2021-10-28T00:00:00"/>
    <d v="2026-02-06T00:00:00"/>
    <s v="instacart"/>
    <n v="307956"/>
    <n v="266381"/>
    <x v="1"/>
    <x v="0"/>
    <x v="1"/>
    <x v="0"/>
  </r>
  <r>
    <x v="394"/>
    <x v="32"/>
    <s v="Mid's Pasta Sauce, Marinara, Spicy"/>
    <n v="28"/>
    <s v="ounce"/>
    <d v="2025-07-16T00:00:00"/>
    <d v="2026-02-06T00:00:00"/>
    <s v="instacart"/>
    <s v=""/>
    <n v="262125"/>
    <x v="1"/>
    <x v="0"/>
    <x v="1"/>
    <x v="0"/>
  </r>
  <r>
    <x v="395"/>
    <x v="38"/>
    <s v="Red Gold Spaghetti Sauce"/>
    <n v="106"/>
    <s v="ounce"/>
    <d v="2022-06-22T00:00:00"/>
    <d v="2025-12-08T00:00:00"/>
    <s v="instacart"/>
    <s v=""/>
    <n v="266421"/>
    <x v="1"/>
    <x v="1"/>
    <x v="1"/>
    <x v="1"/>
  </r>
  <r>
    <x v="396"/>
    <x v="120"/>
    <s v="Yo Mama's Foods Keto Marinara Pasta Sauce, 12 PK"/>
    <m/>
    <m/>
    <d v="2023-04-03T00:00:00"/>
    <d v="2023-06-22T00:00:00"/>
    <s v="instacart"/>
    <s v=""/>
    <n v="266437"/>
    <x v="0"/>
    <x v="0"/>
    <x v="0"/>
    <x v="0"/>
  </r>
  <r>
    <x v="397"/>
    <x v="6"/>
    <s v="Bertolli Vineyard Marinara Sauce, 24 oz"/>
    <n v="24"/>
    <s v="ounce"/>
    <d v="2021-10-28T00:00:00"/>
    <d v="2026-02-06T00:00:00"/>
    <s v="instacart"/>
    <n v="73887"/>
    <n v="264311"/>
    <x v="0"/>
    <x v="0"/>
    <x v="0"/>
    <x v="0"/>
  </r>
  <r>
    <x v="398"/>
    <x v="6"/>
    <s v="Bertolli Pasta Sauce Variety Pack, Tomato &amp; Basil and Olive Oil &amp; Garlic, 3 pk./24 oz."/>
    <n v="0.125"/>
    <s v="ounce"/>
    <d v="2025-02-21T00:00:00"/>
    <d v="2026-01-23T00:00:00"/>
    <s v="instacart"/>
    <s v=""/>
    <n v="266488"/>
    <x v="0"/>
    <x v="0"/>
    <x v="0"/>
    <x v="0"/>
  </r>
  <r>
    <x v="399"/>
    <x v="15"/>
    <s v="Ragu Sauce, Flavored with Meat"/>
    <n v="66"/>
    <s v="ounce"/>
    <d v="2021-10-28T00:00:00"/>
    <d v="2026-02-07T00:00:00"/>
    <s v="instacart"/>
    <n v="196359"/>
    <n v="264202"/>
    <x v="0"/>
    <x v="0"/>
    <x v="0"/>
    <x v="0"/>
  </r>
  <r>
    <x v="400"/>
    <x v="10"/>
    <s v="Cento Marinara Pasta Sauce, 18 oz"/>
    <m/>
    <m/>
    <d v="2022-04-17T00:00:00"/>
    <d v="2023-11-01T00:00:00"/>
    <s v="instacart"/>
    <s v=""/>
    <n v="266852"/>
    <x v="1"/>
    <x v="0"/>
    <x v="1"/>
    <x v="0"/>
  </r>
  <r>
    <x v="401"/>
    <x v="7"/>
    <s v="Rao's Homemade Bolognese Sauce 24 oz, Tomato Sauce, All Purpose, Keto Friendly Pasta Sauce, Premium Quality Tomatoes from Italy, Beef, Pork &amp; Pancetta"/>
    <n v="24"/>
    <s v="ounce"/>
    <d v="2021-11-01T00:00:00"/>
    <d v="2026-02-04T00:00:00"/>
    <s v="instacart"/>
    <n v="18957838"/>
    <n v="264104"/>
    <x v="1"/>
    <x v="0"/>
    <x v="1"/>
    <x v="0"/>
  </r>
  <r>
    <x v="402"/>
    <x v="159"/>
    <s v="Montebello Sauce Pasta Basil Marnra - 19.75 Oz"/>
    <n v="19.75"/>
    <s v="ounce"/>
    <d v="2021-10-28T00:00:00"/>
    <d v="2025-09-03T00:00:00"/>
    <s v="instacart"/>
    <n v="21195755"/>
    <n v="264551"/>
    <x v="0"/>
    <x v="0"/>
    <x v="0"/>
    <x v="0"/>
  </r>
  <r>
    <x v="403"/>
    <x v="15"/>
    <s v="Ragu Kettle Cooked Roasted Garlic Pasta - 24 Oz"/>
    <n v="24"/>
    <s v="ounce"/>
    <d v="2023-03-28T00:00:00"/>
    <d v="2026-02-07T00:00:00"/>
    <s v="instacart"/>
    <n v="29391546"/>
    <n v="264304"/>
    <x v="1"/>
    <x v="0"/>
    <x v="1"/>
    <x v="0"/>
  </r>
  <r>
    <x v="404"/>
    <x v="160"/>
    <s v="Pasta Too Sauce, Meat Flavored, with Pork"/>
    <n v="26"/>
    <s v="ounce"/>
    <d v="2021-10-28T00:00:00"/>
    <d v="2026-02-06T00:00:00"/>
    <s v="instacart"/>
    <n v="18683588"/>
    <n v="261843"/>
    <x v="0"/>
    <x v="0"/>
    <x v="0"/>
    <x v="0"/>
  </r>
  <r>
    <x v="405"/>
    <x v="32"/>
    <s v="Mid's Pasta Sauce, Hearty Vegetable 28 Oz"/>
    <n v="28"/>
    <s v="ounce"/>
    <d v="2021-10-28T00:00:00"/>
    <d v="2026-02-06T00:00:00"/>
    <s v="instacart"/>
    <n v="30200841"/>
    <n v="261570"/>
    <x v="0"/>
    <x v="0"/>
    <x v="0"/>
    <x v="0"/>
  </r>
  <r>
    <x v="406"/>
    <x v="161"/>
    <s v="The Sonoma Kitchen Cabernet Marinara Sauce"/>
    <n v="24"/>
    <s v="ounce"/>
    <d v="2023-06-21T00:00:00"/>
    <d v="2025-03-05T00:00:00"/>
    <s v="instacart"/>
    <s v=""/>
    <n v="264697"/>
    <x v="0"/>
    <x v="0"/>
    <x v="0"/>
    <x v="0"/>
  </r>
  <r>
    <x v="407"/>
    <x v="162"/>
    <s v="Mimi's Gourmet Pasta Sauce"/>
    <n v="26"/>
    <s v="ounce"/>
    <d v="2021-10-28T00:00:00"/>
    <d v="2026-02-05T00:00:00"/>
    <s v="instacart"/>
    <n v="16939205"/>
    <n v="261596"/>
    <x v="0"/>
    <x v="0"/>
    <x v="0"/>
    <x v="0"/>
  </r>
  <r>
    <x v="408"/>
    <x v="5"/>
    <s v="Prego Pasta Sauce, Italian Tomato Sauce with Fresh Mushrooms, 45 Ounce Jar"/>
    <n v="45"/>
    <s v="ounce"/>
    <d v="2021-10-28T00:00:00"/>
    <d v="2026-02-07T00:00:00"/>
    <s v="instacart"/>
    <n v="39366"/>
    <n v="261829"/>
    <x v="0"/>
    <x v="0"/>
    <x v="0"/>
    <x v="0"/>
  </r>
  <r>
    <x v="409"/>
    <x v="7"/>
    <s v="Rao's Homemade, Marinara Sauce, 15.5 oz"/>
    <n v="15.5"/>
    <s v="ounce"/>
    <d v="2021-10-28T00:00:00"/>
    <d v="2026-02-04T00:00:00"/>
    <s v="instacart"/>
    <n v="98551"/>
    <n v="264211"/>
    <x v="1"/>
    <x v="0"/>
    <x v="1"/>
    <x v="0"/>
  </r>
  <r>
    <x v="410"/>
    <x v="63"/>
    <s v="Victoria Sauce Marinara Low Sodium Jar - 24 Oz"/>
    <n v="24"/>
    <s v="ounce"/>
    <d v="2021-10-28T00:00:00"/>
    <d v="2026-02-06T00:00:00"/>
    <s v="instacart"/>
    <n v="98564"/>
    <n v="266648"/>
    <x v="0"/>
    <x v="0"/>
    <x v="0"/>
    <x v="0"/>
  </r>
  <r>
    <x v="411"/>
    <x v="38"/>
    <s v="Mamma DiSalvo's Authentic Original Recipe Marinara Sauce"/>
    <n v="32"/>
    <s v="fluid ounce"/>
    <d v="2021-11-03T00:00:00"/>
    <d v="2026-02-05T00:00:00"/>
    <s v="instacart"/>
    <n v="16314288"/>
    <n v="264046"/>
    <x v="0"/>
    <x v="1"/>
    <x v="0"/>
    <x v="1"/>
  </r>
  <r>
    <x v="412"/>
    <x v="163"/>
    <s v="Lucini Italia Roasted Garlic Marinara Organic Sauce"/>
    <n v="25.5"/>
    <s v="ounce"/>
    <d v="2021-10-28T00:00:00"/>
    <d v="2026-02-06T00:00:00"/>
    <s v="instacart"/>
    <n v="53405"/>
    <n v="264545"/>
    <x v="1"/>
    <x v="0"/>
    <x v="1"/>
    <x v="0"/>
  </r>
  <r>
    <x v="413"/>
    <x v="19"/>
    <s v="Classico Four Cheese Pasta Sauce, 3 pk./32 oz."/>
    <n v="96"/>
    <s v="ounce"/>
    <d v="2023-09-28T00:00:00"/>
    <d v="2026-01-23T00:00:00"/>
    <s v="instacart"/>
    <s v=""/>
    <n v="261887"/>
    <x v="0"/>
    <x v="0"/>
    <x v="0"/>
    <x v="0"/>
  </r>
  <r>
    <x v="414"/>
    <x v="120"/>
    <s v="Yo Mama's Foods Keto Tomato Basil Pasta And Spaghetti Sauce, 3 PK"/>
    <m/>
    <m/>
    <d v="2023-04-03T00:00:00"/>
    <d v="2023-04-07T00:00:00"/>
    <s v="instacart"/>
    <s v=""/>
    <n v="261655"/>
    <x v="1"/>
    <x v="0"/>
    <x v="1"/>
    <x v="0"/>
  </r>
  <r>
    <x v="415"/>
    <x v="45"/>
    <s v="PregoÂ® Traditional Sensitive Recipe Low Fodmap Pasta Sauce 23.750 oz"/>
    <n v="23.75"/>
    <s v="ounce"/>
    <d v="2021-10-28T00:00:00"/>
    <d v="2026-02-07T00:00:00"/>
    <s v="instacart"/>
    <n v="18508239"/>
    <n v="264263"/>
    <x v="0"/>
    <x v="0"/>
    <x v="0"/>
    <x v="0"/>
  </r>
  <r>
    <x v="416"/>
    <x v="101"/>
    <s v="Cucina &amp; Amore Pasta Sauce Italian Basilico Tomato Basil &amp; Garlic Jar - 16.8 Oz"/>
    <n v="16.8"/>
    <s v="ounce"/>
    <d v="2021-10-28T00:00:00"/>
    <d v="2026-02-06T00:00:00"/>
    <s v="instacart"/>
    <n v="80809"/>
    <n v="266334"/>
    <x v="1"/>
    <x v="0"/>
    <x v="1"/>
    <x v="0"/>
  </r>
  <r>
    <x v="417"/>
    <x v="164"/>
    <s v="Frik &amp; Frak Sauce, Classic Marinara"/>
    <n v="24"/>
    <s v="ounce"/>
    <d v="2021-10-31T00:00:00"/>
    <d v="2026-02-06T00:00:00"/>
    <s v="instacart"/>
    <n v="19403194"/>
    <n v="261523"/>
    <x v="0"/>
    <x v="0"/>
    <x v="0"/>
    <x v="0"/>
  </r>
  <r>
    <x v="418"/>
    <x v="165"/>
    <s v="ORGANICO BELLO Organic Mama's Recipe Pasta Sauce, 25 OZ"/>
    <n v="25"/>
    <s v="ounce"/>
    <d v="2023-11-16T00:00:00"/>
    <d v="2026-02-06T00:00:00"/>
    <s v="instacart"/>
    <s v=""/>
    <n v="261564"/>
    <x v="1"/>
    <x v="0"/>
    <x v="1"/>
    <x v="0"/>
  </r>
  <r>
    <x v="419"/>
    <x v="34"/>
    <s v="Newman's Own Organic Pasta Sauce, Marinara"/>
    <n v="23.5"/>
    <s v="ounce"/>
    <d v="2021-10-28T00:00:00"/>
    <d v="2026-02-06T00:00:00"/>
    <s v="instacart"/>
    <n v="16754079"/>
    <n v="261879"/>
    <x v="0"/>
    <x v="0"/>
    <x v="0"/>
    <x v="0"/>
  </r>
  <r>
    <x v="420"/>
    <x v="166"/>
    <s v="Heirloom Tomato Sauce, 15 OZ"/>
    <n v="15"/>
    <s v="ounce"/>
    <d v="2021-10-31T00:00:00"/>
    <d v="2026-02-04T00:00:00"/>
    <s v="instacart"/>
    <s v="20955125, 3352252"/>
    <s v="266398, 266397"/>
    <x v="0"/>
    <x v="0"/>
    <x v="0"/>
    <x v="0"/>
  </r>
  <r>
    <x v="421"/>
    <x v="32"/>
    <s v="Mid's Pasta Sauce, Tomato &amp; Roasted Garlic 28 Oz"/>
    <n v="28"/>
    <s v="ounce"/>
    <d v="2024-05-19T00:00:00"/>
    <d v="2026-02-06T00:00:00"/>
    <s v="instacart"/>
    <n v="45792140"/>
    <n v="261556"/>
    <x v="1"/>
    <x v="0"/>
    <x v="1"/>
    <x v="0"/>
  </r>
  <r>
    <x v="422"/>
    <x v="7"/>
    <s v="Rao's Homemade Marinara Sauce, 24 oz, All Purpose Tomato Sauce, Pasta Sauce, Carb Conscious, Keto Friendly, All Natural, Premium Quality, With Italian Tomatoes &amp; Olive Oil"/>
    <n v="24"/>
    <s v="ounce"/>
    <d v="2021-10-28T00:00:00"/>
    <d v="2026-02-04T00:00:00"/>
    <s v="instacart"/>
    <n v="24808"/>
    <n v="266907"/>
    <x v="0"/>
    <x v="0"/>
    <x v="0"/>
    <x v="0"/>
  </r>
  <r>
    <x v="423"/>
    <x v="12"/>
    <s v="Orti Di Calabria Butternut Squash Pasta Sauce, 24.3 oz"/>
    <n v="24.3"/>
    <s v="ounce"/>
    <d v="2021-10-28T00:00:00"/>
    <d v="2026-02-05T00:00:00"/>
    <s v="instacart"/>
    <n v="19337574"/>
    <n v="264122"/>
    <x v="1"/>
    <x v="0"/>
    <x v="1"/>
    <x v="0"/>
  </r>
  <r>
    <x v="424"/>
    <x v="23"/>
    <s v="Gino Angelini Foods Pasta Sauce Pomodorini - 24 Oz"/>
    <n v="25"/>
    <s v="ounce"/>
    <d v="2022-10-27T00:00:00"/>
    <d v="2026-02-06T00:00:00"/>
    <s v="instacart"/>
    <n v="26221407"/>
    <n v="266422"/>
    <x v="1"/>
    <x v="0"/>
    <x v="1"/>
    <x v="0"/>
  </r>
  <r>
    <x v="425"/>
    <x v="167"/>
    <s v="Bono Pasta Sauce, Roasted Garlic 24 oz"/>
    <n v="24"/>
    <s v="ounce"/>
    <d v="2021-10-28T00:00:00"/>
    <d v="2026-02-05T00:00:00"/>
    <s v="instacart"/>
    <n v="21551676"/>
    <n v="264638"/>
    <x v="1"/>
    <x v="0"/>
    <x v="1"/>
    <x v="0"/>
  </r>
  <r>
    <x v="426"/>
    <x v="51"/>
    <s v="Organicville Organic Pasta Sauce Tomato Basil"/>
    <n v="24"/>
    <s v="ounce"/>
    <d v="2021-10-28T00:00:00"/>
    <d v="2025-10-23T00:00:00"/>
    <s v="instacart"/>
    <s v=""/>
    <n v="264708"/>
    <x v="0"/>
    <x v="0"/>
    <x v="0"/>
    <x v="0"/>
  </r>
  <r>
    <x v="427"/>
    <x v="41"/>
    <s v="Nonna Pia's - Puttansca Pasta Sauce"/>
    <n v="22.3169"/>
    <s v="fluid ounce"/>
    <d v="2025-04-10T00:00:00"/>
    <d v="2025-10-16T00:00:00"/>
    <s v="instacart"/>
    <s v=""/>
    <n v="266459"/>
    <x v="1"/>
    <x v="0"/>
    <x v="1"/>
    <x v="0"/>
  </r>
  <r>
    <x v="428"/>
    <x v="120"/>
    <s v="Yo Mama's Foods Keto Tomato Basil Pasta And Spaghetti Sauce, 6 PK"/>
    <m/>
    <m/>
    <d v="2023-04-03T00:00:00"/>
    <d v="2023-04-07T00:00:00"/>
    <s v="instacart"/>
    <s v=""/>
    <n v="264100"/>
    <x v="1"/>
    <x v="0"/>
    <x v="1"/>
    <x v="0"/>
  </r>
  <r>
    <x v="429"/>
    <x v="6"/>
    <s v="Bertolli Sauce, Roasted Garlic 23 oz"/>
    <n v="23"/>
    <s v="ounce"/>
    <d v="2021-10-28T00:00:00"/>
    <d v="2026-02-06T00:00:00"/>
    <s v="instacart"/>
    <n v="17066472"/>
    <n v="264477"/>
    <x v="0"/>
    <x v="0"/>
    <x v="0"/>
    <x v="0"/>
  </r>
  <r>
    <x v="430"/>
    <x v="24"/>
    <s v="Hunt's Premium Four Cheese Pasta Sauce"/>
    <n v="24"/>
    <s v="ounce"/>
    <d v="2021-10-28T00:00:00"/>
    <d v="2026-02-07T00:00:00"/>
    <s v="instacart"/>
    <n v="39390"/>
    <n v="264289"/>
    <x v="1"/>
    <x v="0"/>
    <x v="1"/>
    <x v="0"/>
  </r>
  <r>
    <x v="431"/>
    <x v="5"/>
    <s v="Prego Pasta Sauce, Italian Tomato Sauce with Meat, 45 Ounce Jar"/>
    <n v="45"/>
    <s v="ounce"/>
    <d v="2021-10-28T00:00:00"/>
    <d v="2026-02-07T00:00:00"/>
    <s v="instacart"/>
    <n v="39361"/>
    <n v="264476"/>
    <x v="0"/>
    <x v="0"/>
    <x v="0"/>
    <x v="0"/>
  </r>
  <r>
    <x v="432"/>
    <x v="168"/>
    <s v="Sun of Italy Marinara Pasta Sauce"/>
    <n v="24"/>
    <s v="ounce"/>
    <d v="2021-10-31T00:00:00"/>
    <d v="2026-02-04T00:00:00"/>
    <s v="instacart"/>
    <s v=""/>
    <n v="266279"/>
    <x v="1"/>
    <x v="0"/>
    <x v="1"/>
    <x v="0"/>
  </r>
  <r>
    <x v="433"/>
    <x v="38"/>
    <s v="Italiamo cherry tomato sauce"/>
    <n v="11.6"/>
    <s v="ounce"/>
    <d v="2023-04-17T00:00:00"/>
    <d v="2026-02-06T00:00:00"/>
    <s v="instacart"/>
    <s v=""/>
    <n v="261493"/>
    <x v="0"/>
    <x v="1"/>
    <x v="0"/>
    <x v="1"/>
  </r>
  <r>
    <x v="434"/>
    <x v="69"/>
    <s v="Gefn Ns Pasta Sauce - 25 Oz"/>
    <n v="25"/>
    <s v="ounce"/>
    <d v="2021-10-28T00:00:00"/>
    <d v="2026-02-06T00:00:00"/>
    <s v="instacart"/>
    <s v=""/>
    <n v="262059"/>
    <x v="1"/>
    <x v="0"/>
    <x v="1"/>
    <x v="0"/>
  </r>
  <r>
    <x v="435"/>
    <x v="6"/>
    <s v="Bertolli Organic Olive Oil, Basil and Garlic Sauce, 3 pk./24 oz."/>
    <n v="3"/>
    <s v="count"/>
    <d v="2021-10-28T00:00:00"/>
    <d v="2026-01-23T00:00:00"/>
    <s v="instacart"/>
    <s v=""/>
    <n v="261657"/>
    <x v="0"/>
    <x v="0"/>
    <x v="0"/>
    <x v="0"/>
  </r>
  <r>
    <x v="436"/>
    <x v="169"/>
    <s v="Pinton Salas para Pastas"/>
    <n v="14"/>
    <s v="ounce"/>
    <d v="2023-08-16T00:00:00"/>
    <d v="2026-02-06T00:00:00"/>
    <s v="instacart"/>
    <s v=""/>
    <n v="264124"/>
    <x v="0"/>
    <x v="0"/>
    <x v="0"/>
    <x v="0"/>
  </r>
  <r>
    <x v="437"/>
    <x v="170"/>
    <s v="Sal Judy Hs Chunky Sauce"/>
    <n v="25"/>
    <s v="ounce"/>
    <d v="2021-10-28T00:00:00"/>
    <d v="2026-02-04T00:00:00"/>
    <s v="instacart"/>
    <n v="18520527"/>
    <n v="261704"/>
    <x v="0"/>
    <x v="0"/>
    <x v="0"/>
    <x v="0"/>
  </r>
  <r>
    <x v="438"/>
    <x v="0"/>
    <s v="Francesco Rinaldi Pasta Sauce, Traditional"/>
    <n v="45"/>
    <s v="ounce"/>
    <d v="2021-10-28T00:00:00"/>
    <d v="2026-02-06T00:00:00"/>
    <s v="instacart"/>
    <n v="73926"/>
    <n v="261900"/>
    <x v="1"/>
    <x v="0"/>
    <x v="1"/>
    <x v="0"/>
  </r>
  <r>
    <x v="439"/>
    <x v="50"/>
    <s v="TantilloÂ® Reserve Pomodoro Sauce"/>
    <m/>
    <m/>
    <d v="2021-11-01T00:00:00"/>
    <d v="2023-06-11T00:00:00"/>
    <s v="instacart"/>
    <s v=""/>
    <n v="266858"/>
    <x v="0"/>
    <x v="0"/>
    <x v="0"/>
    <x v="0"/>
  </r>
  <r>
    <x v="440"/>
    <x v="32"/>
    <s v="Mids Pasta Sauces Mids Pasta Sauce, 32 oz"/>
    <n v="32"/>
    <s v="ounce"/>
    <d v="2021-10-28T00:00:00"/>
    <d v="2026-02-04T00:00:00"/>
    <s v="instacart"/>
    <s v=""/>
    <n v="264201"/>
    <x v="0"/>
    <x v="0"/>
    <x v="0"/>
    <x v="0"/>
  </r>
  <r>
    <x v="441"/>
    <x v="7"/>
    <s v="Rao's, Arrabbiata Sauce, 15.5 OZ"/>
    <n v="15.5"/>
    <s v="ounce"/>
    <d v="2024-01-31T00:00:00"/>
    <d v="2026-02-04T00:00:00"/>
    <s v="instacart"/>
    <s v=""/>
    <n v="266302"/>
    <x v="1"/>
    <x v="0"/>
    <x v="1"/>
    <x v="0"/>
  </r>
  <r>
    <x v="442"/>
    <x v="171"/>
    <s v="Sauces n Love Pasta Sauces, Arrabbiata"/>
    <n v="15.3"/>
    <s v="ounce"/>
    <d v="2021-10-28T00:00:00"/>
    <d v="2026-02-06T00:00:00"/>
    <s v="instacart"/>
    <s v=""/>
    <n v="264366"/>
    <x v="0"/>
    <x v="0"/>
    <x v="0"/>
    <x v="0"/>
  </r>
  <r>
    <x v="443"/>
    <x v="24"/>
    <s v="ConAgra Foods Hunts Pasta Sauce 26 oz"/>
    <n v="26"/>
    <s v="ounce"/>
    <d v="2021-10-28T00:00:00"/>
    <d v="2026-02-07T00:00:00"/>
    <s v="instacart"/>
    <s v=""/>
    <n v="262246"/>
    <x v="1"/>
    <x v="0"/>
    <x v="1"/>
    <x v="0"/>
  </r>
  <r>
    <x v="444"/>
    <x v="172"/>
    <s v="BELLA ITALIA Calabrian Chile Arrabbiata Pasta Sauce, 15 OZ"/>
    <n v="15"/>
    <s v="ounce"/>
    <d v="2023-10-11T00:00:00"/>
    <d v="2026-02-06T00:00:00"/>
    <s v="instacart"/>
    <n v="33208880"/>
    <n v="262548"/>
    <x v="0"/>
    <x v="0"/>
    <x v="0"/>
    <x v="0"/>
  </r>
  <r>
    <x v="445"/>
    <x v="20"/>
    <s v="Yo Mama's Vodka Tomato Sauce 25 Oz"/>
    <n v="25"/>
    <s v="ounce"/>
    <d v="2021-10-28T00:00:00"/>
    <d v="2026-02-06T00:00:00"/>
    <s v="instacart"/>
    <n v="19634980"/>
    <n v="264206"/>
    <x v="0"/>
    <x v="0"/>
    <x v="0"/>
    <x v="0"/>
  </r>
  <r>
    <x v="446"/>
    <x v="85"/>
    <s v="Cucina Antica - Tomato Basil Sauce"/>
    <n v="22.655035000000002"/>
    <s v="fluid ounce"/>
    <d v="2021-10-28T00:00:00"/>
    <d v="2025-06-01T00:00:00"/>
    <s v="instacart"/>
    <s v=""/>
    <n v="266337"/>
    <x v="1"/>
    <x v="0"/>
    <x v="1"/>
    <x v="0"/>
  </r>
  <r>
    <x v="447"/>
    <x v="13"/>
    <s v="Paesana Pasta Sauce Roasted Garlic - 25 Oz"/>
    <n v="25"/>
    <s v="ounce"/>
    <d v="2021-10-28T00:00:00"/>
    <d v="2026-02-06T00:00:00"/>
    <s v="instacart"/>
    <n v="387001"/>
    <n v="261533"/>
    <x v="0"/>
    <x v="0"/>
    <x v="0"/>
    <x v="0"/>
  </r>
  <r>
    <x v="448"/>
    <x v="147"/>
    <s v="Terlato Kitchen Sauce Pomodoro Jar - 24 Oz"/>
    <n v="24"/>
    <s v="ounce"/>
    <d v="2021-10-28T00:00:00"/>
    <d v="2026-02-05T00:00:00"/>
    <s v="instacart"/>
    <n v="3242671"/>
    <n v="266982"/>
    <x v="1"/>
    <x v="0"/>
    <x v="1"/>
    <x v="0"/>
  </r>
  <r>
    <x v="449"/>
    <x v="46"/>
    <s v="California Olive Ranch Marinara Sauce, California Style 25 oz"/>
    <n v="25"/>
    <s v="ounce"/>
    <d v="2022-02-15T00:00:00"/>
    <d v="2026-02-06T00:00:00"/>
    <s v="instacart"/>
    <n v="27583107"/>
    <n v="264112"/>
    <x v="1"/>
    <x v="0"/>
    <x v="1"/>
    <x v="0"/>
  </r>
  <r>
    <x v="450"/>
    <x v="43"/>
    <s v="Filippo Berio Traditional Pasta Sauce"/>
    <n v="24"/>
    <s v="ounce"/>
    <d v="2024-06-30T00:00:00"/>
    <d v="2026-02-06T00:00:00"/>
    <s v="instacart"/>
    <n v="48715862"/>
    <n v="264286"/>
    <x v="0"/>
    <x v="0"/>
    <x v="0"/>
    <x v="0"/>
  </r>
  <r>
    <x v="451"/>
    <x v="91"/>
    <s v="Stonewall Kitchen Sauce Traditional Marinara Jar - 18.5 Oz"/>
    <n v="18.5"/>
    <s v="ounce"/>
    <d v="2021-10-28T00:00:00"/>
    <d v="2026-02-06T00:00:00"/>
    <s v="instacart"/>
    <s v=""/>
    <n v="266352"/>
    <x v="0"/>
    <x v="0"/>
    <x v="0"/>
    <x v="0"/>
  </r>
  <r>
    <x v="452"/>
    <x v="48"/>
    <s v="Jersey Italian Gravy Clasic Marinara, 6 PK"/>
    <m/>
    <m/>
    <d v="2023-03-24T00:00:00"/>
    <d v="2023-06-22T00:00:00"/>
    <s v="instacart"/>
    <s v=""/>
    <n v="266851"/>
    <x v="1"/>
    <x v="0"/>
    <x v="1"/>
    <x v="0"/>
  </r>
  <r>
    <x v="453"/>
    <x v="38"/>
    <s v="LaRosa Pasta Sauce 16oz"/>
    <n v="16"/>
    <s v="ounce"/>
    <d v="2022-05-18T00:00:00"/>
    <d v="2026-02-04T00:00:00"/>
    <s v="instacart"/>
    <n v="27420926"/>
    <n v="264462"/>
    <x v="0"/>
    <x v="1"/>
    <x v="0"/>
    <x v="1"/>
  </r>
  <r>
    <x v="454"/>
    <x v="113"/>
    <s v="Lucini Sauce, Organic, Spicy Tuscan Tomato 25.5 Oz"/>
    <n v="25.5"/>
    <s v="ounce"/>
    <d v="2021-10-28T00:00:00"/>
    <d v="2026-02-06T00:00:00"/>
    <s v="instacart"/>
    <s v=""/>
    <n v="267046"/>
    <x v="1"/>
    <x v="0"/>
    <x v="1"/>
    <x v="0"/>
  </r>
  <r>
    <x v="455"/>
    <x v="173"/>
    <s v="Mama Valerios Marinara Pasta Sauce"/>
    <n v="24"/>
    <s v="ounce"/>
    <d v="2021-11-01T00:00:00"/>
    <d v="2025-03-23T00:00:00"/>
    <s v="instacart"/>
    <s v=""/>
    <n v="262600"/>
    <x v="1"/>
    <x v="0"/>
    <x v="1"/>
    <x v="0"/>
  </r>
  <r>
    <x v="456"/>
    <x v="19"/>
    <s v="Classico Tomato and Basil Pasta Sauce"/>
    <n v="14"/>
    <s v="ounce"/>
    <d v="2021-10-28T00:00:00"/>
    <d v="2026-02-06T00:00:00"/>
    <s v="instacart"/>
    <n v="80810"/>
    <n v="266280"/>
    <x v="1"/>
    <x v="0"/>
    <x v="1"/>
    <x v="0"/>
  </r>
  <r>
    <x v="457"/>
    <x v="174"/>
    <s v="BarillaÂ® Vero Gustoâ„¢ Heritage Marinara Non-GMO Verified Pasta Sauce"/>
    <n v="20"/>
    <s v="ounce"/>
    <d v="2021-10-28T00:00:00"/>
    <d v="2026-02-06T00:00:00"/>
    <s v="instacart"/>
    <s v=""/>
    <n v="266325"/>
    <x v="0"/>
    <x v="0"/>
    <x v="0"/>
    <x v="0"/>
  </r>
  <r>
    <x v="458"/>
    <x v="6"/>
    <s v="Bertolli Pasta Sauce Variety Pack, Tomato &amp; Basil and Olive Oil &amp; Garlic, 3 pk./24 oz."/>
    <n v="0.125"/>
    <s v="ounce"/>
    <d v="2021-10-28T00:00:00"/>
    <d v="2026-01-23T00:00:00"/>
    <s v="instacart"/>
    <s v=""/>
    <n v="261573"/>
    <x v="1"/>
    <x v="0"/>
    <x v="1"/>
    <x v="0"/>
  </r>
  <r>
    <x v="459"/>
    <x v="4"/>
    <s v="Pasta Sauce Vodka Premium Quality Gourmet"/>
    <m/>
    <m/>
    <d v="2021-10-31T00:00:00"/>
    <d v="2023-07-26T00:00:00"/>
    <s v="instacart"/>
    <s v=""/>
    <n v="262047"/>
    <x v="0"/>
    <x v="0"/>
    <x v="0"/>
    <x v="0"/>
  </r>
  <r>
    <x v="460"/>
    <x v="38"/>
    <s v="Gino Angelini Amatriciana Pasta Sauce GF, 24 oz"/>
    <m/>
    <m/>
    <d v="2021-11-02T00:00:00"/>
    <d v="2023-06-11T00:00:00"/>
    <s v="instacart"/>
    <s v=""/>
    <n v="261817"/>
    <x v="1"/>
    <x v="1"/>
    <x v="1"/>
    <x v="1"/>
  </r>
  <r>
    <x v="461"/>
    <x v="147"/>
    <s v="Terlato Kitchen Sauce Arrabiatta Jar - 24 Oz"/>
    <n v="24"/>
    <s v="ounce"/>
    <d v="2021-10-28T00:00:00"/>
    <d v="2026-02-05T00:00:00"/>
    <s v="instacart"/>
    <n v="3242670"/>
    <n v="262269"/>
    <x v="0"/>
    <x v="0"/>
    <x v="0"/>
    <x v="0"/>
  </r>
  <r>
    <x v="462"/>
    <x v="124"/>
    <s v="Pastene Pasta Sauce, Tomato Garlic 24.3 oz"/>
    <n v="24"/>
    <s v="ounce"/>
    <d v="2021-10-28T00:00:00"/>
    <d v="2026-02-06T00:00:00"/>
    <s v="instacart"/>
    <s v=""/>
    <n v="261821"/>
    <x v="0"/>
    <x v="0"/>
    <x v="0"/>
    <x v="0"/>
  </r>
  <r>
    <x v="463"/>
    <x v="15"/>
    <s v="Ragu Traditional Sauce, Chunky 24 Oz"/>
    <n v="24"/>
    <s v="ounce"/>
    <d v="2021-10-28T00:00:00"/>
    <d v="2026-02-06T00:00:00"/>
    <s v="instacart"/>
    <n v="1334137"/>
    <n v="266284"/>
    <x v="0"/>
    <x v="0"/>
    <x v="0"/>
    <x v="0"/>
  </r>
  <r>
    <x v="464"/>
    <x v="19"/>
    <s v="CLASSICO - Di Capri Sun Dried Tomato Pasta Sauce"/>
    <n v="21.978764999999999"/>
    <s v="fluid ounce"/>
    <d v="2021-10-28T00:00:00"/>
    <d v="2025-01-02T00:00:00"/>
    <s v="instacart"/>
    <s v=""/>
    <n v="266844"/>
    <x v="0"/>
    <x v="0"/>
    <x v="0"/>
    <x v="0"/>
  </r>
  <r>
    <x v="465"/>
    <x v="15"/>
    <s v="Ragu Chunky Super Mushroom Sauce - 24 Ounce - 1 Count"/>
    <n v="24"/>
    <s v="ounce"/>
    <d v="2021-10-28T00:00:00"/>
    <d v="2026-02-07T00:00:00"/>
    <s v="instacart"/>
    <n v="39332"/>
    <n v="261866"/>
    <x v="1"/>
    <x v="0"/>
    <x v="1"/>
    <x v="0"/>
  </r>
  <r>
    <x v="466"/>
    <x v="20"/>
    <s v="Yo Mama's Tomato Sauce, Burgundy Wine, French 25 Oz"/>
    <n v="25"/>
    <s v="ounce"/>
    <d v="2021-10-28T00:00:00"/>
    <d v="2026-02-06T00:00:00"/>
    <s v="instacart"/>
    <n v="18689024"/>
    <n v="266643"/>
    <x v="1"/>
    <x v="0"/>
    <x v="1"/>
    <x v="0"/>
  </r>
  <r>
    <x v="467"/>
    <x v="48"/>
    <s v="Jersey Italian Gravy Arrabiata Sauce, 12 PK"/>
    <m/>
    <m/>
    <d v="2023-03-24T00:00:00"/>
    <d v="2023-06-22T00:00:00"/>
    <s v="instacart"/>
    <s v=""/>
    <n v="262614"/>
    <x v="0"/>
    <x v="0"/>
    <x v="0"/>
    <x v="0"/>
  </r>
  <r>
    <x v="468"/>
    <x v="45"/>
    <s v="PregoÂ® Creamy Tomato Basil Pasta Sauce, 23.5 oz Jar"/>
    <n v="24"/>
    <s v="ounce"/>
    <d v="2022-02-15T00:00:00"/>
    <d v="2026-02-06T00:00:00"/>
    <s v="instacart"/>
    <n v="27126603"/>
    <n v="264351"/>
    <x v="0"/>
    <x v="0"/>
    <x v="0"/>
    <x v="0"/>
  </r>
  <r>
    <x v="469"/>
    <x v="51"/>
    <s v="Organic Ville Sauce Pasta Marinara"/>
    <n v="24"/>
    <s v="ounce"/>
    <d v="2021-10-28T00:00:00"/>
    <d v="2026-02-06T00:00:00"/>
    <s v="instacart"/>
    <n v="24933390"/>
    <n v="266567"/>
    <x v="0"/>
    <x v="0"/>
    <x v="0"/>
    <x v="0"/>
  </r>
  <r>
    <x v="470"/>
    <x v="13"/>
    <s v="Paesana Pasta Sauce Organic Tomato &amp; Basil - 25 Oz"/>
    <n v="25"/>
    <s v="ounce"/>
    <d v="2021-10-28T00:00:00"/>
    <d v="2026-02-06T00:00:00"/>
    <s v="instacart"/>
    <n v="2736390"/>
    <n v="264535"/>
    <x v="1"/>
    <x v="0"/>
    <x v="1"/>
    <x v="0"/>
  </r>
  <r>
    <x v="471"/>
    <x v="175"/>
    <s v="Green Mill Pasta Sauce, Marinara"/>
    <n v="24"/>
    <s v="ounce"/>
    <d v="2021-10-28T00:00:00"/>
    <d v="2026-02-02T00:00:00"/>
    <s v="instacart"/>
    <n v="2798876"/>
    <n v="264195"/>
    <x v="0"/>
    <x v="0"/>
    <x v="0"/>
    <x v="0"/>
  </r>
  <r>
    <x v="472"/>
    <x v="44"/>
    <s v="Botticelli Tomato &amp; Basil Premium Pasta Sauce, 34.8 oz"/>
    <n v="34.799999999999997"/>
    <s v="ounce"/>
    <d v="2021-11-01T00:00:00"/>
    <d v="2025-11-05T00:00:00"/>
    <s v="instacart"/>
    <n v="25392844"/>
    <n v="267049"/>
    <x v="1"/>
    <x v="0"/>
    <x v="1"/>
    <x v="0"/>
  </r>
  <r>
    <x v="473"/>
    <x v="151"/>
    <s v="Fra Diavolo Sauce, 25.5 oz"/>
    <n v="25.5"/>
    <s v="ounce"/>
    <d v="2021-11-08T00:00:00"/>
    <d v="2024-03-09T00:00:00"/>
    <s v="instacart"/>
    <s v=""/>
    <n v="267059"/>
    <x v="0"/>
    <x v="0"/>
    <x v="0"/>
    <x v="0"/>
  </r>
  <r>
    <x v="474"/>
    <x v="176"/>
    <s v="Bionaturae Organic Arrabbiata Pasta Sauce - Tomato Sauce for Spaghetti, Pizza, &amp; Lasagna, Gluten Free, Non GMO, No Added Sugar, Kosher, Glyphosate Free, Made in Italy, Tastes like Homemade - 24 oz Jar"/>
    <n v="24"/>
    <s v="ounce"/>
    <d v="2025-01-22T00:00:00"/>
    <d v="2026-02-06T00:00:00"/>
    <s v="instacart"/>
    <n v="64419192"/>
    <n v="264036"/>
    <x v="0"/>
    <x v="0"/>
    <x v="0"/>
    <x v="0"/>
  </r>
  <r>
    <x v="475"/>
    <x v="47"/>
    <s v="Sonoma Gourmet Roasted Garlic"/>
    <n v="25"/>
    <s v="ounce"/>
    <d v="2021-10-28T00:00:00"/>
    <d v="2026-02-03T00:00:00"/>
    <s v="instacart"/>
    <n v="2219444"/>
    <n v="261685"/>
    <x v="1"/>
    <x v="0"/>
    <x v="1"/>
    <x v="0"/>
  </r>
  <r>
    <x v="476"/>
    <x v="59"/>
    <s v="Cascone's Marinara"/>
    <n v="24"/>
    <s v="ounce"/>
    <d v="2023-11-23T00:00:00"/>
    <d v="2026-02-04T00:00:00"/>
    <s v="instacart"/>
    <n v="28129699"/>
    <n v="261514"/>
    <x v="0"/>
    <x v="0"/>
    <x v="0"/>
    <x v="0"/>
  </r>
  <r>
    <x v="477"/>
    <x v="177"/>
    <s v="Little Italy Bronx Sauce Tomato Basil - 24 Oz"/>
    <n v="24"/>
    <s v="ounce"/>
    <d v="2021-10-28T00:00:00"/>
    <d v="2026-02-06T00:00:00"/>
    <s v="instacart"/>
    <n v="18474772"/>
    <n v="266319"/>
    <x v="1"/>
    <x v="0"/>
    <x v="1"/>
    <x v="0"/>
  </r>
  <r>
    <x v="478"/>
    <x v="19"/>
    <s v="Classico - Tomato &amp; Pesto Sauce"/>
    <n v="20.288091000000001"/>
    <s v="fluid ounce"/>
    <d v="2024-12-05T00:00:00"/>
    <d v="2026-02-05T00:00:00"/>
    <s v="instacart"/>
    <s v=""/>
    <n v="267032"/>
    <x v="0"/>
    <x v="0"/>
    <x v="0"/>
    <x v="0"/>
  </r>
  <r>
    <x v="479"/>
    <x v="38"/>
    <s v="Capozzi's Spicy Marinara Sauce"/>
    <n v="26"/>
    <s v="ounce"/>
    <d v="2021-11-03T00:00:00"/>
    <d v="2026-02-04T00:00:00"/>
    <s v="instacart"/>
    <n v="19739876"/>
    <n v="266934"/>
    <x v="0"/>
    <x v="1"/>
    <x v="0"/>
    <x v="1"/>
  </r>
  <r>
    <x v="480"/>
    <x v="24"/>
    <s v="ConAgra Foods Hunts Premium Pasta Sauce 26.5 oz"/>
    <n v="24"/>
    <s v="ounce"/>
    <d v="2021-10-28T00:00:00"/>
    <d v="2026-02-07T00:00:00"/>
    <s v="instacart"/>
    <n v="43575"/>
    <n v="264642"/>
    <x v="0"/>
    <x v="0"/>
    <x v="0"/>
    <x v="0"/>
  </r>
  <r>
    <x v="481"/>
    <x v="55"/>
    <s v="Cucina Antica Garlic Marinara Sauce, 32 oz"/>
    <n v="32"/>
    <s v="ounce"/>
    <d v="2021-10-28T00:00:00"/>
    <d v="2025-11-22T00:00:00"/>
    <s v="instacart"/>
    <s v=""/>
    <n v="262228"/>
    <x v="1"/>
    <x v="0"/>
    <x v="1"/>
    <x v="0"/>
  </r>
  <r>
    <x v="482"/>
    <x v="38"/>
    <s v="Pompilio's Bolognese Marinara Pasta Sauce"/>
    <n v="26"/>
    <s v="ounce"/>
    <d v="2021-10-31T00:00:00"/>
    <d v="2026-02-05T00:00:00"/>
    <s v="instacart"/>
    <n v="17507598"/>
    <n v="264148"/>
    <x v="1"/>
    <x v="1"/>
    <x v="1"/>
    <x v="1"/>
  </r>
  <r>
    <x v="483"/>
    <x v="124"/>
    <s v="Pastene Sauce, Red Clam, Italian Style 15 oz"/>
    <n v="10.5"/>
    <s v="ounce"/>
    <d v="2021-10-28T00:00:00"/>
    <d v="2026-02-06T00:00:00"/>
    <s v="instacart"/>
    <s v=""/>
    <n v="261684"/>
    <x v="0"/>
    <x v="0"/>
    <x v="0"/>
    <x v="0"/>
  </r>
  <r>
    <x v="484"/>
    <x v="71"/>
    <s v="Racconto Pasta Sauce, Platinum, Marinara 24 oz (1 lb 8 oz) 680 g"/>
    <n v="24"/>
    <s v="ounce"/>
    <d v="2021-10-28T00:00:00"/>
    <d v="2026-02-05T00:00:00"/>
    <s v="instacart"/>
    <n v="91497"/>
    <n v="261555"/>
    <x v="1"/>
    <x v="0"/>
    <x v="1"/>
    <x v="0"/>
  </r>
  <r>
    <x v="485"/>
    <x v="37"/>
    <s v="Primal Kitchen Creamy Sundried Tomato and Herb Sauce, 15 oz"/>
    <n v="15"/>
    <s v="ounce"/>
    <d v="2025-01-22T00:00:00"/>
    <d v="2026-02-06T00:00:00"/>
    <s v="instacart"/>
    <n v="58194576"/>
    <n v="261697"/>
    <x v="1"/>
    <x v="0"/>
    <x v="1"/>
    <x v="0"/>
  </r>
  <r>
    <x v="486"/>
    <x v="96"/>
    <s v="Michaels Of Brooklyn Tomato &amp; Basil, Fresh 32 oz"/>
    <n v="32"/>
    <s v="ounce"/>
    <d v="2021-10-28T00:00:00"/>
    <d v="2026-02-06T00:00:00"/>
    <s v="instacart"/>
    <n v="98570"/>
    <n v="264154"/>
    <x v="0"/>
    <x v="0"/>
    <x v="0"/>
    <x v="0"/>
  </r>
  <r>
    <x v="487"/>
    <x v="96"/>
    <s v="Michaels of Brooklyn Low Sodium Marinara Sauce, 16 oz"/>
    <n v="16"/>
    <s v="ounce"/>
    <d v="2023-02-15T00:00:00"/>
    <d v="2026-02-06T00:00:00"/>
    <s v="instacart"/>
    <n v="19970603"/>
    <n v="264637"/>
    <x v="1"/>
    <x v="0"/>
    <x v="1"/>
    <x v="0"/>
  </r>
  <r>
    <x v="488"/>
    <x v="99"/>
    <s v="De Lallo Clam Sauce, Red, Italian Style 10.5 oz"/>
    <n v="10.5"/>
    <s v="ounce"/>
    <d v="2021-10-28T00:00:00"/>
    <d v="2026-02-06T00:00:00"/>
    <s v="instacart"/>
    <n v="53305"/>
    <n v="267053"/>
    <x v="1"/>
    <x v="0"/>
    <x v="1"/>
    <x v="0"/>
  </r>
  <r>
    <x v="489"/>
    <x v="67"/>
    <s v="Dell Amore Marinara Sauce Sweet Basil &amp; Garlic Jar - 25 Oz"/>
    <n v="25"/>
    <s v="ounce"/>
    <d v="2021-10-28T00:00:00"/>
    <d v="2026-02-06T00:00:00"/>
    <s v="instacart"/>
    <n v="73918"/>
    <n v="264155"/>
    <x v="1"/>
    <x v="0"/>
    <x v="1"/>
    <x v="0"/>
  </r>
  <r>
    <x v="490"/>
    <x v="38"/>
    <s v="Minimalist Marinara Pasta Sauce"/>
    <n v="16"/>
    <s v="ounce"/>
    <d v="2023-04-27T00:00:00"/>
    <d v="2026-02-05T00:00:00"/>
    <s v="instacart"/>
    <s v=""/>
    <n v="261868"/>
    <x v="1"/>
    <x v="1"/>
    <x v="1"/>
    <x v="1"/>
  </r>
  <r>
    <x v="491"/>
    <x v="77"/>
    <s v="Sclafani All Purpose Marinara Sauce, 32 oz"/>
    <n v="32"/>
    <s v="ounce"/>
    <d v="2021-10-31T00:00:00"/>
    <d v="2026-02-06T00:00:00"/>
    <s v="instacart"/>
    <n v="226655"/>
    <n v="264324"/>
    <x v="0"/>
    <x v="0"/>
    <x v="0"/>
    <x v="0"/>
  </r>
  <r>
    <x v="492"/>
    <x v="178"/>
    <s v="Monjunis Pasta Sauce - 15 Oz"/>
    <n v="12.5"/>
    <s v="ounce"/>
    <d v="2022-09-22T00:00:00"/>
    <d v="2026-02-06T00:00:00"/>
    <s v="instacart"/>
    <n v="26648555"/>
    <n v="262586"/>
    <x v="1"/>
    <x v="0"/>
    <x v="1"/>
    <x v="0"/>
  </r>
  <r>
    <x v="493"/>
    <x v="179"/>
    <s v="Pizza Girl Pasta Sauce, Vodka, Organic"/>
    <n v="24"/>
    <s v="ounce"/>
    <d v="2021-11-07T00:00:00"/>
    <d v="2026-02-06T00:00:00"/>
    <s v="instacart"/>
    <n v="20211748"/>
    <n v="266549"/>
    <x v="1"/>
    <x v="0"/>
    <x v="1"/>
    <x v="0"/>
  </r>
  <r>
    <x v="494"/>
    <x v="38"/>
    <s v="Germano's Basilico Tomato Basil Sauce"/>
    <n v="32"/>
    <s v="fluid ounce"/>
    <d v="2021-10-31T00:00:00"/>
    <d v="2026-02-05T00:00:00"/>
    <s v="instacart"/>
    <n v="17183197"/>
    <n v="264134"/>
    <x v="1"/>
    <x v="1"/>
    <x v="1"/>
    <x v="1"/>
  </r>
  <r>
    <x v="495"/>
    <x v="160"/>
    <s v="Pasta Too Vodka Sauce"/>
    <n v="26"/>
    <s v="ounce"/>
    <d v="2021-10-28T00:00:00"/>
    <d v="2026-02-06T00:00:00"/>
    <s v="instacart"/>
    <n v="19347471"/>
    <n v="266416"/>
    <x v="0"/>
    <x v="0"/>
    <x v="0"/>
    <x v="0"/>
  </r>
  <r>
    <x v="496"/>
    <x v="63"/>
    <s v="Victoria Vodka Sauce"/>
    <n v="24"/>
    <s v="ounce"/>
    <d v="2021-10-28T00:00:00"/>
    <d v="2026-02-06T00:00:00"/>
    <s v="instacart"/>
    <n v="98568"/>
    <n v="261714"/>
    <x v="0"/>
    <x v="0"/>
    <x v="0"/>
    <x v="0"/>
  </r>
  <r>
    <x v="497"/>
    <x v="180"/>
    <s v="Jar Goods, Tomato Sauce, Classic Red"/>
    <n v="16"/>
    <s v="ounce"/>
    <d v="2021-10-28T00:00:00"/>
    <d v="2026-02-05T00:00:00"/>
    <s v="instacart"/>
    <n v="263105"/>
    <n v="261497"/>
    <x v="1"/>
    <x v="0"/>
    <x v="1"/>
    <x v="0"/>
  </r>
  <r>
    <x v="498"/>
    <x v="177"/>
    <s v="Little Italy In The Bronx Pasta Sauce 24 oz"/>
    <n v="24"/>
    <s v="ounce"/>
    <d v="2021-10-28T00:00:00"/>
    <d v="2026-02-06T00:00:00"/>
    <s v="instacart"/>
    <n v="18474765"/>
    <n v="264069"/>
    <x v="1"/>
    <x v="0"/>
    <x v="1"/>
    <x v="0"/>
  </r>
  <r>
    <x v="499"/>
    <x v="115"/>
    <s v="Sauz Sage and Thyme Marinara Tomato Sauce - 25oz"/>
    <n v="25"/>
    <s v="ounce"/>
    <d v="2025-08-24T00:00:00"/>
    <d v="2026-01-11T00:00:00"/>
    <s v="instacart"/>
    <n v="81312901"/>
    <n v="266331"/>
    <x v="1"/>
    <x v="0"/>
    <x v="1"/>
    <x v="0"/>
  </r>
  <r>
    <x v="500"/>
    <x v="126"/>
    <s v="Mantova Basil Sauce - 24 Oz"/>
    <n v="24"/>
    <s v="ounce"/>
    <d v="2021-10-31T00:00:00"/>
    <d v="2026-02-06T00:00:00"/>
    <s v="instacart"/>
    <n v="23003558"/>
    <n v="266429"/>
    <x v="0"/>
    <x v="0"/>
    <x v="0"/>
    <x v="0"/>
  </r>
  <r>
    <x v="501"/>
    <x v="181"/>
    <s v="Bongiovi Brand Marinara Pasta Sauce, 24 oz"/>
    <n v="24"/>
    <s v="ounce"/>
    <d v="2021-10-31T00:00:00"/>
    <d v="2024-04-10T00:00:00"/>
    <s v="instacart"/>
    <s v=""/>
    <n v="264244"/>
    <x v="1"/>
    <x v="0"/>
    <x v="1"/>
    <x v="0"/>
  </r>
  <r>
    <x v="502"/>
    <x v="140"/>
    <s v="Mushroom Pepper Sauce, 16 oz"/>
    <n v="16"/>
    <s v="ounce"/>
    <d v="2023-09-29T00:00:00"/>
    <d v="2025-02-21T00:00:00"/>
    <s v="instacart"/>
    <s v=""/>
    <n v="262601"/>
    <x v="0"/>
    <x v="0"/>
    <x v="0"/>
    <x v="0"/>
  </r>
  <r>
    <x v="503"/>
    <x v="19"/>
    <s v="Classico Traditional Sweet Basil Pasta Sauce - 24 Oz"/>
    <n v="24"/>
    <s v="ounce"/>
    <d v="2021-10-28T00:00:00"/>
    <d v="2026-02-07T00:00:00"/>
    <s v="instacart"/>
    <s v="16409282, 34823067"/>
    <s v="262565, 262564"/>
    <x v="0"/>
    <x v="0"/>
    <x v="0"/>
    <x v="0"/>
  </r>
  <r>
    <x v="504"/>
    <x v="37"/>
    <s v="Primal Kitchen - Tomato Basil Marinara"/>
    <n v="23.162237000000001"/>
    <s v="fluid ounce"/>
    <d v="2021-10-28T00:00:00"/>
    <d v="2024-03-04T00:00:00"/>
    <s v="instacart"/>
    <s v=""/>
    <n v="266339"/>
    <x v="0"/>
    <x v="0"/>
    <x v="0"/>
    <x v="0"/>
  </r>
  <r>
    <x v="505"/>
    <x v="5"/>
    <s v="Prego Chunky Tomato - Onion and Garlic Pasta Sauce - 24 Oz"/>
    <n v="24"/>
    <s v="ounce"/>
    <d v="2021-10-28T00:00:00"/>
    <d v="2026-02-06T00:00:00"/>
    <s v="instacart"/>
    <n v="77089"/>
    <n v="264721"/>
    <x v="1"/>
    <x v="0"/>
    <x v="1"/>
    <x v="0"/>
  </r>
  <r>
    <x v="506"/>
    <x v="115"/>
    <s v="Sauz Wild Rosemary Marinara"/>
    <n v="25"/>
    <s v="ounce"/>
    <d v="2024-03-06T00:00:00"/>
    <d v="2026-02-06T00:00:00"/>
    <s v="instacart"/>
    <n v="41163783"/>
    <n v="264128"/>
    <x v="0"/>
    <x v="0"/>
    <x v="0"/>
    <x v="0"/>
  </r>
  <r>
    <x v="507"/>
    <x v="53"/>
    <s v="CARINARA The Original Pasta Sauce"/>
    <n v="25"/>
    <s v="ounce"/>
    <d v="2024-05-30T00:00:00"/>
    <d v="2026-02-04T00:00:00"/>
    <s v="instacart"/>
    <s v=""/>
    <n v="266930"/>
    <x v="0"/>
    <x v="0"/>
    <x v="0"/>
    <x v="0"/>
  </r>
  <r>
    <x v="508"/>
    <x v="182"/>
    <s v="Dairy Free Vodka Sauce, 7.5 OZ"/>
    <n v="7.5"/>
    <s v="ounce"/>
    <d v="2025-09-09T00:00:00"/>
    <d v="2026-02-04T00:00:00"/>
    <s v="instacart"/>
    <s v=""/>
    <n v="261590"/>
    <x v="1"/>
    <x v="0"/>
    <x v="1"/>
    <x v="0"/>
  </r>
  <r>
    <x v="509"/>
    <x v="164"/>
    <s v="Frik And Frak Sauce Handsome Devil"/>
    <n v="24"/>
    <s v="ounce"/>
    <d v="2021-10-31T00:00:00"/>
    <d v="2026-02-06T00:00:00"/>
    <s v="instacart"/>
    <n v="19645810"/>
    <n v="264057"/>
    <x v="0"/>
    <x v="0"/>
    <x v="0"/>
    <x v="0"/>
  </r>
  <r>
    <x v="510"/>
    <x v="0"/>
    <s v="Francesco Rinaldi Garden Herb Sauce, 24 oz"/>
    <n v="24"/>
    <s v="ounce"/>
    <d v="2021-10-28T00:00:00"/>
    <d v="2026-02-06T00:00:00"/>
    <s v="instacart"/>
    <n v="73925"/>
    <n v="264542"/>
    <x v="1"/>
    <x v="0"/>
    <x v="1"/>
    <x v="0"/>
  </r>
  <r>
    <x v="511"/>
    <x v="40"/>
    <s v="Muir Glen Organic Pasta Sauce Italian Herb - 25.5 Oz"/>
    <n v="25.5"/>
    <s v="ounce"/>
    <d v="2021-10-28T00:00:00"/>
    <d v="2026-02-06T00:00:00"/>
    <s v="instacart"/>
    <n v="24835"/>
    <n v="264716"/>
    <x v="1"/>
    <x v="0"/>
    <x v="1"/>
    <x v="0"/>
  </r>
  <r>
    <x v="512"/>
    <x v="95"/>
    <s v="DeNunzioâ€™s Specialty Foods Jarred Marinara Sauce"/>
    <m/>
    <m/>
    <d v="2021-11-01T00:00:00"/>
    <d v="2026-02-06T00:00:00"/>
    <s v="instacart"/>
    <s v=""/>
    <n v="264686"/>
    <x v="0"/>
    <x v="0"/>
    <x v="0"/>
    <x v="0"/>
  </r>
  <r>
    <x v="513"/>
    <x v="183"/>
    <s v="Made With Pasta Sauce, Organic, Roasted Garlic 25 oz"/>
    <n v="25"/>
    <s v="ounce"/>
    <d v="2021-10-28T00:00:00"/>
    <d v="2026-02-06T00:00:00"/>
    <s v="instacart"/>
    <n v="3240105"/>
    <n v="262210"/>
    <x v="1"/>
    <x v="0"/>
    <x v="1"/>
    <x v="0"/>
  </r>
  <r>
    <x v="514"/>
    <x v="184"/>
    <s v="WisePies Spicy Marinara Roasted Red Bell Pepper Pasta Sauce"/>
    <n v="24"/>
    <s v="ounce"/>
    <d v="2024-04-07T00:00:00"/>
    <d v="2025-12-14T00:00:00"/>
    <s v="instacart"/>
    <s v=""/>
    <n v="266573"/>
    <x v="1"/>
    <x v="0"/>
    <x v="1"/>
    <x v="0"/>
  </r>
  <r>
    <x v="515"/>
    <x v="38"/>
    <s v="wise pies hatch grn chile marinara"/>
    <n v="24"/>
    <s v="ounce"/>
    <d v="2023-12-17T00:00:00"/>
    <d v="2026-02-01T00:00:00"/>
    <s v="instacart"/>
    <n v="36513289"/>
    <n v="264141"/>
    <x v="1"/>
    <x v="1"/>
    <x v="1"/>
    <x v="1"/>
  </r>
  <r>
    <x v="516"/>
    <x v="185"/>
    <s v="otamot Spicy Organic Sauce"/>
    <n v="16"/>
    <s v="ounce"/>
    <d v="2021-10-31T00:00:00"/>
    <d v="2024-01-04T00:00:00"/>
    <s v="instacart"/>
    <s v=""/>
    <n v="264434"/>
    <x v="0"/>
    <x v="0"/>
    <x v="0"/>
    <x v="0"/>
  </r>
  <r>
    <x v="517"/>
    <x v="6"/>
    <s v="Bertolli Organic Marinara Sauce with Italian Herbs &amp; Fresh Garlic, 24 oz"/>
    <n v="24"/>
    <s v="ounce"/>
    <d v="2021-10-28T00:00:00"/>
    <d v="2026-02-07T00:00:00"/>
    <s v="instacart"/>
    <n v="21428144"/>
    <n v="264290"/>
    <x v="0"/>
    <x v="0"/>
    <x v="0"/>
    <x v="0"/>
  </r>
  <r>
    <x v="518"/>
    <x v="174"/>
    <s v="Barilla Roasted Garlic Pasta Sauce - 24 Oz"/>
    <n v="24"/>
    <s v="ounce"/>
    <d v="2021-10-28T00:00:00"/>
    <d v="2026-02-06T00:00:00"/>
    <s v="instacart"/>
    <n v="98533"/>
    <n v="264032"/>
    <x v="1"/>
    <x v="0"/>
    <x v="1"/>
    <x v="0"/>
  </r>
  <r>
    <x v="519"/>
    <x v="63"/>
    <s v="Victoria Marinara Sauce"/>
    <n v="40"/>
    <s v="ounce"/>
    <d v="2021-10-30T00:00:00"/>
    <d v="2026-02-06T00:00:00"/>
    <s v="instacart"/>
    <n v="541891"/>
    <n v="266387"/>
    <x v="1"/>
    <x v="0"/>
    <x v="1"/>
    <x v="0"/>
  </r>
  <r>
    <x v="520"/>
    <x v="48"/>
    <s v="Jersey Italian Gravy - 24 Oz"/>
    <n v="24"/>
    <s v="ounce"/>
    <d v="2021-10-28T00:00:00"/>
    <d v="2026-02-06T00:00:00"/>
    <s v="instacart"/>
    <s v=""/>
    <n v="262122"/>
    <x v="1"/>
    <x v="0"/>
    <x v="1"/>
    <x v="0"/>
  </r>
  <r>
    <x v="521"/>
    <x v="186"/>
    <s v="Carfagnas Pasta Sauces 1 qt"/>
    <n v="32"/>
    <s v="ounce"/>
    <d v="2021-10-28T00:00:00"/>
    <d v="2026-02-06T00:00:00"/>
    <s v="instacart"/>
    <s v=""/>
    <n v="266491"/>
    <x v="0"/>
    <x v="0"/>
    <x v="0"/>
    <x v="0"/>
  </r>
  <r>
    <x v="522"/>
    <x v="14"/>
    <s v="Mezzetta Sauce, Roasted Garlic"/>
    <n v="25"/>
    <s v="ounce"/>
    <d v="2021-10-28T00:00:00"/>
    <d v="2026-02-07T00:00:00"/>
    <s v="instacart"/>
    <n v="10008"/>
    <n v="264555"/>
    <x v="0"/>
    <x v="0"/>
    <x v="0"/>
    <x v="0"/>
  </r>
  <r>
    <x v="523"/>
    <x v="163"/>
    <s v="Lucini Italia Organic Tuscan Tomato Sauce 24 oz"/>
    <n v="24"/>
    <s v="ounce"/>
    <d v="2021-10-28T00:00:00"/>
    <d v="2026-02-06T00:00:00"/>
    <s v="instacart"/>
    <n v="16970032"/>
    <n v="262627"/>
    <x v="0"/>
    <x v="0"/>
    <x v="0"/>
    <x v="0"/>
  </r>
  <r>
    <x v="524"/>
    <x v="187"/>
    <s v="Dell Alpe Sauce Tomatoe Basil - 25 Oz"/>
    <n v="25"/>
    <s v="ounce"/>
    <d v="2021-10-29T00:00:00"/>
    <d v="2026-02-05T00:00:00"/>
    <s v="instacart"/>
    <s v=""/>
    <n v="261844"/>
    <x v="0"/>
    <x v="0"/>
    <x v="0"/>
    <x v="0"/>
  </r>
  <r>
    <x v="525"/>
    <x v="83"/>
    <s v="Only Goodness - Organic Roasted Garlic Pasta Sauce"/>
    <n v="22.993169999999999"/>
    <s v="fluid ounce"/>
    <d v="2023-11-03T00:00:00"/>
    <d v="2025-12-04T00:00:00"/>
    <s v="instacart"/>
    <s v=""/>
    <n v="267015"/>
    <x v="1"/>
    <x v="0"/>
    <x v="1"/>
    <x v="0"/>
  </r>
  <r>
    <x v="526"/>
    <x v="19"/>
    <s v="CLASSICO - Di Piemonte Red Wine &amp; Herb Pasta Sauce"/>
    <n v="21.978764999999999"/>
    <s v="fluid ounce"/>
    <d v="2021-10-28T00:00:00"/>
    <d v="2024-11-17T00:00:00"/>
    <s v="instacart"/>
    <s v=""/>
    <n v="264430"/>
    <x v="0"/>
    <x v="0"/>
    <x v="0"/>
    <x v="0"/>
  </r>
  <r>
    <x v="527"/>
    <x v="15"/>
    <s v="Ragu Chunky Tomato, Garlic and Onion Pasta Sauce, Made with Diced Tomatoes, 3 pk./45 oz."/>
    <n v="6.6667000000000004E-2"/>
    <s v="ounce"/>
    <d v="2021-10-28T00:00:00"/>
    <d v="2026-01-23T00:00:00"/>
    <s v="instacart"/>
    <s v=""/>
    <n v="264055"/>
    <x v="0"/>
    <x v="0"/>
    <x v="0"/>
    <x v="0"/>
  </r>
  <r>
    <x v="528"/>
    <x v="40"/>
    <s v="Muir Glen Pasta Sauce, Spicy Arrabbiata, No Sugar Added"/>
    <n v="23.5"/>
    <s v="ounce"/>
    <d v="2021-10-28T00:00:00"/>
    <d v="2026-02-06T00:00:00"/>
    <s v="instacart"/>
    <n v="27747421"/>
    <n v="261587"/>
    <x v="1"/>
    <x v="0"/>
    <x v="1"/>
    <x v="0"/>
  </r>
  <r>
    <x v="529"/>
    <x v="188"/>
    <s v="Primal Kitchen Veggie Marinara Sauce, 15.5 OZ"/>
    <n v="15.5"/>
    <s v="ounce"/>
    <d v="2021-10-28T00:00:00"/>
    <d v="2025-11-22T00:00:00"/>
    <s v="instacart"/>
    <s v=""/>
    <n v="262156"/>
    <x v="0"/>
    <x v="0"/>
    <x v="0"/>
    <x v="0"/>
  </r>
  <r>
    <x v="530"/>
    <x v="15"/>
    <s v="Ragu Old World Style Marinara Sauce - 23.9 Oz"/>
    <n v="23.9"/>
    <s v="ounce"/>
    <d v="2021-10-28T00:00:00"/>
    <d v="2026-02-06T00:00:00"/>
    <s v="instacart"/>
    <n v="143296"/>
    <n v="261624"/>
    <x v="0"/>
    <x v="0"/>
    <x v="0"/>
    <x v="0"/>
  </r>
  <r>
    <x v="531"/>
    <x v="120"/>
    <s v="Yo Mama's Foods Marinara Magnifica Gourmet Pasta Sauce, 2 PK"/>
    <m/>
    <m/>
    <d v="2022-11-01T00:00:00"/>
    <d v="2023-06-22T00:00:00"/>
    <s v="instacart"/>
    <s v=""/>
    <n v="262039"/>
    <x v="0"/>
    <x v="0"/>
    <x v="0"/>
    <x v="0"/>
  </r>
  <r>
    <x v="532"/>
    <x v="0"/>
    <s v="Francesco Rinaldi Marinara Sauce, 45 oz"/>
    <n v="45"/>
    <s v="ounce"/>
    <d v="2021-10-28T00:00:00"/>
    <d v="2026-02-06T00:00:00"/>
    <s v="instacart"/>
    <n v="333922"/>
    <n v="264550"/>
    <x v="0"/>
    <x v="0"/>
    <x v="0"/>
    <x v="0"/>
  </r>
  <r>
    <x v="533"/>
    <x v="10"/>
    <s v="San Marzano Sauce Arrabbiata Jar - 24 Oz"/>
    <n v="24"/>
    <s v="ounce"/>
    <d v="2021-10-30T00:00:00"/>
    <d v="2026-02-06T00:00:00"/>
    <s v="instacart"/>
    <s v=""/>
    <n v="264594"/>
    <x v="1"/>
    <x v="0"/>
    <x v="1"/>
    <x v="0"/>
  </r>
  <r>
    <x v="534"/>
    <x v="76"/>
    <s v="Ferrara Vodka Pasta Sauce, 16 oz"/>
    <n v="16"/>
    <s v="ounce"/>
    <d v="2021-10-31T00:00:00"/>
    <d v="2026-02-04T00:00:00"/>
    <s v="instacart"/>
    <s v=""/>
    <n v="264306"/>
    <x v="1"/>
    <x v="0"/>
    <x v="1"/>
    <x v="0"/>
  </r>
  <r>
    <x v="535"/>
    <x v="189"/>
    <s v="Pemberton's Basil Pomodoro Pasta Sauce"/>
    <n v="24"/>
    <s v="ounce"/>
    <d v="2021-10-29T00:00:00"/>
    <d v="2025-10-22T00:00:00"/>
    <s v="instacart"/>
    <s v=""/>
    <n v="266442"/>
    <x v="1"/>
    <x v="0"/>
    <x v="1"/>
    <x v="0"/>
  </r>
  <r>
    <x v="536"/>
    <x v="190"/>
    <s v="Organic Marinara Pasta Sauce, 20 OZ"/>
    <n v="24"/>
    <s v="ounce"/>
    <d v="2025-01-22T00:00:00"/>
    <d v="2026-02-04T00:00:00"/>
    <s v="instacart"/>
    <n v="54972709"/>
    <n v="262260"/>
    <x v="0"/>
    <x v="0"/>
    <x v="0"/>
    <x v="0"/>
  </r>
  <r>
    <x v="537"/>
    <x v="156"/>
    <s v="Ethnic Cottage Tomato Sauce, Jersey, Vodka"/>
    <n v="25"/>
    <s v="ounce"/>
    <d v="2021-10-31T00:00:00"/>
    <d v="2026-02-06T00:00:00"/>
    <s v="instacart"/>
    <n v="463048"/>
    <n v="264737"/>
    <x v="1"/>
    <x v="0"/>
    <x v="1"/>
    <x v="0"/>
  </r>
  <r>
    <x v="538"/>
    <x v="191"/>
    <s v="Emerils Roasted Gaaahlic Pasta Sauce 25 oz"/>
    <n v="25"/>
    <s v="ounce"/>
    <d v="2021-10-28T00:00:00"/>
    <d v="2026-02-06T00:00:00"/>
    <s v="instacart"/>
    <n v="73921"/>
    <n v="266817"/>
    <x v="0"/>
    <x v="0"/>
    <x v="0"/>
    <x v="0"/>
  </r>
  <r>
    <x v="539"/>
    <x v="13"/>
    <s v="Paesana Sauce Marinara Natrl - 40 Oz"/>
    <n v="40"/>
    <s v="ounce"/>
    <d v="2021-10-29T00:00:00"/>
    <d v="2026-02-05T00:00:00"/>
    <s v="instacart"/>
    <n v="19734542"/>
    <n v="264037"/>
    <x v="1"/>
    <x v="0"/>
    <x v="1"/>
    <x v="0"/>
  </r>
  <r>
    <x v="540"/>
    <x v="192"/>
    <s v="Victoria Organic Pasta Sauce, Tomato Herb, 24 Ounce"/>
    <n v="24"/>
    <s v="ounce"/>
    <d v="2021-10-28T00:00:00"/>
    <d v="2026-02-06T00:00:00"/>
    <s v="instacart"/>
    <s v=""/>
    <n v="261623"/>
    <x v="1"/>
    <x v="0"/>
    <x v="1"/>
    <x v="0"/>
  </r>
  <r>
    <x v="541"/>
    <x v="13"/>
    <s v="Paesana Marinara Low Sodium Pasta Sauce, 25 oz"/>
    <n v="25"/>
    <s v="ounce"/>
    <d v="2021-10-29T00:00:00"/>
    <d v="2026-02-06T00:00:00"/>
    <s v="instacart"/>
    <n v="16240882"/>
    <n v="262543"/>
    <x v="1"/>
    <x v="0"/>
    <x v="1"/>
    <x v="0"/>
  </r>
  <r>
    <x v="542"/>
    <x v="75"/>
    <s v="Del Grosso Chef John's Tomato Basil Sauce 26 oz"/>
    <n v="26"/>
    <s v="ounce"/>
    <d v="2021-10-28T00:00:00"/>
    <d v="2026-02-06T00:00:00"/>
    <s v="instacart"/>
    <n v="95026"/>
    <n v="266545"/>
    <x v="0"/>
    <x v="0"/>
    <x v="0"/>
    <x v="0"/>
  </r>
  <r>
    <x v="543"/>
    <x v="124"/>
    <s v="Pastene Autentico San Marzano Tomato Sauce - 16 Oz"/>
    <n v="16"/>
    <s v="ounce"/>
    <d v="2023-02-12T00:00:00"/>
    <d v="2026-02-05T00:00:00"/>
    <s v="instacart"/>
    <n v="27910528"/>
    <n v="264053"/>
    <x v="0"/>
    <x v="0"/>
    <x v="0"/>
    <x v="0"/>
  </r>
  <r>
    <x v="544"/>
    <x v="38"/>
    <s v="Casa Visco - Sauce Psta Hmstyle"/>
    <n v="32"/>
    <s v="ounce"/>
    <d v="2021-10-28T00:00:00"/>
    <d v="2026-02-06T00:00:00"/>
    <s v="instacart"/>
    <n v="98575"/>
    <n v="261511"/>
    <x v="0"/>
    <x v="1"/>
    <x v="0"/>
    <x v="1"/>
  </r>
  <r>
    <x v="545"/>
    <x v="164"/>
    <s v="Frik &amp; Frak The Sauce Classic Marinara - 24 Oz"/>
    <n v="24"/>
    <s v="ounce"/>
    <d v="2023-08-27T00:00:00"/>
    <d v="2026-02-05T00:00:00"/>
    <s v="instacart"/>
    <n v="19403194"/>
    <n v="266978"/>
    <x v="1"/>
    <x v="0"/>
    <x v="1"/>
    <x v="0"/>
  </r>
  <r>
    <x v="546"/>
    <x v="38"/>
    <s v="Bella Terra Bolognese Sauce - 24 Oz"/>
    <n v="24"/>
    <s v="ounce"/>
    <d v="2022-02-04T00:00:00"/>
    <d v="2024-08-20T00:00:00"/>
    <s v="instacart"/>
    <s v=""/>
    <n v="266444"/>
    <x v="1"/>
    <x v="1"/>
    <x v="1"/>
    <x v="1"/>
  </r>
  <r>
    <x v="547"/>
    <x v="193"/>
    <s v="Roasted Garlic Fra Diavolo, 26 OZ"/>
    <n v="26"/>
    <s v="ounce"/>
    <d v="2021-10-28T00:00:00"/>
    <d v="2026-02-05T00:00:00"/>
    <s v="instacart"/>
    <n v="232484"/>
    <n v="261902"/>
    <x v="0"/>
    <x v="0"/>
    <x v="0"/>
    <x v="0"/>
  </r>
  <r>
    <x v="548"/>
    <x v="45"/>
    <s v="Prego Creamy Tomato Pasta Sauce With Ricotta Cheese, 24 Oz - 23.75OZ"/>
    <n v="23.75"/>
    <s v="ounce"/>
    <d v="2025-03-12T00:00:00"/>
    <d v="2026-02-07T00:00:00"/>
    <s v="instacart"/>
    <n v="64453314"/>
    <n v="261851"/>
    <x v="1"/>
    <x v="0"/>
    <x v="1"/>
    <x v="0"/>
  </r>
  <r>
    <x v="549"/>
    <x v="19"/>
    <s v="Classico Marinara Pasta Sauce with Plum Tomatoes &amp; Olive Oil, 24 oz Jar"/>
    <n v="24"/>
    <s v="ounce"/>
    <d v="2021-10-28T00:00:00"/>
    <d v="2026-02-06T00:00:00"/>
    <s v="instacart"/>
    <n v="98534"/>
    <n v="266358"/>
    <x v="0"/>
    <x v="0"/>
    <x v="0"/>
    <x v="0"/>
  </r>
  <r>
    <x v="550"/>
    <x v="38"/>
    <s v="Gia Russa Vodka Pasta Sauce"/>
    <n v="24"/>
    <s v="ounce"/>
    <d v="2021-10-31T00:00:00"/>
    <d v="2026-02-05T00:00:00"/>
    <s v="instacart"/>
    <n v="270500"/>
    <n v="261891"/>
    <x v="1"/>
    <x v="1"/>
    <x v="1"/>
    <x v="1"/>
  </r>
  <r>
    <x v="551"/>
    <x v="19"/>
    <s v="Classico - Fire Roast Tomato &amp; Garlic Pasta Sauce"/>
    <n v="20.288091000000001"/>
    <s v="fluid ounce"/>
    <d v="2024-12-05T00:00:00"/>
    <d v="2026-02-05T00:00:00"/>
    <s v="instacart"/>
    <s v=""/>
    <n v="261676"/>
    <x v="1"/>
    <x v="0"/>
    <x v="1"/>
    <x v="0"/>
  </r>
  <r>
    <x v="552"/>
    <x v="16"/>
    <s v="MIDS GARLIC &amp; ONION PASTA SAUCE"/>
    <n v="28"/>
    <s v="ounce"/>
    <d v="2021-10-28T00:00:00"/>
    <d v="2026-02-06T00:00:00"/>
    <s v="instacart"/>
    <n v="29624621"/>
    <n v="264147"/>
    <x v="0"/>
    <x v="0"/>
    <x v="0"/>
    <x v="0"/>
  </r>
  <r>
    <x v="553"/>
    <x v="63"/>
    <s v="Vict Ls Tomato Bas"/>
    <n v="24"/>
    <s v="ounce"/>
    <d v="2021-10-31T00:00:00"/>
    <d v="2026-02-06T00:00:00"/>
    <s v="instacart"/>
    <n v="91464"/>
    <n v="264752"/>
    <x v="1"/>
    <x v="0"/>
    <x v="1"/>
    <x v="0"/>
  </r>
  <r>
    <x v="554"/>
    <x v="54"/>
    <s v="Carbone Arrabbiata Sauce - 24 Oz"/>
    <n v="24"/>
    <s v="ounce"/>
    <d v="2021-10-28T00:00:00"/>
    <d v="2026-02-06T00:00:00"/>
    <s v="instacart"/>
    <n v="24598554"/>
    <n v="264717"/>
    <x v="1"/>
    <x v="0"/>
    <x v="1"/>
    <x v="0"/>
  </r>
  <r>
    <x v="555"/>
    <x v="94"/>
    <s v="Mia Cucina Original Marinara Sauce, 24 oz"/>
    <n v="24"/>
    <s v="ounce"/>
    <d v="2021-10-31T00:00:00"/>
    <d v="2026-02-06T00:00:00"/>
    <s v="instacart"/>
    <n v="18074854"/>
    <n v="264552"/>
    <x v="0"/>
    <x v="0"/>
    <x v="0"/>
    <x v="0"/>
  </r>
  <r>
    <x v="556"/>
    <x v="194"/>
    <s v="Boves Of Vermont Sauce Pasta Marinara, 24 oz"/>
    <n v="24"/>
    <s v="ounce"/>
    <d v="2021-10-28T00:00:00"/>
    <d v="2026-02-06T00:00:00"/>
    <s v="instacart"/>
    <n v="53391"/>
    <n v="266898"/>
    <x v="0"/>
    <x v="0"/>
    <x v="0"/>
    <x v="0"/>
  </r>
  <r>
    <x v="557"/>
    <x v="192"/>
    <s v="Victoria Organic Pasta Sauce, Pomodoro, 24 Ounce"/>
    <n v="24"/>
    <s v="ounce"/>
    <d v="2021-10-28T00:00:00"/>
    <d v="2026-02-04T00:00:00"/>
    <s v="instacart"/>
    <n v="3132090"/>
    <n v="266404"/>
    <x v="1"/>
    <x v="0"/>
    <x v="1"/>
    <x v="0"/>
  </r>
  <r>
    <x v="558"/>
    <x v="134"/>
    <s v="Del Monte, Meat Flavored Pasta Sauce, 24 oz, Shelf Stable, Metal Can"/>
    <n v="24"/>
    <s v="ounce"/>
    <d v="2021-10-28T00:00:00"/>
    <d v="2026-02-06T00:00:00"/>
    <s v="instacart"/>
    <n v="252569"/>
    <n v="266379"/>
    <x v="0"/>
    <x v="0"/>
    <x v="0"/>
    <x v="0"/>
  </r>
  <r>
    <x v="559"/>
    <x v="170"/>
    <s v="Sal &amp; Judys Sal &amp; Judys Italian Sauce, 25 oz"/>
    <n v="25"/>
    <s v="ounce"/>
    <d v="2021-10-28T00:00:00"/>
    <d v="2026-02-04T00:00:00"/>
    <s v="instacart"/>
    <n v="18520748"/>
    <n v="261761"/>
    <x v="0"/>
    <x v="0"/>
    <x v="0"/>
    <x v="0"/>
  </r>
  <r>
    <x v="560"/>
    <x v="63"/>
    <s v="Victoria Low Sodium Vodka Sauce, 24 oz"/>
    <n v="24"/>
    <s v="ounce"/>
    <d v="2023-11-01T00:00:00"/>
    <d v="2026-02-06T00:00:00"/>
    <s v="instacart"/>
    <n v="98567"/>
    <n v="267029"/>
    <x v="1"/>
    <x v="0"/>
    <x v="1"/>
    <x v="0"/>
  </r>
  <r>
    <x v="561"/>
    <x v="19"/>
    <s v="CLASSICO VODKA SAUCE"/>
    <n v="24"/>
    <s v="ounce"/>
    <d v="2021-10-28T00:00:00"/>
    <d v="2026-02-07T00:00:00"/>
    <s v="instacart"/>
    <n v="73914"/>
    <n v="266348"/>
    <x v="0"/>
    <x v="0"/>
    <x v="0"/>
    <x v="0"/>
  </r>
  <r>
    <x v="562"/>
    <x v="75"/>
    <s v="DelGrosso Uncle Jim'sÂ Puttanesca Sauce, 26 oz"/>
    <n v="26"/>
    <s v="ounce"/>
    <d v="2021-10-28T00:00:00"/>
    <d v="2026-02-05T00:00:00"/>
    <s v="instacart"/>
    <n v="135700"/>
    <n v="261896"/>
    <x v="0"/>
    <x v="0"/>
    <x v="0"/>
    <x v="0"/>
  </r>
  <r>
    <x v="563"/>
    <x v="44"/>
    <s v="Botticelli Foods Spicy Vodka Sauce - 24 Oz"/>
    <n v="24"/>
    <s v="ounce"/>
    <d v="2021-10-28T00:00:00"/>
    <d v="2026-02-06T00:00:00"/>
    <s v="instacart"/>
    <n v="24826872"/>
    <n v="266399"/>
    <x v="0"/>
    <x v="0"/>
    <x v="0"/>
    <x v="0"/>
  </r>
  <r>
    <x v="564"/>
    <x v="38"/>
    <s v="Mama Valerio's Pasta Sauce with Meat"/>
    <n v="24"/>
    <s v="ounce"/>
    <d v="2021-11-01T00:00:00"/>
    <d v="2026-02-03T00:00:00"/>
    <s v="instacart"/>
    <n v="91481"/>
    <n v="266369"/>
    <x v="0"/>
    <x v="1"/>
    <x v="0"/>
    <x v="1"/>
  </r>
  <r>
    <x v="565"/>
    <x v="191"/>
    <s v="Emerils Home Style Marinara Pasta Sauce 25 oz"/>
    <n v="25"/>
    <s v="ounce"/>
    <d v="2021-10-28T00:00:00"/>
    <d v="2026-02-06T00:00:00"/>
    <s v="instacart"/>
    <n v="73919"/>
    <n v="262261"/>
    <x v="0"/>
    <x v="0"/>
    <x v="0"/>
    <x v="0"/>
  </r>
  <r>
    <x v="566"/>
    <x v="32"/>
    <s v="Mid's Pasta Sauce, Marinara 28 Oz"/>
    <n v="28"/>
    <s v="ounce"/>
    <d v="2023-04-10T00:00:00"/>
    <d v="2026-02-06T00:00:00"/>
    <s v="instacart"/>
    <n v="29624460"/>
    <n v="264216"/>
    <x v="0"/>
    <x v="0"/>
    <x v="0"/>
    <x v="0"/>
  </r>
  <r>
    <x v="567"/>
    <x v="47"/>
    <s v="Sonoma Gourmet - Tomato Asiago Sauce"/>
    <n v="25"/>
    <s v="ounce"/>
    <d v="2022-07-28T00:00:00"/>
    <d v="2026-02-06T00:00:00"/>
    <s v="instacart"/>
    <n v="27804061"/>
    <n v="264137"/>
    <x v="0"/>
    <x v="0"/>
    <x v="0"/>
    <x v="0"/>
  </r>
  <r>
    <x v="568"/>
    <x v="63"/>
    <s v="Victoria Tomato Basil Sauce, 24 oz"/>
    <n v="24"/>
    <s v="ounce"/>
    <d v="2021-10-28T00:00:00"/>
    <d v="2026-02-06T00:00:00"/>
    <s v="instacart"/>
    <n v="91464"/>
    <n v="261744"/>
    <x v="0"/>
    <x v="0"/>
    <x v="0"/>
    <x v="0"/>
  </r>
  <r>
    <x v="569"/>
    <x v="38"/>
    <s v="Pasta Jay'sÂ® Classic Marinara Pasta Sauce"/>
    <n v="26"/>
    <s v="ounce"/>
    <d v="2023-01-01T00:00:00"/>
    <d v="2026-02-05T00:00:00"/>
    <s v="instacart"/>
    <n v="29142063"/>
    <n v="264111"/>
    <x v="1"/>
    <x v="1"/>
    <x v="1"/>
    <x v="1"/>
  </r>
  <r>
    <x v="570"/>
    <x v="131"/>
    <s v="ANDUCCI - My Hot Headed Brother Sauce"/>
    <n v="16.906742000000001"/>
    <s v="fluid ounce"/>
    <d v="2022-12-08T00:00:00"/>
    <d v="2026-02-05T00:00:00"/>
    <s v="instacart"/>
    <s v=""/>
    <n v="262026"/>
    <x v="1"/>
    <x v="0"/>
    <x v="1"/>
    <x v="0"/>
  </r>
  <r>
    <x v="571"/>
    <x v="45"/>
    <s v="PregoÂ® Mushroom Pasta Sauce 67.000 oz"/>
    <n v="67"/>
    <s v="ounce"/>
    <d v="2021-10-28T00:00:00"/>
    <d v="2026-02-07T00:00:00"/>
    <s v="instacart"/>
    <n v="91494"/>
    <n v="264564"/>
    <x v="1"/>
    <x v="0"/>
    <x v="1"/>
    <x v="0"/>
  </r>
  <r>
    <x v="572"/>
    <x v="195"/>
    <s v="ALLA FAMIGLIA Marinara Sauce, 24 OZ"/>
    <n v="24"/>
    <s v="ounce"/>
    <d v="2021-10-28T00:00:00"/>
    <d v="2026-02-06T00:00:00"/>
    <s v="instacart"/>
    <s v=""/>
    <n v="261905"/>
    <x v="1"/>
    <x v="0"/>
    <x v="1"/>
    <x v="0"/>
  </r>
  <r>
    <x v="573"/>
    <x v="127"/>
    <s v="The Silver Palate Low Sodium Marinara Pasta Sauce, 25 oz"/>
    <n v="25"/>
    <s v="ounce"/>
    <d v="2021-10-28T00:00:00"/>
    <d v="2026-02-06T00:00:00"/>
    <s v="instacart"/>
    <n v="98546"/>
    <n v="266647"/>
    <x v="0"/>
    <x v="0"/>
    <x v="0"/>
    <x v="0"/>
  </r>
  <r>
    <x v="574"/>
    <x v="21"/>
    <s v="Sacia Tomatos Cherry Arrabbiata - 24 Oz"/>
    <n v="24"/>
    <s v="ounce"/>
    <d v="2021-10-28T00:00:00"/>
    <d v="2026-02-06T00:00:00"/>
    <s v="instacart"/>
    <n v="18283098"/>
    <n v="266616"/>
    <x v="0"/>
    <x v="0"/>
    <x v="0"/>
    <x v="0"/>
  </r>
  <r>
    <x v="575"/>
    <x v="196"/>
    <s v="Alessi Pasta Sauce, Premium, Fra Diavolo Arrabbiata 24 Oz"/>
    <n v="24"/>
    <s v="ounce"/>
    <d v="2021-10-28T00:00:00"/>
    <d v="2026-02-06T00:00:00"/>
    <s v="instacart"/>
    <n v="1838145"/>
    <n v="261909"/>
    <x v="0"/>
    <x v="0"/>
    <x v="0"/>
    <x v="0"/>
  </r>
  <r>
    <x v="576"/>
    <x v="154"/>
    <s v="Di Bruno Bros. Vodka Cream Tomato Sauce, 24 oz"/>
    <n v="24"/>
    <s v="ounce"/>
    <d v="2024-08-28T00:00:00"/>
    <d v="2026-02-04T00:00:00"/>
    <s v="instacart"/>
    <n v="25812890"/>
    <n v="262607"/>
    <x v="0"/>
    <x v="0"/>
    <x v="0"/>
    <x v="0"/>
  </r>
  <r>
    <x v="577"/>
    <x v="197"/>
    <s v="The Pasta Queen Spicy Vodka Sauce, 24 oz Jar"/>
    <n v="24"/>
    <s v="ounce"/>
    <d v="2024-02-25T00:00:00"/>
    <d v="2026-02-07T00:00:00"/>
    <s v="instacart"/>
    <n v="43727644"/>
    <n v="264276"/>
    <x v="0"/>
    <x v="0"/>
    <x v="0"/>
    <x v="0"/>
  </r>
  <r>
    <x v="578"/>
    <x v="53"/>
    <s v="Gino's Spaghetti Sauce - Chunky Style"/>
    <n v="24"/>
    <s v="ounce"/>
    <d v="2021-10-28T00:00:00"/>
    <d v="2026-02-04T00:00:00"/>
    <s v="instacart"/>
    <s v=""/>
    <n v="261663"/>
    <x v="1"/>
    <x v="0"/>
    <x v="1"/>
    <x v="0"/>
  </r>
  <r>
    <x v="579"/>
    <x v="196"/>
    <s v="Alessi Chunky Marinara Sauce"/>
    <n v="24"/>
    <s v="ounce"/>
    <d v="2021-10-28T00:00:00"/>
    <d v="2026-02-06T00:00:00"/>
    <s v="instacart"/>
    <n v="287068"/>
    <n v="264370"/>
    <x v="0"/>
    <x v="0"/>
    <x v="0"/>
    <x v="0"/>
  </r>
  <r>
    <x v="580"/>
    <x v="198"/>
    <s v="Jersey Italian Marinara Sauce, 24 Oz"/>
    <n v="24"/>
    <s v="ounce"/>
    <d v="2021-10-31T00:00:00"/>
    <d v="2026-02-06T00:00:00"/>
    <s v="instacart"/>
    <s v=""/>
    <n v="264251"/>
    <x v="1"/>
    <x v="0"/>
    <x v="1"/>
    <x v="0"/>
  </r>
  <r>
    <x v="581"/>
    <x v="38"/>
    <s v="Balducci's Tomato Basil Sauce - 25 OZ"/>
    <n v="25"/>
    <s v="ounce"/>
    <d v="2024-04-10T00:00:00"/>
    <d v="2024-04-14T00:00:00"/>
    <s v="instacart"/>
    <s v=""/>
    <n v="264242"/>
    <x v="1"/>
    <x v="1"/>
    <x v="1"/>
    <x v="1"/>
  </r>
  <r>
    <x v="582"/>
    <x v="199"/>
    <s v="EMERILS CHUNKY MARINARA"/>
    <n v="25"/>
    <s v="ounce"/>
    <d v="2021-10-28T00:00:00"/>
    <d v="2026-02-06T00:00:00"/>
    <s v="instacart"/>
    <n v="98561"/>
    <n v="267055"/>
    <x v="0"/>
    <x v="0"/>
    <x v="0"/>
    <x v="0"/>
  </r>
  <r>
    <x v="583"/>
    <x v="200"/>
    <s v="CANNIZZARO FAMIGLIA Arrabbiata, 16 OZ"/>
    <n v="16"/>
    <s v="ounce"/>
    <d v="2021-10-31T00:00:00"/>
    <d v="2025-11-22T00:00:00"/>
    <s v="instacart"/>
    <s v=""/>
    <n v="266427"/>
    <x v="0"/>
    <x v="0"/>
    <x v="0"/>
    <x v="0"/>
  </r>
  <r>
    <x v="584"/>
    <x v="108"/>
    <s v="Authentica - World Cuisine Arrabiata Sauce"/>
    <n v="17.921147000000001"/>
    <s v="fluid ounce"/>
    <d v="2021-10-28T00:00:00"/>
    <d v="2026-01-25T00:00:00"/>
    <s v="instacart"/>
    <s v=""/>
    <n v="261858"/>
    <x v="0"/>
    <x v="0"/>
    <x v="0"/>
    <x v="0"/>
  </r>
  <r>
    <x v="585"/>
    <x v="49"/>
    <s v="Rao's Homemade Marinara, White Truffle 19 oz"/>
    <n v="19"/>
    <s v="ounce"/>
    <d v="2022-12-04T00:00:00"/>
    <d v="2026-02-06T00:00:00"/>
    <s v="instacart"/>
    <n v="28954638"/>
    <n v="262384"/>
    <x v="0"/>
    <x v="0"/>
    <x v="0"/>
    <x v="0"/>
  </r>
  <r>
    <x v="586"/>
    <x v="38"/>
    <s v="Mama Depandi Arrabbiata Sauce"/>
    <n v="24"/>
    <s v="ounce"/>
    <d v="2025-09-11T00:00:00"/>
    <d v="2026-02-05T00:00:00"/>
    <s v="instacart"/>
    <n v="86860435"/>
    <n v="264713"/>
    <x v="1"/>
    <x v="1"/>
    <x v="1"/>
    <x v="1"/>
  </r>
  <r>
    <x v="587"/>
    <x v="201"/>
    <s v="Amato's Pasta Sauce"/>
    <n v="24"/>
    <s v="ounce"/>
    <d v="2021-10-29T00:00:00"/>
    <d v="2025-10-22T00:00:00"/>
    <s v="instacart"/>
    <s v=""/>
    <n v="264240"/>
    <x v="0"/>
    <x v="0"/>
    <x v="0"/>
    <x v="0"/>
  </r>
  <r>
    <x v="588"/>
    <x v="167"/>
    <s v="Bono Pasta Sauce, Tomato &amp; Basil 24 oz"/>
    <n v="24"/>
    <s v="ounce"/>
    <d v="2023-01-26T00:00:00"/>
    <d v="2026-02-06T00:00:00"/>
    <s v="instacart"/>
    <n v="19964459"/>
    <n v="266597"/>
    <x v="1"/>
    <x v="0"/>
    <x v="1"/>
    <x v="0"/>
  </r>
  <r>
    <x v="589"/>
    <x v="75"/>
    <s v="Delgrosso Pasta Sauce, Three Cheese"/>
    <n v="24"/>
    <s v="ounce"/>
    <d v="2021-10-28T00:00:00"/>
    <d v="2026-02-06T00:00:00"/>
    <s v="instacart"/>
    <n v="3364122"/>
    <n v="264760"/>
    <x v="0"/>
    <x v="0"/>
    <x v="0"/>
    <x v="0"/>
  </r>
  <r>
    <x v="590"/>
    <x v="177"/>
    <s v="Little Italy in the Bronx Italian Gravy Traditional Sunday Dinner Sauce, 24 oz"/>
    <n v="24"/>
    <s v="ounce"/>
    <d v="2021-10-28T00:00:00"/>
    <d v="2026-02-06T00:00:00"/>
    <s v="instacart"/>
    <n v="21669849"/>
    <n v="267104"/>
    <x v="1"/>
    <x v="0"/>
    <x v="1"/>
    <x v="0"/>
  </r>
  <r>
    <x v="591"/>
    <x v="137"/>
    <s v="Just Like Home Sauce Zesty Tomato Basil &amp; Cheese"/>
    <n v="25"/>
    <s v="ounce"/>
    <d v="2021-10-28T00:00:00"/>
    <d v="2026-02-05T00:00:00"/>
    <s v="instacart"/>
    <n v="23517386"/>
    <n v="261883"/>
    <x v="0"/>
    <x v="0"/>
    <x v="0"/>
    <x v="0"/>
  </r>
  <r>
    <x v="592"/>
    <x v="71"/>
    <s v="Racconto Arrabbiatta Pasta Sauce - 24 Oz"/>
    <n v="24"/>
    <s v="ounce"/>
    <d v="2021-10-28T00:00:00"/>
    <d v="2026-02-05T00:00:00"/>
    <s v="instacart"/>
    <n v="91498"/>
    <n v="266866"/>
    <x v="1"/>
    <x v="0"/>
    <x v="1"/>
    <x v="0"/>
  </r>
  <r>
    <x v="593"/>
    <x v="14"/>
    <s v="Mezzetta Pasta Sauce Spicy Plum Tomato - 24 Oz"/>
    <n v="24"/>
    <s v="ounce"/>
    <d v="2021-10-28T00:00:00"/>
    <d v="2026-02-06T00:00:00"/>
    <s v="instacart"/>
    <n v="23897848"/>
    <n v="266321"/>
    <x v="1"/>
    <x v="0"/>
    <x v="1"/>
    <x v="0"/>
  </r>
  <r>
    <x v="594"/>
    <x v="96"/>
    <s v="Michaels of Brooklyn Filetto Di Pomodoro, 32 oz"/>
    <n v="32"/>
    <s v="ounce"/>
    <d v="2021-10-28T00:00:00"/>
    <d v="2026-02-06T00:00:00"/>
    <s v="instacart"/>
    <s v=""/>
    <n v="261725"/>
    <x v="0"/>
    <x v="0"/>
    <x v="0"/>
    <x v="0"/>
  </r>
  <r>
    <x v="595"/>
    <x v="171"/>
    <s v="Puttanesca Sauce, 15.3 OZ"/>
    <n v="15.3"/>
    <s v="ounce"/>
    <d v="2021-10-28T00:00:00"/>
    <d v="2026-02-06T00:00:00"/>
    <s v="instacart"/>
    <s v=""/>
    <n v="266943"/>
    <x v="0"/>
    <x v="0"/>
    <x v="0"/>
    <x v="0"/>
  </r>
  <r>
    <x v="596"/>
    <x v="38"/>
    <s v="Victoria Sauce Vod"/>
    <n v="24"/>
    <s v="ounce"/>
    <d v="2021-10-28T00:00:00"/>
    <d v="2026-02-06T00:00:00"/>
    <s v="instacart"/>
    <s v=""/>
    <n v="266414"/>
    <x v="0"/>
    <x v="1"/>
    <x v="0"/>
    <x v="1"/>
  </r>
  <r>
    <x v="597"/>
    <x v="48"/>
    <s v="Jersey Italian Gravy Vodka Sauce, 24 oz"/>
    <n v="24"/>
    <s v="ounce"/>
    <d v="2021-10-31T00:00:00"/>
    <d v="2026-02-06T00:00:00"/>
    <s v="instacart"/>
    <n v="16403040"/>
    <n v="267075"/>
    <x v="1"/>
    <x v="0"/>
    <x v="1"/>
    <x v="0"/>
  </r>
  <r>
    <x v="598"/>
    <x v="38"/>
    <s v="Aiello's Italian Spaghetti Sauce"/>
    <n v="26"/>
    <s v="ounce"/>
    <d v="2021-10-31T00:00:00"/>
    <d v="2026-02-05T00:00:00"/>
    <s v="instacart"/>
    <n v="266092"/>
    <n v="262285"/>
    <x v="0"/>
    <x v="1"/>
    <x v="0"/>
    <x v="1"/>
  </r>
  <r>
    <x v="599"/>
    <x v="134"/>
    <s v="DEL MONTE GARLIC ONION PASTA SAUCE"/>
    <n v="24"/>
    <s v="ounce"/>
    <d v="2021-10-28T00:00:00"/>
    <d v="2026-02-06T00:00:00"/>
    <s v="instacart"/>
    <n v="1860223"/>
    <n v="264287"/>
    <x v="0"/>
    <x v="0"/>
    <x v="0"/>
    <x v="0"/>
  </r>
  <r>
    <x v="600"/>
    <x v="202"/>
    <s v="MOM's Pasta Sauce Traditional - 24 Ounce - 1 Count"/>
    <n v="24"/>
    <s v="ounce"/>
    <d v="2021-10-28T00:00:00"/>
    <d v="2026-02-05T00:00:00"/>
    <s v="instacart"/>
    <n v="170939"/>
    <n v="264208"/>
    <x v="0"/>
    <x v="0"/>
    <x v="0"/>
    <x v="0"/>
  </r>
  <r>
    <x v="601"/>
    <x v="17"/>
    <s v="Brooklyn's Best Silver Star Fra D'Avolo Sauce, 25 oz"/>
    <n v="25"/>
    <s v="ounce"/>
    <d v="2021-11-02T00:00:00"/>
    <d v="2026-02-04T00:00:00"/>
    <s v="instacart"/>
    <n v="17996170"/>
    <n v="264253"/>
    <x v="0"/>
    <x v="0"/>
    <x v="0"/>
    <x v="0"/>
  </r>
  <r>
    <x v="602"/>
    <x v="112"/>
    <s v="Sauce Tomato Cream Vodka, 24 OZ"/>
    <n v="24"/>
    <s v="ounce"/>
    <d v="2021-10-31T00:00:00"/>
    <d v="2026-01-08T00:00:00"/>
    <s v="instacart"/>
    <s v=""/>
    <n v="266878"/>
    <x v="1"/>
    <x v="0"/>
    <x v="1"/>
    <x v="0"/>
  </r>
  <r>
    <x v="603"/>
    <x v="203"/>
    <s v="RagÃº Kettle Cooked Tomato Basil Sauce, 24 oz"/>
    <n v="24"/>
    <s v="ounce"/>
    <d v="2023-03-28T00:00:00"/>
    <d v="2026-02-06T00:00:00"/>
    <s v="instacart"/>
    <n v="34792996"/>
    <n v="264724"/>
    <x v="1"/>
    <x v="0"/>
    <x v="1"/>
    <x v="0"/>
  </r>
  <r>
    <x v="604"/>
    <x v="54"/>
    <s v="Carbone Sauce Sweet Pepper Onion - 24 OZ"/>
    <n v="24"/>
    <s v="ounce"/>
    <d v="2024-10-20T00:00:00"/>
    <d v="2026-02-06T00:00:00"/>
    <s v="instacart"/>
    <n v="61861382"/>
    <n v="262630"/>
    <x v="1"/>
    <x v="0"/>
    <x v="1"/>
    <x v="0"/>
  </r>
  <r>
    <x v="605"/>
    <x v="12"/>
    <s v="Orti Di Calabria Bolognese Tomato &amp; Pork Pasta Sauce, 24.3 oz"/>
    <n v="24.3"/>
    <s v="ounce"/>
    <d v="2021-10-28T00:00:00"/>
    <d v="2026-01-01T00:00:00"/>
    <s v="instacart"/>
    <s v=""/>
    <n v="262383"/>
    <x v="1"/>
    <x v="0"/>
    <x v="1"/>
    <x v="0"/>
  </r>
  <r>
    <x v="606"/>
    <x v="204"/>
    <s v="Heat Tomato Pasta Sauce, 24 OZ"/>
    <n v="24"/>
    <s v="ounce"/>
    <d v="2024-10-13T00:00:00"/>
    <d v="2026-02-06T00:00:00"/>
    <s v="instacart"/>
    <s v=""/>
    <n v="266292"/>
    <x v="1"/>
    <x v="0"/>
    <x v="1"/>
    <x v="0"/>
  </r>
  <r>
    <x v="607"/>
    <x v="54"/>
    <s v="Carbone Fine Foods Spicy Vodka Pasta Sauce, 22 oz., 2 pk."/>
    <n v="44"/>
    <s v="ounce"/>
    <d v="2025-04-04T00:00:00"/>
    <d v="2026-02-05T00:00:00"/>
    <s v="instacart"/>
    <s v=""/>
    <n v="264316"/>
    <x v="0"/>
    <x v="0"/>
    <x v="0"/>
    <x v="0"/>
  </r>
  <r>
    <x v="608"/>
    <x v="47"/>
    <s v="Sonoma Gourmet Creamy Buffalo Ranch Pasta Sauce"/>
    <n v="24.5"/>
    <s v="ounce"/>
    <d v="2025-07-21T00:00:00"/>
    <d v="2026-02-06T00:00:00"/>
    <s v="instacart"/>
    <n v="76603192"/>
    <n v="264571"/>
    <x v="1"/>
    <x v="0"/>
    <x v="1"/>
    <x v="0"/>
  </r>
  <r>
    <x v="609"/>
    <x v="205"/>
    <s v="Chef Mel - 3 Cheese Pasta Sauce (24 Oz)"/>
    <n v="24"/>
    <s v="ounce"/>
    <d v="2024-02-15T00:00:00"/>
    <d v="2026-02-02T00:00:00"/>
    <s v="instacart"/>
    <n v="35042765"/>
    <n v="266359"/>
    <x v="1"/>
    <x v="0"/>
    <x v="1"/>
    <x v="0"/>
  </r>
  <r>
    <x v="610"/>
    <x v="19"/>
    <s v="Classico - Roasted Portobello Mushroom"/>
    <n v="20.288091000000001"/>
    <s v="fluid ounce"/>
    <d v="2024-09-27T00:00:00"/>
    <d v="2026-02-05T00:00:00"/>
    <s v="instacart"/>
    <s v=""/>
    <n v="261893"/>
    <x v="0"/>
    <x v="0"/>
    <x v="0"/>
    <x v="0"/>
  </r>
  <r>
    <x v="611"/>
    <x v="38"/>
    <s v="Barilla - Vero Gusto Calabrian Marinara"/>
    <n v="20"/>
    <s v="ounce"/>
    <d v="2021-10-28T00:00:00"/>
    <d v="2026-02-06T00:00:00"/>
    <s v="instacart"/>
    <s v=""/>
    <n v="264261"/>
    <x v="0"/>
    <x v="1"/>
    <x v="0"/>
    <x v="1"/>
  </r>
  <r>
    <x v="612"/>
    <x v="29"/>
    <s v="Taste Of The Hill - Mushroom &amp; Onion Pasta Sauce (26 Oz)"/>
    <n v="26"/>
    <s v="ounce"/>
    <d v="2021-10-28T00:00:00"/>
    <d v="2026-02-02T00:00:00"/>
    <s v="instacart"/>
    <n v="2812517"/>
    <n v="264579"/>
    <x v="1"/>
    <x v="0"/>
    <x v="1"/>
    <x v="0"/>
  </r>
  <r>
    <x v="613"/>
    <x v="32"/>
    <s v="Mid's Pasta Sauce, Tomato Basil 28 Oz"/>
    <n v="28"/>
    <s v="ounce"/>
    <d v="2021-10-28T00:00:00"/>
    <d v="2026-02-06T00:00:00"/>
    <s v="instacart"/>
    <n v="29373236"/>
    <n v="266579"/>
    <x v="0"/>
    <x v="0"/>
    <x v="0"/>
    <x v="0"/>
  </r>
  <r>
    <x v="614"/>
    <x v="26"/>
    <s v="Ragu Old World Style Traditional Sauce, 8.5 lbs."/>
    <n v="136"/>
    <s v="ounce"/>
    <d v="2021-10-28T00:00:00"/>
    <d v="2026-02-07T00:00:00"/>
    <s v="instacart"/>
    <n v="16983138"/>
    <n v="266405"/>
    <x v="0"/>
    <x v="0"/>
    <x v="0"/>
    <x v="0"/>
  </r>
  <r>
    <x v="615"/>
    <x v="54"/>
    <s v="Carbone Four Cheese Sauce 24 oz"/>
    <n v="24"/>
    <s v="ounce"/>
    <d v="2024-05-22T00:00:00"/>
    <d v="2026-02-06T00:00:00"/>
    <s v="instacart"/>
    <n v="45274659"/>
    <n v="264567"/>
    <x v="0"/>
    <x v="0"/>
    <x v="0"/>
    <x v="0"/>
  </r>
  <r>
    <x v="616"/>
    <x v="5"/>
    <s v="Prego Traditional Pasta Sauce, Jars, 3 pk./45 oz."/>
    <n v="135"/>
    <s v="ounce"/>
    <d v="2021-10-28T00:00:00"/>
    <d v="2026-02-05T00:00:00"/>
    <s v="instacart"/>
    <s v=""/>
    <n v="266561"/>
    <x v="0"/>
    <x v="0"/>
    <x v="0"/>
    <x v="0"/>
  </r>
  <r>
    <x v="617"/>
    <x v="2"/>
    <s v="Rao's Sauce, Italian Sausage &amp; Mushroom 24 Oz"/>
    <n v="24"/>
    <s v="ounce"/>
    <d v="2021-10-28T00:00:00"/>
    <d v="2026-02-07T00:00:00"/>
    <s v="instacart"/>
    <n v="91465"/>
    <n v="264280"/>
    <x v="0"/>
    <x v="0"/>
    <x v="0"/>
    <x v="0"/>
  </r>
  <r>
    <x v="618"/>
    <x v="137"/>
    <s v="Just Like Home Sauce NY Lip Smackin' Garlic"/>
    <n v="25"/>
    <s v="ounce"/>
    <d v="2021-10-28T00:00:00"/>
    <d v="2026-02-05T00:00:00"/>
    <s v="instacart"/>
    <n v="23525761"/>
    <n v="261739"/>
    <x v="1"/>
    <x v="0"/>
    <x v="1"/>
    <x v="0"/>
  </r>
  <r>
    <x v="619"/>
    <x v="32"/>
    <s v="Mid's Pasta Sauce, Tomato Basil 28 Oz"/>
    <n v="32"/>
    <s v="ounce"/>
    <d v="2021-10-28T00:00:00"/>
    <d v="2026-02-04T00:00:00"/>
    <s v="instacart"/>
    <n v="29373236"/>
    <n v="264226"/>
    <x v="0"/>
    <x v="0"/>
    <x v="0"/>
    <x v="0"/>
  </r>
  <r>
    <x v="620"/>
    <x v="167"/>
    <s v="Bono, Pasta Sauce, Arrabbiata"/>
    <n v="24"/>
    <s v="ounce"/>
    <d v="2023-01-11T00:00:00"/>
    <d v="2026-02-02T00:00:00"/>
    <s v="instacart"/>
    <s v=""/>
    <n v="261483"/>
    <x v="1"/>
    <x v="0"/>
    <x v="1"/>
    <x v="0"/>
  </r>
  <r>
    <x v="621"/>
    <x v="73"/>
    <s v="Daves Gourmet Organic Pasta Sauce Spicy Heirloom Jar - 25.5 Oz"/>
    <n v="25.5"/>
    <s v="ounce"/>
    <d v="2021-10-28T00:00:00"/>
    <d v="2026-02-06T00:00:00"/>
    <s v="instacart"/>
    <n v="24830"/>
    <n v="264207"/>
    <x v="0"/>
    <x v="0"/>
    <x v="0"/>
    <x v="0"/>
  </r>
  <r>
    <x v="622"/>
    <x v="206"/>
    <s v="Four J Meatball Sauce, 24 oz"/>
    <n v="24"/>
    <s v="ounce"/>
    <d v="2021-10-28T00:00:00"/>
    <d v="2025-05-08T00:00:00"/>
    <s v="instacart"/>
    <s v=""/>
    <n v="262044"/>
    <x v="1"/>
    <x v="0"/>
    <x v="1"/>
    <x v="0"/>
  </r>
  <r>
    <x v="623"/>
    <x v="29"/>
    <s v="Taste of the Hill Four Cheese Pasta Sauce, 24 oz"/>
    <n v="24"/>
    <s v="ounce"/>
    <d v="2021-10-28T00:00:00"/>
    <d v="2026-02-03T00:00:00"/>
    <s v="instacart"/>
    <n v="16743249"/>
    <n v="264119"/>
    <x v="0"/>
    <x v="0"/>
    <x v="0"/>
    <x v="0"/>
  </r>
  <r>
    <x v="624"/>
    <x v="177"/>
    <s v="Little Italy Bronx Sauce Vodka Marinara - 24 Oz"/>
    <n v="24"/>
    <s v="ounce"/>
    <d v="2021-10-28T00:00:00"/>
    <d v="2026-02-06T00:00:00"/>
    <s v="instacart"/>
    <n v="18474763"/>
    <n v="264081"/>
    <x v="0"/>
    <x v="0"/>
    <x v="0"/>
    <x v="0"/>
  </r>
  <r>
    <x v="625"/>
    <x v="75"/>
    <s v="Delgrosso Pasta Sauce, Meatless"/>
    <n v="24"/>
    <s v="ounce"/>
    <d v="2021-10-28T00:00:00"/>
    <d v="2026-02-06T00:00:00"/>
    <s v="instacart"/>
    <n v="16987092"/>
    <n v="261687"/>
    <x v="1"/>
    <x v="0"/>
    <x v="1"/>
    <x v="0"/>
  </r>
  <r>
    <x v="626"/>
    <x v="207"/>
    <s v="Nonna Carmen Italian Style Spaghetti Sauce with Basil, 24 oz"/>
    <n v="24"/>
    <s v="ounce"/>
    <d v="2022-06-01T00:00:00"/>
    <d v="2026-02-04T00:00:00"/>
    <s v="instacart"/>
    <n v="21461326"/>
    <n v="264728"/>
    <x v="1"/>
    <x v="0"/>
    <x v="1"/>
    <x v="0"/>
  </r>
  <r>
    <x v="627"/>
    <x v="38"/>
    <s v="Pemberton's Arrabbiata Spicy Pasta Sauce"/>
    <n v="24"/>
    <s v="ounce"/>
    <d v="2021-10-31T00:00:00"/>
    <d v="2025-10-22T00:00:00"/>
    <s v="instacart"/>
    <s v=""/>
    <n v="264700"/>
    <x v="0"/>
    <x v="1"/>
    <x v="0"/>
    <x v="1"/>
  </r>
  <r>
    <x v="628"/>
    <x v="0"/>
    <s v="FRANCESCO RINALDI MEAT SPAGHETTI SAUCE"/>
    <n v="45"/>
    <s v="ounce"/>
    <d v="2021-10-28T00:00:00"/>
    <d v="2026-02-05T00:00:00"/>
    <s v="instacart"/>
    <n v="3240151"/>
    <n v="266392"/>
    <x v="0"/>
    <x v="0"/>
    <x v="0"/>
    <x v="0"/>
  </r>
  <r>
    <x v="629"/>
    <x v="77"/>
    <s v="Sclafani Medium Fra Diavolo Sauce, 32 oz"/>
    <n v="32"/>
    <s v="ounce"/>
    <d v="2021-10-31T00:00:00"/>
    <d v="2026-02-06T00:00:00"/>
    <s v="instacart"/>
    <n v="227975"/>
    <n v="262280"/>
    <x v="1"/>
    <x v="0"/>
    <x v="1"/>
    <x v="0"/>
  </r>
  <r>
    <x v="630"/>
    <x v="38"/>
    <s v="FRATELLI BUTTERNUT SQUASH SAUCE"/>
    <n v="12"/>
    <s v="ounce"/>
    <d v="2024-06-23T00:00:00"/>
    <d v="2026-02-05T00:00:00"/>
    <s v="instacart"/>
    <s v=""/>
    <n v="261529"/>
    <x v="0"/>
    <x v="1"/>
    <x v="0"/>
    <x v="1"/>
  </r>
  <r>
    <x v="631"/>
    <x v="83"/>
    <s v="Only Goodness - Organic Marinara Pasta Sauce"/>
    <n v="22.993169999999999"/>
    <s v="fluid ounce"/>
    <d v="2023-11-03T00:00:00"/>
    <d v="2025-12-04T00:00:00"/>
    <s v="instacart"/>
    <s v=""/>
    <n v="264322"/>
    <x v="1"/>
    <x v="0"/>
    <x v="1"/>
    <x v="0"/>
  </r>
  <r>
    <x v="632"/>
    <x v="2"/>
    <s v="Raos Homemade Sauce Marinara Jar - 24 Oz"/>
    <n v="24"/>
    <s v="ounce"/>
    <d v="2021-10-28T00:00:00"/>
    <d v="2026-02-07T00:00:00"/>
    <s v="instacart"/>
    <n v="24808"/>
    <n v="261749"/>
    <x v="1"/>
    <x v="0"/>
    <x v="1"/>
    <x v="0"/>
  </r>
  <r>
    <x v="633"/>
    <x v="38"/>
    <s v="Mantova - Mantova Organic Alfredo Garl"/>
    <n v="12.5"/>
    <s v="ounce"/>
    <d v="2021-12-21T00:00:00"/>
    <d v="2026-02-06T00:00:00"/>
    <s v="instacart"/>
    <n v="25531376"/>
    <n v="264374"/>
    <x v="0"/>
    <x v="1"/>
    <x v="0"/>
    <x v="1"/>
  </r>
  <r>
    <x v="634"/>
    <x v="208"/>
    <s v="Monte Bene Pasta Sauce, Vodka 24 oz"/>
    <n v="1"/>
    <s v="ounce"/>
    <d v="2021-10-28T00:00:00"/>
    <d v="2026-02-06T00:00:00"/>
    <s v="instacart"/>
    <n v="1860340"/>
    <n v="264376"/>
    <x v="1"/>
    <x v="0"/>
    <x v="1"/>
    <x v="0"/>
  </r>
  <r>
    <x v="635"/>
    <x v="120"/>
    <s v="Yo Mama's Foods Keto Spicy Marinara Sauce, 4 PK"/>
    <m/>
    <m/>
    <d v="2022-11-01T00:00:00"/>
    <d v="2023-06-22T00:00:00"/>
    <s v="instacart"/>
    <s v=""/>
    <n v="261485"/>
    <x v="0"/>
    <x v="0"/>
    <x v="0"/>
    <x v="0"/>
  </r>
  <r>
    <x v="636"/>
    <x v="5"/>
    <s v="Prego Marinara Sauce"/>
    <n v="23"/>
    <s v="ounce"/>
    <d v="2021-10-28T00:00:00"/>
    <d v="2026-02-02T00:00:00"/>
    <s v="instacart"/>
    <s v=""/>
    <n v="266854"/>
    <x v="0"/>
    <x v="0"/>
    <x v="0"/>
    <x v="0"/>
  </r>
  <r>
    <x v="637"/>
    <x v="98"/>
    <s v="LUCINI Organic Sensitive Pasta Sauce, 16.5 OZ"/>
    <n v="16.5"/>
    <s v="ounce"/>
    <d v="2023-08-03T00:00:00"/>
    <d v="2026-02-06T00:00:00"/>
    <s v="instacart"/>
    <n v="35586581"/>
    <n v="264732"/>
    <x v="0"/>
    <x v="0"/>
    <x v="0"/>
    <x v="0"/>
  </r>
  <r>
    <x v="638"/>
    <x v="15"/>
    <s v="Ragu Kettle Cooked Marinara Pasta Sauce - 24 Oz"/>
    <n v="24"/>
    <s v="ounce"/>
    <d v="2023-03-28T00:00:00"/>
    <d v="2026-02-07T00:00:00"/>
    <s v="instacart"/>
    <n v="29391723"/>
    <n v="261819"/>
    <x v="0"/>
    <x v="0"/>
    <x v="0"/>
    <x v="0"/>
  </r>
  <r>
    <x v="639"/>
    <x v="5"/>
    <s v="Prego Pasta Sauce, Garden Harvest ChunkyÂ Tomato Sauce with Onion and Garlic, 45 Ounce Jar"/>
    <n v="45"/>
    <s v="ounce"/>
    <d v="2021-11-03T00:00:00"/>
    <d v="2026-02-07T00:00:00"/>
    <s v="instacart"/>
    <n v="20020258"/>
    <n v="267085"/>
    <x v="1"/>
    <x v="0"/>
    <x v="1"/>
    <x v="0"/>
  </r>
  <r>
    <x v="640"/>
    <x v="2"/>
    <s v="Rao's Homemade Marinara Sauce, 32 oz"/>
    <n v="32"/>
    <s v="ounce"/>
    <d v="2021-10-28T00:00:00"/>
    <d v="2026-02-07T00:00:00"/>
    <s v="instacart"/>
    <n v="24809"/>
    <n v="264298"/>
    <x v="1"/>
    <x v="0"/>
    <x v="1"/>
    <x v="0"/>
  </r>
  <r>
    <x v="641"/>
    <x v="38"/>
    <s v="Giusto Fra Diavolo"/>
    <n v="24"/>
    <s v="ounce"/>
    <d v="2022-05-16T00:00:00"/>
    <d v="2026-02-06T00:00:00"/>
    <s v="instacart"/>
    <s v=""/>
    <n v="264646"/>
    <x v="1"/>
    <x v="1"/>
    <x v="1"/>
    <x v="1"/>
  </r>
  <r>
    <x v="642"/>
    <x v="55"/>
    <s v="Cucina Antica Garlic Marinara Sauce, 25 oz"/>
    <n v="25"/>
    <s v="ounce"/>
    <d v="2021-10-28T00:00:00"/>
    <d v="2026-02-06T00:00:00"/>
    <s v="instacart"/>
    <n v="53396"/>
    <n v="262250"/>
    <x v="1"/>
    <x v="0"/>
    <x v="1"/>
    <x v="0"/>
  </r>
  <r>
    <x v="643"/>
    <x v="209"/>
    <s v="Mister C's Spaghetti Sauce "/>
    <n v="33"/>
    <s v="ounce"/>
    <d v="2021-10-28T00:00:00"/>
    <d v="2026-02-04T00:00:00"/>
    <s v="instacart"/>
    <s v=""/>
    <n v="266993"/>
    <x v="0"/>
    <x v="0"/>
    <x v="0"/>
    <x v="0"/>
  </r>
  <r>
    <x v="644"/>
    <x v="19"/>
    <s v="Classico Tomato &amp; Basil Pasta Sauce, 24 oz Jar"/>
    <n v="24"/>
    <s v="ounce"/>
    <d v="2021-10-28T00:00:00"/>
    <d v="2026-02-07T00:00:00"/>
    <s v="instacart"/>
    <n v="39367"/>
    <n v="264560"/>
    <x v="1"/>
    <x v="0"/>
    <x v="1"/>
    <x v="0"/>
  </r>
  <r>
    <x v="645"/>
    <x v="210"/>
    <s v="Zias - Pasta Sauce (26 Oz)"/>
    <n v="26"/>
    <s v="ounce"/>
    <d v="2021-11-14T00:00:00"/>
    <d v="2026-02-02T00:00:00"/>
    <s v="instacart"/>
    <s v=""/>
    <n v="264222"/>
    <x v="0"/>
    <x v="0"/>
    <x v="0"/>
    <x v="0"/>
  </r>
  <r>
    <x v="646"/>
    <x v="63"/>
    <s v="Victoria Vodka Sauce, 40 oz"/>
    <n v="40"/>
    <s v="ounce"/>
    <d v="2021-10-30T00:00:00"/>
    <d v="2026-02-06T00:00:00"/>
    <s v="instacart"/>
    <n v="2750364"/>
    <n v="266495"/>
    <x v="1"/>
    <x v="0"/>
    <x v="1"/>
    <x v="0"/>
  </r>
  <r>
    <x v="647"/>
    <x v="211"/>
    <s v="Holla! Vodka Pasta Sauce by Frik &amp; Frak, No Sugar Added, No Preservatives, Gluten Free, 36 Month Shelf Life, Artisan Small Batch Crafted Pasta Sauces, 24 Oz Jar"/>
    <n v="24"/>
    <s v="ounce"/>
    <d v="2021-10-31T00:00:00"/>
    <d v="2026-02-06T00:00:00"/>
    <s v="instacart"/>
    <n v="19403202"/>
    <n v="264252"/>
    <x v="0"/>
    <x v="0"/>
    <x v="0"/>
    <x v="0"/>
  </r>
  <r>
    <x v="648"/>
    <x v="212"/>
    <s v="Little Venice Pasta Sauce"/>
    <n v="24.5"/>
    <s v="ounce"/>
    <d v="2021-10-31T00:00:00"/>
    <d v="2026-02-06T00:00:00"/>
    <s v="instacart"/>
    <n v="17769586"/>
    <n v="266453"/>
    <x v="1"/>
    <x v="0"/>
    <x v="1"/>
    <x v="0"/>
  </r>
  <r>
    <x v="649"/>
    <x v="45"/>
    <s v="Prego Creamy Vodka Pasta Sauce, 24 oz Jar"/>
    <n v="24"/>
    <s v="ounce"/>
    <d v="2021-10-28T00:00:00"/>
    <d v="2026-02-06T00:00:00"/>
    <s v="instacart"/>
    <n v="91493"/>
    <n v="264553"/>
    <x v="1"/>
    <x v="0"/>
    <x v="1"/>
    <x v="0"/>
  </r>
  <r>
    <x v="650"/>
    <x v="213"/>
    <s v="Pasta Prima Heirloom Marinara Sauce"/>
    <n v="15"/>
    <s v="ounce"/>
    <d v="2021-10-28T00:00:00"/>
    <d v="2026-02-03T00:00:00"/>
    <s v="instacart"/>
    <n v="22614730"/>
    <n v="264277"/>
    <x v="1"/>
    <x v="0"/>
    <x v="1"/>
    <x v="0"/>
  </r>
  <r>
    <x v="651"/>
    <x v="171"/>
    <s v="Sauces N Love Pomodoro Basilico Pasta Sauce - 15.3 Oz."/>
    <n v="15.3"/>
    <s v="ounce"/>
    <d v="2021-10-28T00:00:00"/>
    <d v="2026-02-06T00:00:00"/>
    <s v="instacart"/>
    <n v="292703"/>
    <n v="264531"/>
    <x v="0"/>
    <x v="0"/>
    <x v="0"/>
    <x v="0"/>
  </r>
  <r>
    <x v="652"/>
    <x v="38"/>
    <s v="ClassicoÂ® Tomato &amp; Basil Pasta Sauce"/>
    <n v="2"/>
    <s v="count"/>
    <d v="2021-10-28T00:00:00"/>
    <d v="2026-02-05T00:00:00"/>
    <s v="instacart"/>
    <n v="19102722"/>
    <n v="267026"/>
    <x v="1"/>
    <x v="1"/>
    <x v="1"/>
    <x v="1"/>
  </r>
  <r>
    <x v="653"/>
    <x v="53"/>
    <s v="Papa Rico's Classic Red Sauce Mild"/>
    <n v="24"/>
    <s v="ounce"/>
    <d v="2021-10-28T00:00:00"/>
    <d v="2026-02-04T00:00:00"/>
    <s v="instacart"/>
    <s v=""/>
    <n v="264074"/>
    <x v="1"/>
    <x v="0"/>
    <x v="1"/>
    <x v="0"/>
  </r>
  <r>
    <x v="654"/>
    <x v="146"/>
    <s v="Cajun Power Spghti Sce"/>
    <n v="36"/>
    <s v="ounce"/>
    <d v="2021-10-28T00:00:00"/>
    <d v="2026-02-06T00:00:00"/>
    <s v="instacart"/>
    <n v="2631968"/>
    <n v="266568"/>
    <x v="1"/>
    <x v="0"/>
    <x v="1"/>
    <x v="0"/>
  </r>
  <r>
    <x v="655"/>
    <x v="214"/>
    <s v="Sauz | Hot Honey Marinara (Single Jar) Thick &amp; Creamy- Gluten-Free, Non-GMO, and 100% Delicious - Crafted in Small Batches for Michelin-Star Delight - Clean ingredients 25 OZ"/>
    <n v="25"/>
    <s v="ounce"/>
    <d v="2024-03-13T00:00:00"/>
    <d v="2026-02-06T00:00:00"/>
    <s v="instacart"/>
    <n v="32558227"/>
    <n v="264327"/>
    <x v="1"/>
    <x v="0"/>
    <x v="1"/>
    <x v="0"/>
  </r>
  <r>
    <x v="656"/>
    <x v="24"/>
    <s v="Hunt's - Pasta Sauce, Thick &amp; Rich Spicy Red Pepper Chilies"/>
    <n v="22.993169999999999"/>
    <s v="fluid ounce"/>
    <d v="2021-10-28T00:00:00"/>
    <d v="2026-02-05T00:00:00"/>
    <s v="instacart"/>
    <s v=""/>
    <n v="267000"/>
    <x v="0"/>
    <x v="0"/>
    <x v="0"/>
    <x v="0"/>
  </r>
  <r>
    <x v="657"/>
    <x v="215"/>
    <s v="Primos Del Primo Red Sauce bottle Vegan and Gluten Free, 12.88 oz"/>
    <n v="12.88"/>
    <s v="ounce"/>
    <d v="2022-10-20T00:00:00"/>
    <d v="2026-02-03T00:00:00"/>
    <s v="instacart"/>
    <n v="28724900"/>
    <n v="267093"/>
    <x v="1"/>
    <x v="0"/>
    <x v="1"/>
    <x v="0"/>
  </r>
  <r>
    <x v="658"/>
    <x v="28"/>
    <s v="De Massimos Sauce Pasta Tomato Basil - 32 Oz"/>
    <n v="32"/>
    <s v="ounce"/>
    <d v="2021-10-28T00:00:00"/>
    <d v="2026-02-05T00:00:00"/>
    <s v="instacart"/>
    <n v="21008214"/>
    <n v="262157"/>
    <x v="1"/>
    <x v="0"/>
    <x v="1"/>
    <x v="0"/>
  </r>
  <r>
    <x v="659"/>
    <x v="0"/>
    <s v="Francesco Rinaldi Savory Meat Sauce, 23.5 oz"/>
    <n v="23.5"/>
    <s v="ounce"/>
    <d v="2021-10-28T00:00:00"/>
    <d v="2026-02-06T00:00:00"/>
    <s v="instacart"/>
    <n v="73922"/>
    <n v="262190"/>
    <x v="1"/>
    <x v="0"/>
    <x v="1"/>
    <x v="0"/>
  </r>
  <r>
    <x v="660"/>
    <x v="40"/>
    <s v="Muir Glen Pasta Sauce, Fire Roasted Tomato"/>
    <n v="23.5"/>
    <s v="ounce"/>
    <d v="2022-09-18T00:00:00"/>
    <d v="2026-02-06T00:00:00"/>
    <s v="instacart"/>
    <n v="27760975"/>
    <n v="261616"/>
    <x v="1"/>
    <x v="0"/>
    <x v="1"/>
    <x v="0"/>
  </r>
  <r>
    <x v="661"/>
    <x v="38"/>
    <s v="Minimalist Tomato Basil Pasta Sauce"/>
    <n v="16"/>
    <s v="ounce"/>
    <d v="2023-05-04T00:00:00"/>
    <d v="2026-02-05T00:00:00"/>
    <s v="instacart"/>
    <s v=""/>
    <n v="261594"/>
    <x v="1"/>
    <x v="1"/>
    <x v="1"/>
    <x v="1"/>
  </r>
  <r>
    <x v="662"/>
    <x v="6"/>
    <s v="Bertolli Sauce, Organic, Fire Roasted Garlic Marinara 24 oz"/>
    <n v="24"/>
    <s v="ounce"/>
    <d v="2021-10-28T00:00:00"/>
    <d v="2026-02-05T00:00:00"/>
    <s v="instacart"/>
    <n v="3357878"/>
    <n v="261534"/>
    <x v="0"/>
    <x v="0"/>
    <x v="0"/>
    <x v="0"/>
  </r>
  <r>
    <x v="663"/>
    <x v="12"/>
    <s v="Orti Di Calabria Garlic Tomato &amp; Chili Stir In Sauce, 9.8 oz"/>
    <n v="9.8000000000000007"/>
    <s v="ounce"/>
    <d v="2021-10-28T00:00:00"/>
    <d v="2025-07-03T00:00:00"/>
    <s v="instacart"/>
    <s v=""/>
    <n v="262046"/>
    <x v="1"/>
    <x v="0"/>
    <x v="1"/>
    <x v="0"/>
  </r>
  <r>
    <x v="664"/>
    <x v="38"/>
    <s v="Mama Depandi Pomodoro Sauce"/>
    <n v="24"/>
    <s v="ounce"/>
    <d v="2025-09-11T00:00:00"/>
    <d v="2026-02-05T00:00:00"/>
    <s v="instacart"/>
    <n v="86859815"/>
    <n v="261681"/>
    <x v="1"/>
    <x v="1"/>
    <x v="1"/>
    <x v="1"/>
  </r>
  <r>
    <x v="665"/>
    <x v="53"/>
    <s v="Sonny's Spaghetti Sauce"/>
    <n v="26"/>
    <s v="ounce"/>
    <d v="2021-10-28T00:00:00"/>
    <d v="2026-02-04T00:00:00"/>
    <s v="instacart"/>
    <s v=""/>
    <n v="267020"/>
    <x v="0"/>
    <x v="0"/>
    <x v="0"/>
    <x v="0"/>
  </r>
  <r>
    <x v="666"/>
    <x v="6"/>
    <s v="Bertolli Tomato and Basil Sauce - 24 Oz"/>
    <n v="24"/>
    <s v="ounce"/>
    <d v="2021-10-28T00:00:00"/>
    <d v="2026-02-07T00:00:00"/>
    <s v="instacart"/>
    <n v="73889"/>
    <n v="261489"/>
    <x v="0"/>
    <x v="0"/>
    <x v="0"/>
    <x v="0"/>
  </r>
  <r>
    <x v="667"/>
    <x v="216"/>
    <s v="Jersey Tomato Co. Sauce Spicy - 24 Oz"/>
    <n v="24"/>
    <s v="ounce"/>
    <d v="2021-10-31T00:00:00"/>
    <d v="2026-01-29T00:00:00"/>
    <s v="instacart"/>
    <s v=""/>
    <n v="266375"/>
    <x v="1"/>
    <x v="0"/>
    <x v="1"/>
    <x v="0"/>
  </r>
  <r>
    <x v="668"/>
    <x v="217"/>
    <s v="Lidias Pasta Sauce Marinara - 32 Oz"/>
    <n v="32"/>
    <s v="ounce"/>
    <d v="2021-10-28T00:00:00"/>
    <d v="2026-02-06T00:00:00"/>
    <s v="instacart"/>
    <n v="303442"/>
    <n v="261831"/>
    <x v="1"/>
    <x v="0"/>
    <x v="1"/>
    <x v="0"/>
  </r>
  <r>
    <x v="669"/>
    <x v="4"/>
    <s v="Nanina's In The Park Tomato &amp; Basil Premium Quality Gourmet Pasta Sauce, 23.25 oz"/>
    <n v="23.25"/>
    <s v="ounce"/>
    <d v="2023-03-26T00:00:00"/>
    <d v="2026-02-04T00:00:00"/>
    <s v="instacart"/>
    <n v="29476586"/>
    <n v="262033"/>
    <x v="0"/>
    <x v="0"/>
    <x v="0"/>
    <x v="0"/>
  </r>
  <r>
    <x v="670"/>
    <x v="186"/>
    <s v="Carfagnas Sauce, Vodka"/>
    <n v="32"/>
    <s v="ounce"/>
    <d v="2021-10-28T00:00:00"/>
    <d v="2026-02-06T00:00:00"/>
    <s v="instacart"/>
    <n v="16948735"/>
    <n v="264341"/>
    <x v="1"/>
    <x v="0"/>
    <x v="1"/>
    <x v="0"/>
  </r>
  <r>
    <x v="671"/>
    <x v="218"/>
    <s v="Anthoninos - Taverna Marinara Sauce (24 Oz)"/>
    <n v="24"/>
    <s v="ounce"/>
    <d v="2024-02-15T00:00:00"/>
    <d v="2026-02-02T00:00:00"/>
    <s v="instacart"/>
    <s v=""/>
    <n v="264364"/>
    <x v="1"/>
    <x v="0"/>
    <x v="1"/>
    <x v="0"/>
  </r>
  <r>
    <x v="672"/>
    <x v="6"/>
    <s v="Bertolli Pasta Sauce with Spicy Italian Sausage and Romano Cheese, Spaghetti Tomato Sauce, 24 oz"/>
    <n v="24"/>
    <s v="ounce"/>
    <d v="2024-02-25T00:00:00"/>
    <d v="2026-02-06T00:00:00"/>
    <s v="instacart"/>
    <n v="44068247"/>
    <n v="266320"/>
    <x v="0"/>
    <x v="0"/>
    <x v="0"/>
    <x v="0"/>
  </r>
  <r>
    <x v="673"/>
    <x v="5"/>
    <s v="Prego Fire Roasted Tomato Pasta Sauce - 23.5 Oz"/>
    <n v="23.5"/>
    <s v="ounce"/>
    <d v="2023-06-11T00:00:00"/>
    <d v="2026-02-06T00:00:00"/>
    <s v="instacart"/>
    <n v="29627839"/>
    <n v="264158"/>
    <x v="0"/>
    <x v="0"/>
    <x v="0"/>
    <x v="0"/>
  </r>
  <r>
    <x v="674"/>
    <x v="124"/>
    <s v="Pastene Kitchen Ready Seasoned Starter Pasta Sauce, 28 oz"/>
    <n v="28"/>
    <s v="ounce"/>
    <d v="2021-10-28T00:00:00"/>
    <d v="2026-02-06T00:00:00"/>
    <s v="instacart"/>
    <n v="16971687"/>
    <n v="266281"/>
    <x v="1"/>
    <x v="0"/>
    <x v="1"/>
    <x v="0"/>
  </r>
  <r>
    <x v="675"/>
    <x v="43"/>
    <s v="Filippo Berio Arrabbiata Sauce, 24 oz"/>
    <n v="24"/>
    <s v="ounce"/>
    <d v="2024-06-16T00:00:00"/>
    <d v="2026-02-06T00:00:00"/>
    <s v="instacart"/>
    <n v="29358645"/>
    <n v="264052"/>
    <x v="1"/>
    <x v="0"/>
    <x v="1"/>
    <x v="0"/>
  </r>
  <r>
    <x v="676"/>
    <x v="6"/>
    <s v="Bertolli Sauce, Creamy Rosa 24.7 ea"/>
    <n v="24.7"/>
    <s v="ounce"/>
    <d v="2021-10-28T00:00:00"/>
    <d v="2026-02-06T00:00:00"/>
    <s v="instacart"/>
    <n v="23836539"/>
    <n v="264340"/>
    <x v="0"/>
    <x v="0"/>
    <x v="0"/>
    <x v="0"/>
  </r>
  <r>
    <x v="677"/>
    <x v="34"/>
    <s v="Newman's Own Roasted Garlic Pasta Sauce 24 oz"/>
    <n v="24"/>
    <s v="ounce"/>
    <d v="2021-10-28T00:00:00"/>
    <d v="2026-02-06T00:00:00"/>
    <s v="instacart"/>
    <n v="19977903"/>
    <n v="266594"/>
    <x v="1"/>
    <x v="0"/>
    <x v="1"/>
    <x v="0"/>
  </r>
  <r>
    <x v="678"/>
    <x v="83"/>
    <s v="Only Goodness - Plant-Based Bolognese Style Pasta Sauce"/>
    <n v="16.906742000000001"/>
    <s v="fluid ounce"/>
    <d v="2023-10-19T00:00:00"/>
    <d v="2025-12-28T00:00:00"/>
    <s v="instacart"/>
    <s v=""/>
    <n v="266311"/>
    <x v="0"/>
    <x v="0"/>
    <x v="0"/>
    <x v="0"/>
  </r>
  <r>
    <x v="679"/>
    <x v="19"/>
    <s v="Classico Organic Tomato, Herbs &amp; Spices Pasta Sauce, 3 ct./32 oz."/>
    <n v="3"/>
    <s v="count"/>
    <d v="2022-01-31T00:00:00"/>
    <d v="2026-01-23T00:00:00"/>
    <s v="instacart"/>
    <n v="32840"/>
    <n v="264715"/>
    <x v="1"/>
    <x v="0"/>
    <x v="1"/>
    <x v="0"/>
  </r>
  <r>
    <x v="680"/>
    <x v="119"/>
    <s v="BELLA ITALIA Organic Tomato Ricotta Pasta Sauce, 13.9 OZ"/>
    <n v="13.9"/>
    <s v="ounce"/>
    <d v="2025-03-05T00:00:00"/>
    <d v="2026-02-04T00:00:00"/>
    <s v="instacart"/>
    <s v=""/>
    <n v="264412"/>
    <x v="0"/>
    <x v="0"/>
    <x v="0"/>
    <x v="0"/>
  </r>
  <r>
    <x v="681"/>
    <x v="81"/>
    <s v="Bove's Organic Basil Pasta Sauce"/>
    <n v="24"/>
    <s v="ounce"/>
    <d v="2025-05-28T00:00:00"/>
    <d v="2025-10-22T00:00:00"/>
    <s v="instacart"/>
    <s v=""/>
    <n v="264097"/>
    <x v="0"/>
    <x v="0"/>
    <x v="0"/>
    <x v="0"/>
  </r>
  <r>
    <x v="682"/>
    <x v="179"/>
    <s v="Pizza Girl Inc Pasta Sauce Arrabbiat Organic - 24 OZ"/>
    <n v="24"/>
    <s v="ounce"/>
    <d v="2021-11-07T00:00:00"/>
    <d v="2026-02-06T00:00:00"/>
    <s v="instacart"/>
    <n v="25029414"/>
    <n v="264056"/>
    <x v="1"/>
    <x v="0"/>
    <x v="1"/>
    <x v="0"/>
  </r>
  <r>
    <x v="683"/>
    <x v="219"/>
    <s v="Hunts Traditional Spaghetti Sauce - Case"/>
    <n v="1"/>
    <s v="count"/>
    <d v="2023-09-20T00:00:00"/>
    <d v="2026-02-06T00:00:00"/>
    <s v="instacart"/>
    <s v=""/>
    <n v="266294"/>
    <x v="0"/>
    <x v="0"/>
    <x v="0"/>
    <x v="0"/>
  </r>
  <r>
    <x v="684"/>
    <x v="99"/>
    <s v="Delallo Marinara, Fat Free, Pomodoro Fresco"/>
    <n v="25.25"/>
    <s v="ounce"/>
    <d v="2021-10-28T00:00:00"/>
    <d v="2025-10-31T00:00:00"/>
    <s v="instacart"/>
    <n v="152791"/>
    <n v="261857"/>
    <x v="1"/>
    <x v="0"/>
    <x v="1"/>
    <x v="0"/>
  </r>
  <r>
    <x v="685"/>
    <x v="44"/>
    <s v="Botticelli - Parmigiano Reggiano Pasta Sauce (24 Oz)"/>
    <n v="24"/>
    <s v="ounce"/>
    <d v="2021-10-28T00:00:00"/>
    <d v="2026-02-06T00:00:00"/>
    <s v="instacart"/>
    <n v="22160853"/>
    <n v="267091"/>
    <x v="0"/>
    <x v="0"/>
    <x v="0"/>
    <x v="0"/>
  </r>
  <r>
    <x v="686"/>
    <x v="15"/>
    <s v="Ragu No Sugar Added Traditional Sauce 24 oz"/>
    <n v="24"/>
    <s v="ounce"/>
    <d v="2021-10-28T00:00:00"/>
    <d v="2026-02-07T00:00:00"/>
    <s v="instacart"/>
    <n v="18581089"/>
    <n v="266908"/>
    <x v="0"/>
    <x v="0"/>
    <x v="0"/>
    <x v="0"/>
  </r>
  <r>
    <x v="687"/>
    <x v="16"/>
    <s v="MIDS PASTA SAUCE TRAD MEATLESS"/>
    <n v="28"/>
    <s v="ounce"/>
    <d v="2021-10-28T00:00:00"/>
    <d v="2026-02-06T00:00:00"/>
    <s v="instacart"/>
    <n v="30200841"/>
    <n v="264196"/>
    <x v="0"/>
    <x v="0"/>
    <x v="0"/>
    <x v="0"/>
  </r>
  <r>
    <x v="688"/>
    <x v="197"/>
    <s v="The Pasta Queen Arrabbiata Sauce, 24 oz Jar"/>
    <n v="24"/>
    <s v="ounce"/>
    <d v="2024-02-22T00:00:00"/>
    <d v="2026-02-07T00:00:00"/>
    <s v="instacart"/>
    <n v="43727206"/>
    <n v="262641"/>
    <x v="1"/>
    <x v="0"/>
    <x v="1"/>
    <x v="0"/>
  </r>
  <r>
    <x v="689"/>
    <x v="5"/>
    <s v="PregoÂ® Traditional Italian Pasta Sauce"/>
    <n v="45"/>
    <s v="ounce"/>
    <d v="2021-10-31T00:00:00"/>
    <d v="2026-02-07T00:00:00"/>
    <s v="instacart"/>
    <n v="36161"/>
    <n v="266550"/>
    <x v="1"/>
    <x v="0"/>
    <x v="1"/>
    <x v="0"/>
  </r>
  <r>
    <x v="690"/>
    <x v="7"/>
    <s v="Rao's Homemade Tomato Sauce | Roasted Garlic | 24 oz | Versatile Pasta Sauce | Carb Conscious, Keto Friendly | All Natural, Premium Quality | Made with Sweet Italian Tomatoes and Caramelized Garlic"/>
    <n v="24"/>
    <s v="ounce"/>
    <d v="2021-10-28T00:00:00"/>
    <d v="2026-02-04T00:00:00"/>
    <s v="instacart"/>
    <n v="53413"/>
    <n v="266313"/>
    <x v="0"/>
    <x v="0"/>
    <x v="0"/>
    <x v="0"/>
  </r>
  <r>
    <x v="691"/>
    <x v="12"/>
    <s v="Orti Di Calabria Mushroom Ragu, 22.9 oz"/>
    <n v="22.9"/>
    <s v="ounce"/>
    <d v="2021-10-28T00:00:00"/>
    <d v="2024-06-24T00:00:00"/>
    <s v="instacart"/>
    <s v=""/>
    <n v="262048"/>
    <x v="0"/>
    <x v="0"/>
    <x v="0"/>
    <x v="0"/>
  </r>
  <r>
    <x v="692"/>
    <x v="54"/>
    <s v="Carbone Tomato And Basil Sauce - 24 Oz"/>
    <n v="24"/>
    <s v="ounce"/>
    <d v="2021-10-28T00:00:00"/>
    <d v="2026-02-07T00:00:00"/>
    <s v="instacart"/>
    <n v="24370321"/>
    <n v="261575"/>
    <x v="0"/>
    <x v="0"/>
    <x v="0"/>
    <x v="0"/>
  </r>
  <r>
    <x v="693"/>
    <x v="120"/>
    <s v="Yo Mama's Foods Keto Vodka Pasta Sauce, 2 PK"/>
    <m/>
    <m/>
    <d v="2022-11-01T00:00:00"/>
    <d v="2023-06-22T00:00:00"/>
    <s v="instacart"/>
    <s v=""/>
    <n v="261481"/>
    <x v="1"/>
    <x v="0"/>
    <x v="1"/>
    <x v="0"/>
  </r>
  <r>
    <x v="694"/>
    <x v="0"/>
    <s v="Francesco Rinaldi Spicy Arrabbiata Marinara Sauce, 24 oz"/>
    <n v="24"/>
    <s v="ounce"/>
    <d v="2025-11-05T00:00:00"/>
    <d v="2026-02-04T00:00:00"/>
    <s v="instacart"/>
    <n v="89904502"/>
    <n v="264557"/>
    <x v="1"/>
    <x v="0"/>
    <x v="1"/>
    <x v="0"/>
  </r>
  <r>
    <x v="695"/>
    <x v="220"/>
    <s v="Tuscanini Napoletana Pasta Sauce, 24.3 oz"/>
    <n v="24.3"/>
    <s v="ounce"/>
    <d v="2021-10-29T00:00:00"/>
    <d v="2026-02-06T00:00:00"/>
    <s v="instacart"/>
    <s v=""/>
    <n v="266310"/>
    <x v="1"/>
    <x v="0"/>
    <x v="1"/>
    <x v="0"/>
  </r>
  <r>
    <x v="696"/>
    <x v="5"/>
    <s v="Prego - Pasta Sauce - Tomato, Onion &amp; Garlic"/>
    <n v="21.809698000000001"/>
    <s v="fluid ounce"/>
    <d v="2021-10-28T00:00:00"/>
    <d v="2026-02-05T00:00:00"/>
    <s v="instacart"/>
    <s v=""/>
    <n v="261907"/>
    <x v="1"/>
    <x v="0"/>
    <x v="1"/>
    <x v="0"/>
  </r>
  <r>
    <x v="697"/>
    <x v="221"/>
    <s v="Agromonte Pasta Sauce of Cherry Tomato and Roasted Garlic"/>
    <n v="9.17"/>
    <s v="ounce"/>
    <d v="2021-10-28T00:00:00"/>
    <d v="2025-03-19T00:00:00"/>
    <s v="instacart"/>
    <s v=""/>
    <n v="264098"/>
    <x v="1"/>
    <x v="0"/>
    <x v="1"/>
    <x v="0"/>
  </r>
  <r>
    <x v="698"/>
    <x v="99"/>
    <s v="DeLalloÂ® Pomodoro Fresco Creamy Vodka Pasta Sauce"/>
    <n v="25.25"/>
    <s v="ounce"/>
    <d v="2021-10-28T00:00:00"/>
    <d v="2026-02-06T00:00:00"/>
    <s v="instacart"/>
    <n v="152792"/>
    <n v="266566"/>
    <x v="0"/>
    <x v="0"/>
    <x v="0"/>
    <x v="0"/>
  </r>
  <r>
    <x v="699"/>
    <x v="54"/>
    <s v="Carbone Basil Tomato Sauce - 32 Oz"/>
    <n v="32"/>
    <s v="ounce"/>
    <d v="2022-03-13T00:00:00"/>
    <d v="2026-02-06T00:00:00"/>
    <s v="instacart"/>
    <n v="26965285"/>
    <n v="264080"/>
    <x v="1"/>
    <x v="0"/>
    <x v="1"/>
    <x v="0"/>
  </r>
  <r>
    <x v="700"/>
    <x v="99"/>
    <s v="Delallo Pomodoro Fresco, Tomato Basil 25.25 Oz"/>
    <n v="25.25"/>
    <s v="ounce"/>
    <d v="2021-10-28T00:00:00"/>
    <d v="2026-02-06T00:00:00"/>
    <s v="instacart"/>
    <n v="152804"/>
    <n v="266933"/>
    <x v="0"/>
    <x v="0"/>
    <x v="0"/>
    <x v="0"/>
  </r>
  <r>
    <x v="701"/>
    <x v="38"/>
    <s v="Romano's Marinara Pasta Sauce"/>
    <n v="26"/>
    <s v="ounce"/>
    <d v="2021-10-31T00:00:00"/>
    <d v="2026-02-04T00:00:00"/>
    <s v="instacart"/>
    <n v="2317519"/>
    <n v="261576"/>
    <x v="0"/>
    <x v="1"/>
    <x v="0"/>
    <x v="1"/>
  </r>
  <r>
    <x v="702"/>
    <x v="2"/>
    <s v="Rao's Homemade Marinara Sauce"/>
    <m/>
    <m/>
    <d v="2023-01-04T00:00:00"/>
    <d v="2023-06-22T00:00:00"/>
    <s v="instacart"/>
    <s v=""/>
    <n v="261815"/>
    <x v="0"/>
    <x v="0"/>
    <x v="0"/>
    <x v="0"/>
  </r>
  <r>
    <x v="703"/>
    <x v="101"/>
    <s v="Cucina &amp; Amore Puttanesca Pasta Sauce"/>
    <n v="16.8"/>
    <s v="ounce"/>
    <d v="2021-10-28T00:00:00"/>
    <d v="2026-02-06T00:00:00"/>
    <s v="instacart"/>
    <n v="80807"/>
    <n v="261796"/>
    <x v="1"/>
    <x v="0"/>
    <x v="1"/>
    <x v="0"/>
  </r>
  <r>
    <x v="704"/>
    <x v="47"/>
    <s v="Sonoma Gourmet Creamy Parmesan Tomato Sauce  - 24.5 Oz"/>
    <n v="24.5"/>
    <s v="ounce"/>
    <d v="2024-05-11T00:00:00"/>
    <d v="2026-02-06T00:00:00"/>
    <s v="instacart"/>
    <n v="26648402"/>
    <n v="266396"/>
    <x v="1"/>
    <x v="0"/>
    <x v="1"/>
    <x v="0"/>
  </r>
  <r>
    <x v="705"/>
    <x v="54"/>
    <s v="Carbone Sauce, Mushroom"/>
    <n v="24"/>
    <s v="ounce"/>
    <d v="2022-03-13T00:00:00"/>
    <d v="2026-02-06T00:00:00"/>
    <s v="instacart"/>
    <n v="26952831"/>
    <n v="264420"/>
    <x v="0"/>
    <x v="0"/>
    <x v="0"/>
    <x v="0"/>
  </r>
  <r>
    <x v="706"/>
    <x v="177"/>
    <s v="Little Italy in the Bronx Sauce, Arrabbiata"/>
    <n v="24"/>
    <s v="ounce"/>
    <d v="2021-10-28T00:00:00"/>
    <d v="2026-02-06T00:00:00"/>
    <s v="instacart"/>
    <n v="18474774"/>
    <n v="266376"/>
    <x v="0"/>
    <x v="0"/>
    <x v="0"/>
    <x v="0"/>
  </r>
  <r>
    <x v="707"/>
    <x v="2"/>
    <s v="Rao's Mushroom &amp; Bell Pepper Sauce, 24oz"/>
    <n v="24"/>
    <s v="ounce"/>
    <d v="2021-10-28T00:00:00"/>
    <d v="2026-02-07T00:00:00"/>
    <s v="instacart"/>
    <n v="91467"/>
    <n v="262030"/>
    <x v="1"/>
    <x v="0"/>
    <x v="1"/>
    <x v="0"/>
  </r>
  <r>
    <x v="708"/>
    <x v="132"/>
    <s v="Michael's of Brooklyn Marinara Sauce, 32 oz"/>
    <n v="32"/>
    <s v="ounce"/>
    <d v="2021-10-28T00:00:00"/>
    <d v="2026-02-06T00:00:00"/>
    <s v="instacart"/>
    <s v="16754838, 34712613"/>
    <s v="261670, 261671"/>
    <x v="1"/>
    <x v="0"/>
    <x v="1"/>
    <x v="0"/>
  </r>
  <r>
    <x v="709"/>
    <x v="41"/>
    <s v="Nonna Pia's - Siciliana Pasta Sauce"/>
    <n v="22.3169"/>
    <s v="fluid ounce"/>
    <d v="2025-04-13T00:00:00"/>
    <d v="2026-02-05T00:00:00"/>
    <s v="instacart"/>
    <s v=""/>
    <n v="267041"/>
    <x v="0"/>
    <x v="0"/>
    <x v="0"/>
    <x v="0"/>
  </r>
  <r>
    <x v="710"/>
    <x v="54"/>
    <s v="Carbone Italian Tomatoes Marinara 24 Oz"/>
    <n v="24"/>
    <s v="ounce"/>
    <d v="2021-10-28T00:00:00"/>
    <d v="2026-02-07T00:00:00"/>
    <s v="instacart"/>
    <n v="24370172"/>
    <n v="264295"/>
    <x v="1"/>
    <x v="0"/>
    <x v="1"/>
    <x v="0"/>
  </r>
  <r>
    <x v="711"/>
    <x v="19"/>
    <s v="Classico - Roasted Portobello Mushrooms Spaghetti Pasta Sauce"/>
    <n v="21.978764999999999"/>
    <s v="fluid ounce"/>
    <d v="2021-10-28T00:00:00"/>
    <d v="2025-02-20T00:00:00"/>
    <s v="instacart"/>
    <s v=""/>
    <n v="264698"/>
    <x v="0"/>
    <x v="0"/>
    <x v="0"/>
    <x v="0"/>
  </r>
  <r>
    <x v="712"/>
    <x v="47"/>
    <s v="Sonoma Gourmet Organic Vodka &amp; Cream Pasta Sauce, 25 oz"/>
    <n v="25"/>
    <s v="ounce"/>
    <d v="2021-10-28T00:00:00"/>
    <d v="2026-02-06T00:00:00"/>
    <s v="instacart"/>
    <n v="16273370"/>
    <n v="261756"/>
    <x v="0"/>
    <x v="0"/>
    <x v="0"/>
    <x v="0"/>
  </r>
  <r>
    <x v="713"/>
    <x v="171"/>
    <s v="Sauces n Love Pasta Sauces, Sugo Rosa"/>
    <n v="15.36"/>
    <s v="ounce"/>
    <d v="2021-10-28T00:00:00"/>
    <d v="2026-02-06T00:00:00"/>
    <s v="instacart"/>
    <s v=""/>
    <n v="262144"/>
    <x v="1"/>
    <x v="0"/>
    <x v="1"/>
    <x v="0"/>
  </r>
  <r>
    <x v="714"/>
    <x v="38"/>
    <s v="newman's Own - Italian Sausage Peppers Sce"/>
    <n v="24"/>
    <s v="ounce"/>
    <d v="2021-10-28T00:00:00"/>
    <d v="2026-02-06T00:00:00"/>
    <s v="instacart"/>
    <n v="77087"/>
    <n v="261895"/>
    <x v="1"/>
    <x v="1"/>
    <x v="1"/>
    <x v="1"/>
  </r>
  <r>
    <x v="715"/>
    <x v="20"/>
    <s v="Yo Mamas Foods Tomato Sauce Spicy Marinara - 25 Oz"/>
    <n v="25"/>
    <s v="ounce"/>
    <d v="2021-10-28T00:00:00"/>
    <d v="2026-02-05T00:00:00"/>
    <s v="instacart"/>
    <n v="22696882"/>
    <n v="266981"/>
    <x v="1"/>
    <x v="0"/>
    <x v="1"/>
    <x v="0"/>
  </r>
  <r>
    <x v="716"/>
    <x v="38"/>
    <s v="the meatball shop creamy tomato basil pasta sauce"/>
    <n v="24"/>
    <s v="ounce"/>
    <d v="2021-10-31T00:00:00"/>
    <d v="2026-02-05T00:00:00"/>
    <s v="instacart"/>
    <s v=""/>
    <n v="267065"/>
    <x v="0"/>
    <x v="1"/>
    <x v="0"/>
    <x v="1"/>
  </r>
  <r>
    <x v="717"/>
    <x v="38"/>
    <s v="La Pasta Sauce Pink Vodka Pasta Tub"/>
    <n v="15.3"/>
    <s v="ounce"/>
    <d v="2021-10-28T00:00:00"/>
    <d v="2026-02-06T00:00:00"/>
    <s v="instacart"/>
    <n v="322606"/>
    <n v="266835"/>
    <x v="0"/>
    <x v="1"/>
    <x v="0"/>
    <x v="1"/>
  </r>
  <r>
    <x v="718"/>
    <x v="222"/>
    <s v="CATELLI - Garden Select Garlic &amp; Onion"/>
    <n v="20.288091000000001"/>
    <s v="fluid ounce"/>
    <d v="2024-09-27T00:00:00"/>
    <d v="2026-02-05T00:00:00"/>
    <s v="instacart"/>
    <s v=""/>
    <n v="266389"/>
    <x v="1"/>
    <x v="0"/>
    <x v="1"/>
    <x v="0"/>
  </r>
  <r>
    <x v="719"/>
    <x v="174"/>
    <s v="Barilla Fire Roasted Marinara"/>
    <n v="24"/>
    <s v="ounce"/>
    <d v="2021-10-28T00:00:00"/>
    <d v="2026-02-06T00:00:00"/>
    <s v="instacart"/>
    <n v="9975"/>
    <n v="266350"/>
    <x v="0"/>
    <x v="0"/>
    <x v="0"/>
    <x v="0"/>
  </r>
  <r>
    <x v="720"/>
    <x v="54"/>
    <s v="Carbone Marinara Delicato Pasta Sauce"/>
    <n v="24"/>
    <s v="ounce"/>
    <d v="2022-03-06T00:00:00"/>
    <d v="2026-02-06T00:00:00"/>
    <s v="instacart"/>
    <n v="26932445"/>
    <n v="261578"/>
    <x v="1"/>
    <x v="0"/>
    <x v="1"/>
    <x v="0"/>
  </r>
  <r>
    <x v="721"/>
    <x v="179"/>
    <s v="Pizza Girl Inc Pasta Sauce Marinara Organic - 24 OZ"/>
    <n v="24"/>
    <s v="ounce"/>
    <d v="2021-11-07T00:00:00"/>
    <d v="2026-02-06T00:00:00"/>
    <s v="instacart"/>
    <n v="20211750"/>
    <n v="264447"/>
    <x v="1"/>
    <x v="0"/>
    <x v="1"/>
    <x v="0"/>
  </r>
  <r>
    <x v="722"/>
    <x v="15"/>
    <s v="Ragu Chunky Tomato, Garlic and Onion Pasta Sauce"/>
    <n v="24"/>
    <s v="ounce"/>
    <d v="2021-10-28T00:00:00"/>
    <d v="2026-02-07T00:00:00"/>
    <s v="instacart"/>
    <n v="39255"/>
    <n v="264210"/>
    <x v="0"/>
    <x v="0"/>
    <x v="0"/>
    <x v="0"/>
  </r>
  <r>
    <x v="723"/>
    <x v="38"/>
    <s v="Bklyn Best Marinara Sce"/>
    <n v="25"/>
    <s v="ounce"/>
    <d v="2022-01-18T00:00:00"/>
    <d v="2025-10-31T00:00:00"/>
    <s v="instacart"/>
    <s v=""/>
    <n v="266906"/>
    <x v="1"/>
    <x v="1"/>
    <x v="1"/>
    <x v="1"/>
  </r>
  <r>
    <x v="724"/>
    <x v="223"/>
    <s v="Sal &amp; Judys Italian Sauce, Original"/>
    <n v="25"/>
    <s v="ounce"/>
    <d v="2021-10-28T00:00:00"/>
    <d v="2026-02-04T00:00:00"/>
    <s v="instacart"/>
    <n v="17649189"/>
    <n v="261577"/>
    <x v="0"/>
    <x v="0"/>
    <x v="0"/>
    <x v="0"/>
  </r>
  <r>
    <x v="725"/>
    <x v="19"/>
    <s v="Classico - Italian Sausage Peppers &amp; Onion Sauce"/>
    <n v="20.288091000000001"/>
    <s v="fluid ounce"/>
    <d v="2024-12-05T00:00:00"/>
    <d v="2026-02-05T00:00:00"/>
    <s v="instacart"/>
    <s v=""/>
    <n v="264127"/>
    <x v="1"/>
    <x v="0"/>
    <x v="1"/>
    <x v="0"/>
  </r>
  <r>
    <x v="726"/>
    <x v="57"/>
    <s v="MadeWith Tomato Basil Organic Pasta Sauce - 24 Ounce"/>
    <n v="25"/>
    <s v="ounce"/>
    <d v="2021-10-28T00:00:00"/>
    <d v="2026-02-06T00:00:00"/>
    <s v="instacart"/>
    <n v="3296957"/>
    <n v="267094"/>
    <x v="1"/>
    <x v="0"/>
    <x v="1"/>
    <x v="0"/>
  </r>
  <r>
    <x v="727"/>
    <x v="19"/>
    <s v="Classico Tomato &amp; Basil Spaghetti Pasta Sauce"/>
    <n v="21.978764999999999"/>
    <s v="fluid ounce"/>
    <d v="2021-10-28T00:00:00"/>
    <d v="2024-12-12T00:00:00"/>
    <s v="instacart"/>
    <s v=""/>
    <n v="266336"/>
    <x v="1"/>
    <x v="0"/>
    <x v="1"/>
    <x v="0"/>
  </r>
  <r>
    <x v="728"/>
    <x v="38"/>
    <s v="Philomena Tomato Basil Sauce - 25 OZ"/>
    <n v="25"/>
    <s v="ounce"/>
    <d v="2021-12-04T00:00:00"/>
    <d v="2024-11-03T00:00:00"/>
    <s v="instacart"/>
    <s v=""/>
    <n v="261479"/>
    <x v="1"/>
    <x v="1"/>
    <x v="1"/>
    <x v="1"/>
  </r>
  <r>
    <x v="729"/>
    <x v="19"/>
    <s v="Classico Pasta Sauce, Parmesan &amp; Romano 24 Oz"/>
    <n v="24"/>
    <s v="ounce"/>
    <d v="2021-10-28T00:00:00"/>
    <d v="2025-09-18T00:00:00"/>
    <s v="instacart"/>
    <s v=""/>
    <n v="266341"/>
    <x v="0"/>
    <x v="0"/>
    <x v="0"/>
    <x v="0"/>
  </r>
  <r>
    <x v="730"/>
    <x v="44"/>
    <s v="Botticelli Foods Llc Sauce Diavolo - 24 Oz"/>
    <n v="24"/>
    <s v="ounce"/>
    <d v="2021-10-28T00:00:00"/>
    <d v="2026-02-06T00:00:00"/>
    <s v="instacart"/>
    <n v="3356570"/>
    <n v="266533"/>
    <x v="0"/>
    <x v="0"/>
    <x v="0"/>
    <x v="0"/>
  </r>
  <r>
    <x v="731"/>
    <x v="34"/>
    <s v="Newman's Own Fire Roasted Tomato &amp; Garlic Patsa Sauce"/>
    <n v="24"/>
    <s v="ounce"/>
    <d v="2021-10-28T00:00:00"/>
    <d v="2026-02-05T00:00:00"/>
    <s v="instacart"/>
    <n v="19977855"/>
    <n v="261645"/>
    <x v="0"/>
    <x v="0"/>
    <x v="0"/>
    <x v="0"/>
  </r>
  <r>
    <x v="732"/>
    <x v="197"/>
    <s v="The Pasta Queen Marinara Sauce, 24 oz Jar"/>
    <n v="24"/>
    <s v="ounce"/>
    <d v="2024-02-20T00:00:00"/>
    <d v="2026-02-07T00:00:00"/>
    <s v="instacart"/>
    <n v="43727085"/>
    <n v="264275"/>
    <x v="1"/>
    <x v="0"/>
    <x v="1"/>
    <x v="0"/>
  </r>
  <r>
    <x v="733"/>
    <x v="120"/>
    <s v="Yo Mama's Foods Keto Marinara Pasta Sauce, No Sugar Added"/>
    <m/>
    <m/>
    <d v="2022-11-01T00:00:00"/>
    <d v="2023-06-22T00:00:00"/>
    <s v="instacart"/>
    <s v=""/>
    <n v="266436"/>
    <x v="1"/>
    <x v="0"/>
    <x v="1"/>
    <x v="0"/>
  </r>
  <r>
    <x v="734"/>
    <x v="224"/>
    <s v="Frescorti Marinara Pasta Sauce"/>
    <n v="26"/>
    <s v="ounce"/>
    <d v="2021-10-28T00:00:00"/>
    <d v="2026-02-06T00:00:00"/>
    <s v="instacart"/>
    <n v="91449"/>
    <n v="261852"/>
    <x v="1"/>
    <x v="0"/>
    <x v="1"/>
    <x v="0"/>
  </r>
  <r>
    <x v="735"/>
    <x v="44"/>
    <s v="Botticelli Pasta Sauce, Premium, Vegan, Bolognese 24 oz"/>
    <n v="24"/>
    <s v="ounce"/>
    <d v="2021-10-28T00:00:00"/>
    <d v="2026-02-06T00:00:00"/>
    <s v="instacart"/>
    <n v="1854363"/>
    <n v="266349"/>
    <x v="1"/>
    <x v="0"/>
    <x v="1"/>
    <x v="0"/>
  </r>
  <r>
    <x v="736"/>
    <x v="193"/>
    <s v="Creamy Tomato Vodka Sauce, 26 OZ"/>
    <n v="26"/>
    <s v="ounce"/>
    <d v="2021-10-28T00:00:00"/>
    <d v="2026-02-06T00:00:00"/>
    <s v="instacart"/>
    <n v="232485"/>
    <n v="264584"/>
    <x v="1"/>
    <x v="0"/>
    <x v="1"/>
    <x v="0"/>
  </r>
  <r>
    <x v="737"/>
    <x v="127"/>
    <s v="THE SILVER PALATE Fra Diavolo Sauce"/>
    <n v="25"/>
    <s v="ounce"/>
    <d v="2021-10-28T00:00:00"/>
    <d v="2026-02-06T00:00:00"/>
    <s v="instacart"/>
    <n v="98548"/>
    <n v="261521"/>
    <x v="0"/>
    <x v="0"/>
    <x v="0"/>
    <x v="0"/>
  </r>
  <r>
    <x v="738"/>
    <x v="55"/>
    <s v="Cucina Antica Tomato Basil Sauce, 25 oz"/>
    <n v="25"/>
    <s v="ounce"/>
    <d v="2021-10-28T00:00:00"/>
    <d v="2026-02-06T00:00:00"/>
    <s v="instacart"/>
    <n v="80811"/>
    <n v="266365"/>
    <x v="0"/>
    <x v="0"/>
    <x v="0"/>
    <x v="0"/>
  </r>
  <r>
    <x v="739"/>
    <x v="38"/>
    <s v="Pompilio's Spicy Puttanesca Pasta Sauce"/>
    <n v="26"/>
    <s v="ounce"/>
    <d v="2021-11-03T00:00:00"/>
    <d v="2026-02-05T00:00:00"/>
    <s v="instacart"/>
    <n v="17411488"/>
    <n v="264739"/>
    <x v="0"/>
    <x v="1"/>
    <x v="0"/>
    <x v="1"/>
  </r>
  <r>
    <x v="740"/>
    <x v="38"/>
    <s v="Spinato's Vodka Cream Sauce"/>
    <n v="24"/>
    <s v="ounce"/>
    <d v="2021-10-28T00:00:00"/>
    <d v="2026-02-06T00:00:00"/>
    <s v="instacart"/>
    <n v="17070862"/>
    <n v="264727"/>
    <x v="0"/>
    <x v="1"/>
    <x v="0"/>
    <x v="1"/>
  </r>
  <r>
    <x v="741"/>
    <x v="225"/>
    <s v="Pasta Sauce, Grandma's Sausage &amp; Fennel 26 oz"/>
    <n v="26"/>
    <s v="ounce"/>
    <d v="2021-11-02T00:00:00"/>
    <d v="2025-01-26T00:00:00"/>
    <s v="instacart"/>
    <s v=""/>
    <n v="266335"/>
    <x v="1"/>
    <x v="0"/>
    <x v="1"/>
    <x v="0"/>
  </r>
  <r>
    <x v="742"/>
    <x v="88"/>
    <s v="Pirros Bolognese Sauce - 24 Oz"/>
    <n v="24"/>
    <s v="ounce"/>
    <d v="2021-10-28T00:00:00"/>
    <d v="2026-02-06T00:00:00"/>
    <s v="instacart"/>
    <n v="2659205"/>
    <n v="266494"/>
    <x v="1"/>
    <x v="0"/>
    <x v="1"/>
    <x v="0"/>
  </r>
  <r>
    <x v="743"/>
    <x v="38"/>
    <s v="Racconto Riserva Bolognese"/>
    <n v="24"/>
    <s v="ounce"/>
    <d v="2021-11-01T00:00:00"/>
    <d v="2026-02-03T00:00:00"/>
    <s v="instacart"/>
    <n v="91496"/>
    <n v="266384"/>
    <x v="1"/>
    <x v="1"/>
    <x v="1"/>
    <x v="1"/>
  </r>
  <r>
    <x v="744"/>
    <x v="35"/>
    <s v="SEGGIANO Organic Basilico Pasta Sauce, 24 OZ"/>
    <n v="24"/>
    <s v="ounce"/>
    <d v="2021-10-31T00:00:00"/>
    <d v="2026-02-06T00:00:00"/>
    <s v="instacart"/>
    <n v="19278556"/>
    <n v="261517"/>
    <x v="0"/>
    <x v="0"/>
    <x v="0"/>
    <x v="0"/>
  </r>
  <r>
    <x v="745"/>
    <x v="47"/>
    <s v="Sonoma Gourmet - Spicy Serrano Marinara"/>
    <n v="25"/>
    <s v="ounce"/>
    <d v="2021-10-28T00:00:00"/>
    <d v="2026-02-03T00:00:00"/>
    <s v="instacart"/>
    <n v="25979956"/>
    <n v="264131"/>
    <x v="0"/>
    <x v="0"/>
    <x v="0"/>
    <x v="0"/>
  </r>
  <r>
    <x v="746"/>
    <x v="226"/>
    <s v="Prairie Harvest - Organic Roasted Garlic Pasta Sauce"/>
    <m/>
    <m/>
    <d v="2021-10-28T00:00:00"/>
    <d v="2023-04-13T00:00:00"/>
    <s v="instacart"/>
    <s v=""/>
    <n v="262597"/>
    <x v="1"/>
    <x v="0"/>
    <x v="1"/>
    <x v="0"/>
  </r>
  <r>
    <x v="747"/>
    <x v="40"/>
    <s v="Muir Glen Pasta Sauce, Garden Vegetable 25.5 oz"/>
    <n v="25.5"/>
    <s v="ounce"/>
    <d v="2021-10-28T00:00:00"/>
    <d v="2026-02-06T00:00:00"/>
    <s v="instacart"/>
    <n v="53453"/>
    <n v="262279"/>
    <x v="1"/>
    <x v="0"/>
    <x v="1"/>
    <x v="0"/>
  </r>
  <r>
    <x v="748"/>
    <x v="65"/>
    <s v="Casa Visco Carmellas Homestyle Sauce Spaghetti With Mushroom - 32 Oz"/>
    <n v="32"/>
    <s v="ounce"/>
    <d v="2021-10-28T00:00:00"/>
    <d v="2025-10-22T00:00:00"/>
    <s v="instacart"/>
    <n v="17653197"/>
    <n v="262278"/>
    <x v="0"/>
    <x v="0"/>
    <x v="0"/>
    <x v="0"/>
  </r>
  <r>
    <x v="749"/>
    <x v="2"/>
    <s v="Raos Sauce Tomato Basil - 32 Oz"/>
    <n v="32"/>
    <s v="ounce"/>
    <d v="2021-10-28T00:00:00"/>
    <d v="2026-02-07T00:00:00"/>
    <s v="instacart"/>
    <n v="18627883"/>
    <n v="264443"/>
    <x v="1"/>
    <x v="0"/>
    <x v="1"/>
    <x v="0"/>
  </r>
  <r>
    <x v="750"/>
    <x v="13"/>
    <s v="Paesana Sicilian Gravy Style Pasta Sauce, 25 oz"/>
    <n v="25"/>
    <s v="ounce"/>
    <d v="2021-10-28T00:00:00"/>
    <d v="2026-02-06T00:00:00"/>
    <s v="instacart"/>
    <n v="91478"/>
    <n v="266360"/>
    <x v="1"/>
    <x v="0"/>
    <x v="1"/>
    <x v="0"/>
  </r>
  <r>
    <x v="751"/>
    <x v="19"/>
    <s v="Classico Roasted Garlic Pasta Sauce 24 oz"/>
    <n v="24"/>
    <s v="ounce"/>
    <d v="2021-10-28T00:00:00"/>
    <d v="2026-02-07T00:00:00"/>
    <s v="instacart"/>
    <n v="73912"/>
    <n v="261854"/>
    <x v="1"/>
    <x v="0"/>
    <x v="1"/>
    <x v="0"/>
  </r>
  <r>
    <x v="752"/>
    <x v="28"/>
    <s v="De Massimo's Arrabbiata Sauce, Subtle Heat"/>
    <n v="32"/>
    <s v="ounce"/>
    <d v="2021-10-28T00:00:00"/>
    <d v="2026-02-06T00:00:00"/>
    <s v="instacart"/>
    <n v="18905133"/>
    <n v="266492"/>
    <x v="1"/>
    <x v="0"/>
    <x v="1"/>
    <x v="0"/>
  </r>
  <r>
    <x v="753"/>
    <x v="131"/>
    <s v="ANDUCCI - Anducci My Nonnas Garden Sauce"/>
    <n v="16.906742000000001"/>
    <s v="fluid ounce"/>
    <d v="2022-12-08T00:00:00"/>
    <d v="2026-02-05T00:00:00"/>
    <s v="instacart"/>
    <s v=""/>
    <n v="262037"/>
    <x v="1"/>
    <x v="0"/>
    <x v="1"/>
    <x v="0"/>
  </r>
  <r>
    <x v="754"/>
    <x v="48"/>
    <s v="Jersey Italian Gravy Vodka Sauce, 12 PK"/>
    <m/>
    <m/>
    <d v="2023-03-24T00:00:00"/>
    <d v="2023-06-22T00:00:00"/>
    <s v="instacart"/>
    <s v=""/>
    <n v="266343"/>
    <x v="1"/>
    <x v="0"/>
    <x v="1"/>
    <x v="0"/>
  </r>
  <r>
    <x v="755"/>
    <x v="77"/>
    <s v="Sclafani Vodka Sauce with Real Cream"/>
    <n v="32"/>
    <s v="ounce"/>
    <d v="2021-10-31T00:00:00"/>
    <d v="2026-02-06T00:00:00"/>
    <s v="instacart"/>
    <n v="228867"/>
    <n v="264580"/>
    <x v="1"/>
    <x v="0"/>
    <x v="1"/>
    <x v="0"/>
  </r>
  <r>
    <x v="756"/>
    <x v="134"/>
    <s v="Del Monte, Four Cheese Pasta Sauce, 24 oz, Shelf Stable, Aluminum Can"/>
    <n v="24"/>
    <s v="ounce"/>
    <d v="2021-10-28T00:00:00"/>
    <d v="2026-02-06T00:00:00"/>
    <s v="instacart"/>
    <n v="244834"/>
    <n v="266946"/>
    <x v="0"/>
    <x v="0"/>
    <x v="0"/>
    <x v="0"/>
  </r>
  <r>
    <x v="757"/>
    <x v="10"/>
    <s v="Sauce Yellow Pasta"/>
    <n v="25"/>
    <s v="ounce"/>
    <d v="2022-04-17T00:00:00"/>
    <d v="2025-01-15T00:00:00"/>
    <s v="instacart"/>
    <s v=""/>
    <n v="264094"/>
    <x v="0"/>
    <x v="0"/>
    <x v="0"/>
    <x v="0"/>
  </r>
  <r>
    <x v="758"/>
    <x v="0"/>
    <s v="Francesco Rinaldi Pasta Sauce, Tomato &amp; Basil"/>
    <n v="45"/>
    <s v="ounce"/>
    <d v="2021-10-28T00:00:00"/>
    <d v="2026-02-06T00:00:00"/>
    <s v="instacart"/>
    <n v="212231"/>
    <n v="267025"/>
    <x v="0"/>
    <x v="0"/>
    <x v="0"/>
    <x v="0"/>
  </r>
  <r>
    <x v="759"/>
    <x v="8"/>
    <s v="Dell Alpe Sauce Pasta Vodka - 25 Oz"/>
    <n v="25"/>
    <s v="ounce"/>
    <d v="2021-10-29T00:00:00"/>
    <d v="2026-02-05T00:00:00"/>
    <s v="instacart"/>
    <s v=""/>
    <n v="262605"/>
    <x v="1"/>
    <x v="0"/>
    <x v="1"/>
    <x v="0"/>
  </r>
  <r>
    <x v="760"/>
    <x v="227"/>
    <s v="Furmano's Spaghetti Sauce - Italian Style, 28 oz"/>
    <n v="28"/>
    <s v="ounce"/>
    <d v="2021-10-31T00:00:00"/>
    <d v="2026-02-03T00:00:00"/>
    <s v="instacart"/>
    <s v=""/>
    <n v="264421"/>
    <x v="1"/>
    <x v="0"/>
    <x v="1"/>
    <x v="0"/>
  </r>
  <r>
    <x v="761"/>
    <x v="38"/>
    <s v="Prego - Farmers Mkt Marinara Sce"/>
    <n v="23.5"/>
    <s v="ounce"/>
    <d v="2021-10-28T00:00:00"/>
    <d v="2026-02-06T00:00:00"/>
    <s v="instacart"/>
    <n v="3250353"/>
    <n v="264033"/>
    <x v="0"/>
    <x v="1"/>
    <x v="0"/>
    <x v="1"/>
  </r>
  <r>
    <x v="762"/>
    <x v="65"/>
    <s v="Casa Visco Meat Pasta Sauce"/>
    <n v="32"/>
    <s v="ounce"/>
    <d v="2021-10-29T00:00:00"/>
    <d v="2025-10-22T00:00:00"/>
    <s v="instacart"/>
    <s v=""/>
    <n v="262598"/>
    <x v="0"/>
    <x v="0"/>
    <x v="0"/>
    <x v="0"/>
  </r>
  <r>
    <x v="763"/>
    <x v="2"/>
    <s v="Rao's Creamy Marinara Sauce 24oz - 24 OZ"/>
    <n v="24"/>
    <s v="ounce"/>
    <d v="2025-01-22T00:00:00"/>
    <d v="2026-02-06T00:00:00"/>
    <s v="instacart"/>
    <n v="64213253"/>
    <n v="266619"/>
    <x v="1"/>
    <x v="0"/>
    <x v="1"/>
    <x v="0"/>
  </r>
  <r>
    <x v="764"/>
    <x v="9"/>
    <s v="STEFANO Faita - Tomato Basil Pasta Sauce"/>
    <n v="21.911138000000001"/>
    <s v="fluid ounce"/>
    <d v="2021-10-28T00:00:00"/>
    <d v="2026-02-05T00:00:00"/>
    <s v="instacart"/>
    <s v=""/>
    <n v="264185"/>
    <x v="1"/>
    <x v="0"/>
    <x v="1"/>
    <x v="0"/>
  </r>
  <r>
    <x v="765"/>
    <x v="36"/>
    <s v="Eat Happy Kitchen Arrabbiata Spicy Marinara - 25 Oz"/>
    <n v="25"/>
    <s v="ounce"/>
    <d v="2023-09-24T00:00:00"/>
    <d v="2026-02-05T00:00:00"/>
    <s v="instacart"/>
    <n v="30613285"/>
    <n v="266390"/>
    <x v="0"/>
    <x v="0"/>
    <x v="0"/>
    <x v="0"/>
  </r>
  <r>
    <x v="766"/>
    <x v="91"/>
    <s v="Stonewall Kitchen Sauce Truffle Marinara Jar - 17.5 Oz"/>
    <n v="17.75"/>
    <s v="ounce"/>
    <d v="2021-10-28T00:00:00"/>
    <d v="2026-02-06T00:00:00"/>
    <s v="instacart"/>
    <n v="260925"/>
    <n v="264142"/>
    <x v="1"/>
    <x v="0"/>
    <x v="1"/>
    <x v="0"/>
  </r>
  <r>
    <x v="767"/>
    <x v="15"/>
    <s v="Ragu Sauce, Traditional, Old World Style 14 oz"/>
    <n v="14"/>
    <s v="ounce"/>
    <d v="2021-10-28T00:00:00"/>
    <d v="2026-02-07T00:00:00"/>
    <s v="instacart"/>
    <n v="39129"/>
    <n v="262292"/>
    <x v="1"/>
    <x v="0"/>
    <x v="1"/>
    <x v="0"/>
  </r>
  <r>
    <x v="768"/>
    <x v="89"/>
    <s v="LaDoriaBasil, PLCHD cont-3rd party agency"/>
    <n v="12.172855"/>
    <s v="fluid ounce"/>
    <d v="2025-05-20T00:00:00"/>
    <d v="2026-02-05T00:00:00"/>
    <s v="instacart"/>
    <s v=""/>
    <n v="264072"/>
    <x v="1"/>
    <x v="0"/>
    <x v="1"/>
    <x v="0"/>
  </r>
  <r>
    <x v="769"/>
    <x v="5"/>
    <s v="PregoÂ® Chunky Tomato Basil and Garlic Pasta Sauce"/>
    <n v="23.75"/>
    <s v="ounce"/>
    <d v="2023-03-05T00:00:00"/>
    <d v="2026-02-07T00:00:00"/>
    <s v="instacart"/>
    <n v="29523690"/>
    <n v="266306"/>
    <x v="0"/>
    <x v="0"/>
    <x v="0"/>
    <x v="0"/>
  </r>
  <r>
    <x v="770"/>
    <x v="228"/>
    <s v="Goya - Sofrito Tomato Cooking Base (12 Oz)"/>
    <n v="12"/>
    <s v="ounce"/>
    <d v="2021-10-28T00:00:00"/>
    <d v="2026-02-07T00:00:00"/>
    <s v="instacart"/>
    <n v="35077"/>
    <n v="264291"/>
    <x v="1"/>
    <x v="0"/>
    <x v="1"/>
    <x v="0"/>
  </r>
  <r>
    <x v="771"/>
    <x v="201"/>
    <s v="Amato's Marinara Sauce"/>
    <n v="24"/>
    <s v="ounce"/>
    <d v="2021-10-29T00:00:00"/>
    <d v="2025-10-22T00:00:00"/>
    <s v="instacart"/>
    <s v=""/>
    <n v="261656"/>
    <x v="0"/>
    <x v="0"/>
    <x v="0"/>
    <x v="0"/>
  </r>
  <r>
    <x v="772"/>
    <x v="38"/>
    <s v="the meatball shop spicy-ish arrabbiata sauce, 24 oz"/>
    <n v="24"/>
    <s v="ounce"/>
    <d v="2021-10-31T00:00:00"/>
    <d v="2026-02-06T00:00:00"/>
    <s v="instacart"/>
    <s v=""/>
    <n v="264066"/>
    <x v="1"/>
    <x v="1"/>
    <x v="1"/>
    <x v="1"/>
  </r>
  <r>
    <x v="773"/>
    <x v="17"/>
    <s v="Brooklyn's Best Silver Star Tomato &amp; Basil Sauce, 25 oz"/>
    <n v="25"/>
    <s v="ounce"/>
    <d v="2022-02-08T00:00:00"/>
    <d v="2026-02-06T00:00:00"/>
    <s v="instacart"/>
    <n v="18644461"/>
    <n v="264044"/>
    <x v="0"/>
    <x v="0"/>
    <x v="0"/>
    <x v="0"/>
  </r>
  <r>
    <x v="774"/>
    <x v="38"/>
    <s v="Prego Traditional Tomato Italian Pasta Sauce, Value Size Jar, 38 oz"/>
    <n v="38"/>
    <s v="ounce"/>
    <d v="2022-11-13T00:00:00"/>
    <d v="2026-02-07T00:00:00"/>
    <s v="instacart"/>
    <n v="20562014"/>
    <n v="262554"/>
    <x v="1"/>
    <x v="1"/>
    <x v="1"/>
    <x v="1"/>
  </r>
  <r>
    <x v="775"/>
    <x v="2"/>
    <s v="Rao's Homemade Marinara Sauce"/>
    <n v="40"/>
    <s v="ounce"/>
    <d v="2021-10-28T00:00:00"/>
    <d v="2026-02-06T00:00:00"/>
    <s v="instacart"/>
    <n v="17725621"/>
    <n v="261712"/>
    <x v="1"/>
    <x v="0"/>
    <x v="1"/>
    <x v="0"/>
  </r>
  <r>
    <x v="776"/>
    <x v="127"/>
    <s v="The Silver Palate Low Sodium San Marzano Blend Tomato Basil Pasta Sauce"/>
    <n v="25"/>
    <s v="ounce"/>
    <d v="2021-10-28T00:00:00"/>
    <d v="2026-02-06T00:00:00"/>
    <s v="instacart"/>
    <n v="19511375"/>
    <n v="266984"/>
    <x v="0"/>
    <x v="0"/>
    <x v="0"/>
    <x v="0"/>
  </r>
  <r>
    <x v="777"/>
    <x v="175"/>
    <s v="Green Mill Tomato Basil Pasta Sauce, Gluten Free"/>
    <n v="24"/>
    <s v="ounce"/>
    <d v="2021-10-31T00:00:00"/>
    <d v="2026-02-02T00:00:00"/>
    <s v="instacart"/>
    <n v="2798877"/>
    <n v="264554"/>
    <x v="0"/>
    <x v="0"/>
    <x v="0"/>
    <x v="0"/>
  </r>
  <r>
    <x v="778"/>
    <x v="229"/>
    <s v="Tomato Basil Sauce, 15 OZ"/>
    <n v="15"/>
    <s v="ounce"/>
    <d v="2024-02-14T00:00:00"/>
    <d v="2026-02-03T00:00:00"/>
    <s v="instacart"/>
    <n v="33263853"/>
    <n v="264300"/>
    <x v="0"/>
    <x v="0"/>
    <x v="0"/>
    <x v="0"/>
  </r>
  <r>
    <x v="779"/>
    <x v="32"/>
    <s v="Mid's Marinara"/>
    <n v="32"/>
    <s v="ounce"/>
    <d v="2021-10-28T00:00:00"/>
    <d v="2026-02-04T00:00:00"/>
    <s v="instacart"/>
    <s v=""/>
    <n v="264024"/>
    <x v="0"/>
    <x v="0"/>
    <x v="0"/>
    <x v="0"/>
  </r>
  <r>
    <x v="780"/>
    <x v="87"/>
    <s v="Organico Bello Organic Spicy Marinara Pasta Sauce"/>
    <n v="25"/>
    <s v="ounce"/>
    <d v="2021-10-28T00:00:00"/>
    <d v="2026-02-06T00:00:00"/>
    <s v="instacart"/>
    <n v="175473"/>
    <n v="264416"/>
    <x v="0"/>
    <x v="0"/>
    <x v="0"/>
    <x v="0"/>
  </r>
  <r>
    <x v="781"/>
    <x v="2"/>
    <s v="Rao's Sauce, Tomato Herb 24 oz"/>
    <n v="24"/>
    <s v="ounce"/>
    <d v="2021-10-28T00:00:00"/>
    <d v="2026-02-06T00:00:00"/>
    <s v="instacart"/>
    <n v="17375585"/>
    <n v="261830"/>
    <x v="1"/>
    <x v="0"/>
    <x v="1"/>
    <x v="0"/>
  </r>
  <r>
    <x v="782"/>
    <x v="124"/>
    <s v="Pastene Tomato Sauce, The Chateau Restaurant 24 oz"/>
    <n v="24"/>
    <s v="ounce"/>
    <d v="2021-10-28T00:00:00"/>
    <d v="2026-02-06T00:00:00"/>
    <s v="instacart"/>
    <n v="3146180"/>
    <n v="264758"/>
    <x v="1"/>
    <x v="0"/>
    <x v="1"/>
    <x v="0"/>
  </r>
  <r>
    <x v="783"/>
    <x v="175"/>
    <s v="Green Mill Pasta Sauce, Bold, Gluten Free, Italian"/>
    <n v="24"/>
    <s v="ounce"/>
    <d v="2021-10-28T00:00:00"/>
    <d v="2026-02-02T00:00:00"/>
    <s v="instacart"/>
    <n v="2798437"/>
    <n v="264299"/>
    <x v="1"/>
    <x v="0"/>
    <x v="1"/>
    <x v="0"/>
  </r>
  <r>
    <x v="784"/>
    <x v="230"/>
    <s v="LIDIA'A Tomato Basil"/>
    <n v="25"/>
    <s v="ounce"/>
    <d v="2021-10-28T00:00:00"/>
    <d v="2026-02-06T00:00:00"/>
    <s v="instacart"/>
    <n v="98544"/>
    <n v="261601"/>
    <x v="1"/>
    <x v="0"/>
    <x v="1"/>
    <x v="0"/>
  </r>
  <r>
    <x v="785"/>
    <x v="231"/>
    <s v="Mantova Italian Roasted Garlic Tomato Sauce - 24 Oz"/>
    <n v="24"/>
    <s v="ounce"/>
    <d v="2021-11-02T00:00:00"/>
    <d v="2026-02-06T00:00:00"/>
    <s v="instacart"/>
    <n v="22955797"/>
    <n v="264307"/>
    <x v="0"/>
    <x v="0"/>
    <x v="0"/>
    <x v="0"/>
  </r>
  <r>
    <x v="786"/>
    <x v="99"/>
    <s v="Delallo Pasta Sauce, Arrabbiata, Premium"/>
    <n v="24"/>
    <s v="ounce"/>
    <d v="2021-10-28T00:00:00"/>
    <d v="2026-02-06T00:00:00"/>
    <s v="instacart"/>
    <n v="18471108"/>
    <n v="262021"/>
    <x v="0"/>
    <x v="0"/>
    <x v="0"/>
    <x v="0"/>
  </r>
  <r>
    <x v="787"/>
    <x v="36"/>
    <s v="Mantova Tomato &amp; Parmigiano Reggiano Sauce - 24 Oz"/>
    <n v="24"/>
    <s v="ounce"/>
    <d v="2022-08-14T00:00:00"/>
    <d v="2026-02-06T00:00:00"/>
    <s v="instacart"/>
    <n v="27194218"/>
    <n v="264649"/>
    <x v="1"/>
    <x v="0"/>
    <x v="1"/>
    <x v="0"/>
  </r>
  <r>
    <x v="788"/>
    <x v="75"/>
    <s v="DelGrosso Pasta Sauce Pepperoni Flavored"/>
    <n v="26"/>
    <s v="ounce"/>
    <d v="2021-10-28T00:00:00"/>
    <d v="2026-02-03T00:00:00"/>
    <s v="instacart"/>
    <n v="17006886"/>
    <n v="266299"/>
    <x v="1"/>
    <x v="0"/>
    <x v="1"/>
    <x v="0"/>
  </r>
  <r>
    <x v="789"/>
    <x v="92"/>
    <s v="Larosa's Onion &amp; Garlic  Sauce ,24 oz PET Jar"/>
    <n v="24"/>
    <s v="ounce"/>
    <d v="2021-10-28T00:00:00"/>
    <d v="2026-02-04T00:00:00"/>
    <s v="instacart"/>
    <n v="29178303"/>
    <n v="264279"/>
    <x v="0"/>
    <x v="0"/>
    <x v="0"/>
    <x v="0"/>
  </r>
  <r>
    <x v="790"/>
    <x v="30"/>
    <s v="Dei Fratelli Pasta Sauce, Tomato &amp; Basil"/>
    <n v="24"/>
    <s v="ounce"/>
    <d v="2021-10-28T00:00:00"/>
    <d v="2026-02-05T00:00:00"/>
    <s v="instacart"/>
    <n v="2691726"/>
    <n v="264302"/>
    <x v="1"/>
    <x v="0"/>
    <x v="1"/>
    <x v="0"/>
  </r>
  <r>
    <x v="791"/>
    <x v="2"/>
    <s v="Raos Homemade Sauce Vodka Jar - 24 Oz"/>
    <n v="24"/>
    <s v="ounce"/>
    <d v="2021-10-28T00:00:00"/>
    <d v="2026-02-07T00:00:00"/>
    <s v="instacart"/>
    <n v="24806"/>
    <n v="264293"/>
    <x v="1"/>
    <x v="0"/>
    <x v="1"/>
    <x v="0"/>
  </r>
  <r>
    <x v="792"/>
    <x v="2"/>
    <s v="Rao's Four Cheese Sauce, 24 oz"/>
    <n v="24"/>
    <s v="ounce"/>
    <d v="2021-10-28T00:00:00"/>
    <d v="2026-02-07T00:00:00"/>
    <s v="instacart"/>
    <n v="53410"/>
    <n v="264165"/>
    <x v="0"/>
    <x v="0"/>
    <x v="0"/>
    <x v="0"/>
  </r>
  <r>
    <x v="793"/>
    <x v="131"/>
    <s v="ANDUCCI - Anducci Simply Tomato Sauce"/>
    <n v="16.906742000000001"/>
    <s v="fluid ounce"/>
    <d v="2023-06-22T00:00:00"/>
    <d v="2026-02-05T00:00:00"/>
    <s v="instacart"/>
    <s v=""/>
    <n v="262293"/>
    <x v="1"/>
    <x v="0"/>
    <x v="1"/>
    <x v="0"/>
  </r>
  <r>
    <x v="794"/>
    <x v="194"/>
    <s v="Boves Of Vermont Sauce Pasta Marinara, 24 oz"/>
    <n v="24"/>
    <s v="ounce"/>
    <d v="2021-11-01T00:00:00"/>
    <d v="2026-02-03T00:00:00"/>
    <s v="instacart"/>
    <n v="53391"/>
    <n v="266877"/>
    <x v="1"/>
    <x v="0"/>
    <x v="1"/>
    <x v="0"/>
  </r>
  <r>
    <x v="795"/>
    <x v="75"/>
    <s v="Del Grosso Pasta Sauce, Premium, Organic, Roasted Garlic 24 oz"/>
    <n v="24"/>
    <s v="ounce"/>
    <d v="2021-10-28T00:00:00"/>
    <d v="2026-02-06T00:00:00"/>
    <s v="instacart"/>
    <n v="16990885"/>
    <n v="266300"/>
    <x v="0"/>
    <x v="0"/>
    <x v="0"/>
    <x v="0"/>
  </r>
  <r>
    <x v="796"/>
    <x v="165"/>
    <s v="Organico Bello Organic Pasta Sauce Marinara -- 25 Oz"/>
    <n v="25"/>
    <s v="ounce"/>
    <d v="2021-10-28T00:00:00"/>
    <d v="2026-02-06T00:00:00"/>
    <s v="instacart"/>
    <n v="175341"/>
    <n v="264467"/>
    <x v="1"/>
    <x v="0"/>
    <x v="1"/>
    <x v="0"/>
  </r>
  <r>
    <x v="797"/>
    <x v="12"/>
    <s v="Orti Di Calabria Vegan Bolognese Sauce"/>
    <m/>
    <m/>
    <d v="2021-10-28T00:00:00"/>
    <d v="2023-07-17T00:00:00"/>
    <s v="instacart"/>
    <s v=""/>
    <n v="264427"/>
    <x v="1"/>
    <x v="0"/>
    <x v="1"/>
    <x v="0"/>
  </r>
  <r>
    <x v="798"/>
    <x v="38"/>
    <s v="cucina antica sauce keto marinara"/>
    <n v="25"/>
    <s v="ounce"/>
    <d v="2022-09-01T00:00:00"/>
    <d v="2026-02-05T00:00:00"/>
    <s v="instacart"/>
    <s v=""/>
    <n v="266282"/>
    <x v="0"/>
    <x v="1"/>
    <x v="0"/>
    <x v="1"/>
  </r>
  <r>
    <x v="799"/>
    <x v="50"/>
    <s v="TantilloÂ® Reserve Tomato Basil Pasta Sauce"/>
    <n v="24"/>
    <s v="ounce"/>
    <d v="2021-11-01T00:00:00"/>
    <d v="2024-02-02T00:00:00"/>
    <s v="instacart"/>
    <s v=""/>
    <n v="264243"/>
    <x v="0"/>
    <x v="0"/>
    <x v="0"/>
    <x v="0"/>
  </r>
  <r>
    <x v="800"/>
    <x v="144"/>
    <s v="Mutti Parm Reg Pasta Sauce"/>
    <n v="24"/>
    <s v="ounce"/>
    <d v="2021-10-31T00:00:00"/>
    <d v="2026-02-06T00:00:00"/>
    <s v="instacart"/>
    <n v="34713974"/>
    <n v="261780"/>
    <x v="1"/>
    <x v="0"/>
    <x v="1"/>
    <x v="0"/>
  </r>
  <r>
    <x v="801"/>
    <x v="150"/>
    <s v="Cortazzo Arrabbiata Spicy Marinara Pasta Sauce"/>
    <n v="25"/>
    <s v="ounce"/>
    <d v="2021-10-28T00:00:00"/>
    <d v="2025-07-20T00:00:00"/>
    <s v="instacart"/>
    <s v=""/>
    <n v="261654"/>
    <x v="1"/>
    <x v="0"/>
    <x v="1"/>
    <x v="0"/>
  </r>
  <r>
    <x v="802"/>
    <x v="19"/>
    <s v="Classico Tomato &amp; Basil Pasta Sauce, 24 oz., 3 pk."/>
    <n v="72"/>
    <s v="ounce"/>
    <d v="2025-01-23T00:00:00"/>
    <d v="2026-02-05T00:00:00"/>
    <s v="instacart"/>
    <s v=""/>
    <n v="261763"/>
    <x v="1"/>
    <x v="0"/>
    <x v="1"/>
    <x v="0"/>
  </r>
  <r>
    <x v="803"/>
    <x v="232"/>
    <s v="Eat Happy Kitchen Sauce Marinara - 25 Ounce"/>
    <n v="25"/>
    <s v="ounce"/>
    <d v="2024-06-05T00:00:00"/>
    <d v="2026-02-06T00:00:00"/>
    <s v="instacart"/>
    <n v="26221343"/>
    <n v="266516"/>
    <x v="1"/>
    <x v="0"/>
    <x v="1"/>
    <x v="0"/>
  </r>
  <r>
    <x v="804"/>
    <x v="233"/>
    <s v="Chef Boyardee Spaghetti Sauce With Meat"/>
    <n v="15"/>
    <s v="ounce"/>
    <d v="2021-10-28T00:00:00"/>
    <d v="2026-02-05T00:00:00"/>
    <s v="instacart"/>
    <n v="1541609"/>
    <n v="261554"/>
    <x v="1"/>
    <x v="0"/>
    <x v="1"/>
    <x v="0"/>
  </r>
  <r>
    <x v="805"/>
    <x v="97"/>
    <s v="Marinara Alla Pappy, 24 OZ"/>
    <n v="24"/>
    <s v="ounce"/>
    <d v="2025-01-23T00:00:00"/>
    <d v="2026-02-03T00:00:00"/>
    <s v="instacart"/>
    <n v="28322343"/>
    <n v="264038"/>
    <x v="0"/>
    <x v="0"/>
    <x v="0"/>
    <x v="0"/>
  </r>
  <r>
    <x v="806"/>
    <x v="54"/>
    <s v="Carbone Spicy Vodka Sauce"/>
    <n v="32"/>
    <s v="ounce"/>
    <d v="2025-04-25T00:00:00"/>
    <d v="2026-02-06T00:00:00"/>
    <s v="instacart"/>
    <n v="69976120"/>
    <n v="266577"/>
    <x v="1"/>
    <x v="0"/>
    <x v="1"/>
    <x v="0"/>
  </r>
  <r>
    <x v="807"/>
    <x v="5"/>
    <s v="Prego - Pasta Sauce - Fresh Mushrooms"/>
    <n v="59.174500000000002"/>
    <s v="fluid ounce"/>
    <d v="2021-10-28T00:00:00"/>
    <d v="2026-02-05T00:00:00"/>
    <s v="instacart"/>
    <s v=""/>
    <n v="261836"/>
    <x v="0"/>
    <x v="0"/>
    <x v="0"/>
    <x v="0"/>
  </r>
  <r>
    <x v="808"/>
    <x v="234"/>
    <s v="Prego Three Cheese Pasta Sauce, 24 Oz Jar"/>
    <n v="24"/>
    <s v="ounce"/>
    <d v="2021-10-28T00:00:00"/>
    <d v="2026-02-07T00:00:00"/>
    <s v="instacart"/>
    <n v="77122"/>
    <n v="264114"/>
    <x v="1"/>
    <x v="0"/>
    <x v="1"/>
    <x v="0"/>
  </r>
  <r>
    <x v="809"/>
    <x v="71"/>
    <s v="Racconto Passata - 24 Oz"/>
    <n v="24"/>
    <s v="ounce"/>
    <d v="2021-10-28T00:00:00"/>
    <d v="2026-02-05T00:00:00"/>
    <s v="instacart"/>
    <n v="2690795"/>
    <n v="266314"/>
    <x v="1"/>
    <x v="0"/>
    <x v="1"/>
    <x v="0"/>
  </r>
  <r>
    <x v="810"/>
    <x v="9"/>
    <s v="STEFANO Faita - Marinara Pasta Sauce"/>
    <n v="21.911138000000001"/>
    <s v="fluid ounce"/>
    <d v="2021-10-28T00:00:00"/>
    <d v="2026-02-05T00:00:00"/>
    <s v="instacart"/>
    <s v=""/>
    <n v="261862"/>
    <x v="0"/>
    <x v="0"/>
    <x v="0"/>
    <x v="0"/>
  </r>
  <r>
    <x v="811"/>
    <x v="38"/>
    <s v="Bertolli - Italian Sausage Sauce"/>
    <n v="24"/>
    <s v="ounce"/>
    <d v="2021-10-28T00:00:00"/>
    <d v="2026-02-06T00:00:00"/>
    <s v="instacart"/>
    <n v="2680032"/>
    <n v="264198"/>
    <x v="0"/>
    <x v="1"/>
    <x v="0"/>
    <x v="1"/>
  </r>
  <r>
    <x v="812"/>
    <x v="70"/>
    <s v="Livwell Pasta Sauce, Butternut &amp; Sage"/>
    <n v="16"/>
    <s v="ounce"/>
    <d v="2023-01-11T00:00:00"/>
    <d v="2026-02-06T00:00:00"/>
    <s v="instacart"/>
    <n v="26633752"/>
    <n v="267039"/>
    <x v="1"/>
    <x v="0"/>
    <x v="1"/>
    <x v="0"/>
  </r>
  <r>
    <x v="813"/>
    <x v="235"/>
    <s v="Ofc Spaghetti Sauce, Sweet Filipino Style 1 kg"/>
    <n v="35"/>
    <s v="ounce"/>
    <d v="2021-10-28T00:00:00"/>
    <d v="2026-02-06T00:00:00"/>
    <s v="instacart"/>
    <n v="318853"/>
    <n v="267077"/>
    <x v="1"/>
    <x v="0"/>
    <x v="1"/>
    <x v="0"/>
  </r>
  <r>
    <x v="814"/>
    <x v="216"/>
    <s v="The Jersey Tomato Co. Roasted Garlic Sauce, 25 oz"/>
    <n v="25"/>
    <s v="ounce"/>
    <d v="2021-10-31T00:00:00"/>
    <d v="2026-02-04T00:00:00"/>
    <s v="instacart"/>
    <s v=""/>
    <n v="261586"/>
    <x v="1"/>
    <x v="0"/>
    <x v="1"/>
    <x v="0"/>
  </r>
  <r>
    <x v="815"/>
    <x v="236"/>
    <s v="Rg Italian Style Tomato Sauce - 8 Oz"/>
    <n v="8"/>
    <s v="ounce"/>
    <d v="2021-10-28T00:00:00"/>
    <d v="2026-02-06T00:00:00"/>
    <s v="instacart"/>
    <n v="16560607"/>
    <n v="264331"/>
    <x v="1"/>
    <x v="0"/>
    <x v="1"/>
    <x v="0"/>
  </r>
  <r>
    <x v="816"/>
    <x v="237"/>
    <s v="Viviano's - Garlic Basil Pasta Sauce (33 Oz)"/>
    <n v="33"/>
    <s v="ounce"/>
    <d v="2022-12-06T00:00:00"/>
    <d v="2026-02-02T00:00:00"/>
    <s v="instacart"/>
    <n v="2812440"/>
    <n v="264130"/>
    <x v="0"/>
    <x v="0"/>
    <x v="0"/>
    <x v="0"/>
  </r>
  <r>
    <x v="817"/>
    <x v="44"/>
    <s v="Botticelli Pasta Sauce, Grilled Pepper, Premium 24 oz"/>
    <n v="24"/>
    <s v="ounce"/>
    <d v="2024-06-23T00:00:00"/>
    <d v="2026-02-06T00:00:00"/>
    <s v="instacart"/>
    <n v="48569368"/>
    <n v="266862"/>
    <x v="1"/>
    <x v="0"/>
    <x v="1"/>
    <x v="0"/>
  </r>
  <r>
    <x v="818"/>
    <x v="54"/>
    <s v="Carbone Marinara Sauce - 32 Oz"/>
    <n v="32"/>
    <s v="ounce"/>
    <d v="2022-03-13T00:00:00"/>
    <d v="2026-02-06T00:00:00"/>
    <s v="instacart"/>
    <n v="26962670"/>
    <n v="266288"/>
    <x v="0"/>
    <x v="0"/>
    <x v="0"/>
    <x v="0"/>
  </r>
  <r>
    <x v="819"/>
    <x v="174"/>
    <s v="Barilla Basil &amp; Simmered Onion Marinara Pasta Sauce 24 Oz"/>
    <n v="24"/>
    <s v="ounce"/>
    <d v="2021-10-28T00:00:00"/>
    <d v="2026-02-06T00:00:00"/>
    <s v="instacart"/>
    <n v="2581476"/>
    <n v="267068"/>
    <x v="0"/>
    <x v="0"/>
    <x v="0"/>
    <x v="0"/>
  </r>
  <r>
    <x v="820"/>
    <x v="15"/>
    <s v="Ragu Sauce, Six Cheese, Chunky 24 oz"/>
    <n v="24"/>
    <s v="ounce"/>
    <d v="2021-10-28T00:00:00"/>
    <d v="2026-02-07T00:00:00"/>
    <s v="instacart"/>
    <n v="39244"/>
    <n v="264334"/>
    <x v="1"/>
    <x v="0"/>
    <x v="1"/>
    <x v="0"/>
  </r>
  <r>
    <x v="821"/>
    <x v="68"/>
    <s v="Buitoni Marinara Sauce 15 oz"/>
    <n v="15"/>
    <s v="ounce"/>
    <d v="2021-10-28T00:00:00"/>
    <d v="2026-02-06T00:00:00"/>
    <s v="instacart"/>
    <n v="39925"/>
    <n v="261569"/>
    <x v="1"/>
    <x v="0"/>
    <x v="1"/>
    <x v="0"/>
  </r>
  <r>
    <x v="822"/>
    <x v="43"/>
    <s v="Filippo Berio Mushroom Pasta Sauce 24 oz (680 g)"/>
    <n v="24"/>
    <s v="ounce"/>
    <d v="2024-07-07T00:00:00"/>
    <d v="2026-02-06T00:00:00"/>
    <s v="instacart"/>
    <n v="48699360"/>
    <n v="266406"/>
    <x v="1"/>
    <x v="0"/>
    <x v="1"/>
    <x v="0"/>
  </r>
  <r>
    <x v="823"/>
    <x v="238"/>
    <s v="Il Mulino Sauce Marinara - 24 Oz"/>
    <n v="24"/>
    <s v="ounce"/>
    <d v="2021-10-28T00:00:00"/>
    <d v="2026-02-06T00:00:00"/>
    <s v="instacart"/>
    <n v="288575"/>
    <n v="262262"/>
    <x v="0"/>
    <x v="0"/>
    <x v="0"/>
    <x v="0"/>
  </r>
  <r>
    <x v="824"/>
    <x v="53"/>
    <s v="Graziano Bros. Calabrian-Style Pasta Sauce"/>
    <n v="24"/>
    <s v="ounce"/>
    <d v="2024-03-07T00:00:00"/>
    <d v="2026-02-04T00:00:00"/>
    <s v="instacart"/>
    <s v=""/>
    <n v="261633"/>
    <x v="0"/>
    <x v="0"/>
    <x v="0"/>
    <x v="0"/>
  </r>
  <r>
    <x v="825"/>
    <x v="58"/>
    <s v="Fody Sensitive Pasta Sauce, Marinara"/>
    <n v="19.399999999999999"/>
    <s v="ounce"/>
    <d v="2021-10-28T00:00:00"/>
    <d v="2026-02-06T00:00:00"/>
    <s v="instacart"/>
    <n v="19044640"/>
    <n v="267078"/>
    <x v="0"/>
    <x v="0"/>
    <x v="0"/>
    <x v="0"/>
  </r>
  <r>
    <x v="826"/>
    <x v="99"/>
    <s v="Delallo Pomodoro Fresco, Four Cheese"/>
    <n v="25.25"/>
    <s v="ounce"/>
    <d v="2021-10-28T00:00:00"/>
    <d v="2026-02-06T00:00:00"/>
    <s v="instacart"/>
    <n v="20512683"/>
    <n v="264461"/>
    <x v="0"/>
    <x v="0"/>
    <x v="0"/>
    <x v="0"/>
  </r>
  <r>
    <x v="827"/>
    <x v="32"/>
    <s v="Mid's Pasta Sauce, Meat Bolognese 28 Oz"/>
    <n v="28"/>
    <s v="ounce"/>
    <d v="2021-10-28T00:00:00"/>
    <d v="2026-02-06T00:00:00"/>
    <s v="instacart"/>
    <n v="29327558"/>
    <n v="261644"/>
    <x v="0"/>
    <x v="0"/>
    <x v="0"/>
    <x v="0"/>
  </r>
  <r>
    <x v="828"/>
    <x v="228"/>
    <s v="Goya Sofrito Seasoning Sauce"/>
    <n v="24"/>
    <s v="ounce"/>
    <d v="2021-10-28T00:00:00"/>
    <d v="2026-02-06T00:00:00"/>
    <s v="instacart"/>
    <n v="147497"/>
    <n v="261574"/>
    <x v="0"/>
    <x v="0"/>
    <x v="0"/>
    <x v="0"/>
  </r>
  <r>
    <x v="829"/>
    <x v="239"/>
    <s v="Isola Italian Vodka Sauce â€“ Gourmet Tomato Sauce with Cream &amp; Mascarpone, No Sugar Added, Authentic Italian Pasta Sauce for Chefs &amp; Culinary Lovers â€“ 25 oz Jar"/>
    <n v="25"/>
    <s v="ounce"/>
    <d v="2022-04-29T00:00:00"/>
    <d v="2026-02-03T00:00:00"/>
    <s v="instacart"/>
    <s v=""/>
    <n v="266364"/>
    <x v="1"/>
    <x v="0"/>
    <x v="1"/>
    <x v="0"/>
  </r>
  <r>
    <x v="830"/>
    <x v="39"/>
    <s v="Moms Pasta Sauce Garlic Marinara Jar - 24 Oz"/>
    <n v="24"/>
    <s v="ounce"/>
    <d v="2021-10-28T00:00:00"/>
    <d v="2026-02-05T00:00:00"/>
    <s v="instacart"/>
    <n v="333865"/>
    <n v="261828"/>
    <x v="1"/>
    <x v="0"/>
    <x v="1"/>
    <x v="0"/>
  </r>
  <r>
    <x v="831"/>
    <x v="45"/>
    <s v="Prego Creamy Tomato Pasta Sauce With Garlic, 24 Oz - 23.75 OZ"/>
    <n v="24"/>
    <s v="ounce"/>
    <d v="2025-03-19T00:00:00"/>
    <d v="2026-02-07T00:00:00"/>
    <s v="instacart"/>
    <n v="64392530"/>
    <n v="264658"/>
    <x v="0"/>
    <x v="0"/>
    <x v="0"/>
    <x v="0"/>
  </r>
  <r>
    <x v="832"/>
    <x v="19"/>
    <s v="Classico - Four Cheese Spaghetti Pasta Sauce"/>
    <n v="21.978764999999999"/>
    <s v="fluid ounce"/>
    <d v="2021-10-28T00:00:00"/>
    <d v="2024-12-12T00:00:00"/>
    <s v="instacart"/>
    <s v=""/>
    <n v="266853"/>
    <x v="1"/>
    <x v="0"/>
    <x v="1"/>
    <x v="0"/>
  </r>
  <r>
    <x v="833"/>
    <x v="91"/>
    <s v="Stonewall Kitchen Vodka Sauce, Classic 18.5 oz"/>
    <n v="18.5"/>
    <s v="ounce"/>
    <d v="2021-10-28T00:00:00"/>
    <d v="2026-02-06T00:00:00"/>
    <s v="instacart"/>
    <n v="260921"/>
    <n v="262626"/>
    <x v="0"/>
    <x v="0"/>
    <x v="0"/>
    <x v="0"/>
  </r>
  <r>
    <x v="834"/>
    <x v="240"/>
    <s v="CREDO FOODS Plant Based Alfredo Rosa Sauce, 15 OZ"/>
    <n v="15"/>
    <s v="ounce"/>
    <d v="2023-08-03T00:00:00"/>
    <d v="2026-02-06T00:00:00"/>
    <s v="instacart"/>
    <n v="33263823"/>
    <n v="264468"/>
    <x v="0"/>
    <x v="0"/>
    <x v="0"/>
    <x v="0"/>
  </r>
  <r>
    <x v="835"/>
    <x v="38"/>
    <s v="Buona Marinara Sauce With Rigatoni &amp; Meatballs - 53 Oz"/>
    <n v="53"/>
    <s v="ounce"/>
    <d v="2023-02-12T00:00:00"/>
    <d v="2024-11-04T00:00:00"/>
    <s v="instacart"/>
    <s v=""/>
    <n v="264433"/>
    <x v="0"/>
    <x v="1"/>
    <x v="0"/>
    <x v="1"/>
  </r>
  <r>
    <x v="836"/>
    <x v="99"/>
    <s v="Delallo Sauce, Vodka"/>
    <n v="24"/>
    <s v="ounce"/>
    <d v="2021-10-28T00:00:00"/>
    <d v="2026-02-06T00:00:00"/>
    <s v="instacart"/>
    <n v="2870614"/>
    <n v="261500"/>
    <x v="0"/>
    <x v="0"/>
    <x v="0"/>
    <x v="0"/>
  </r>
  <r>
    <x v="837"/>
    <x v="103"/>
    <s v="Don Pomodoro Sauce Vodka Jar - 24.3 Oz"/>
    <n v="24.3"/>
    <s v="ounce"/>
    <d v="2021-10-28T00:00:00"/>
    <d v="2026-02-06T00:00:00"/>
    <s v="instacart"/>
    <n v="170940"/>
    <n v="261715"/>
    <x v="0"/>
    <x v="0"/>
    <x v="0"/>
    <x v="0"/>
  </r>
  <r>
    <x v="838"/>
    <x v="81"/>
    <s v="Bove's Organic Marinara"/>
    <n v="24"/>
    <s v="ounce"/>
    <d v="2025-05-28T00:00:00"/>
    <d v="2025-10-22T00:00:00"/>
    <s v="instacart"/>
    <s v=""/>
    <n v="262599"/>
    <x v="1"/>
    <x v="0"/>
    <x v="1"/>
    <x v="0"/>
  </r>
  <r>
    <x v="839"/>
    <x v="124"/>
    <s v="Pastene Autentico Harvest Vegetable Sauce - 16 Oz"/>
    <n v="16"/>
    <s v="ounce"/>
    <d v="2023-04-23T00:00:00"/>
    <d v="2026-02-05T00:00:00"/>
    <s v="instacart"/>
    <n v="27910621"/>
    <n v="261499"/>
    <x v="0"/>
    <x v="0"/>
    <x v="0"/>
    <x v="0"/>
  </r>
  <r>
    <x v="840"/>
    <x v="122"/>
    <s v="Carmine's Homemade Classic Italian Tomato Basil Sauce, 32 oz"/>
    <n v="32"/>
    <s v="ounce"/>
    <d v="2023-01-22T00:00:00"/>
    <d v="2026-02-04T00:00:00"/>
    <s v="instacart"/>
    <n v="27590178"/>
    <n v="262616"/>
    <x v="0"/>
    <x v="0"/>
    <x v="0"/>
    <x v="0"/>
  </r>
  <r>
    <x v="841"/>
    <x v="53"/>
    <s v="Papa Joe's Original Spaghetti Sauce"/>
    <n v="24"/>
    <s v="ounce"/>
    <d v="2021-10-28T00:00:00"/>
    <d v="2026-02-04T00:00:00"/>
    <s v="instacart"/>
    <s v=""/>
    <n v="266832"/>
    <x v="0"/>
    <x v="0"/>
    <x v="0"/>
    <x v="0"/>
  </r>
  <r>
    <x v="842"/>
    <x v="241"/>
    <s v="San Marzano Marinara Sauce 23.5 oz"/>
    <n v="23.5"/>
    <s v="ounce"/>
    <d v="2021-10-28T00:00:00"/>
    <d v="2026-02-06T00:00:00"/>
    <s v="instacart"/>
    <s v=""/>
    <n v="261772"/>
    <x v="1"/>
    <x v="0"/>
    <x v="1"/>
    <x v="0"/>
  </r>
  <r>
    <x v="843"/>
    <x v="207"/>
    <s v="Nonna Carmen Italian Style Vodka Sauce, 24 oz"/>
    <n v="24"/>
    <s v="ounce"/>
    <d v="2022-06-01T00:00:00"/>
    <d v="2026-02-06T00:00:00"/>
    <s v="instacart"/>
    <n v="24845276"/>
    <n v="261503"/>
    <x v="1"/>
    <x v="0"/>
    <x v="1"/>
    <x v="0"/>
  </r>
  <r>
    <x v="844"/>
    <x v="196"/>
    <s v="Alessi Marinara Sauce, Smooth 24 oz"/>
    <n v="24"/>
    <s v="ounce"/>
    <d v="2021-10-28T00:00:00"/>
    <d v="2026-02-06T00:00:00"/>
    <s v="instacart"/>
    <n v="91491"/>
    <n v="266865"/>
    <x v="0"/>
    <x v="0"/>
    <x v="0"/>
    <x v="0"/>
  </r>
  <r>
    <x v="845"/>
    <x v="38"/>
    <s v="Bella Terra Italian Sausage Sauce - 24 Oz"/>
    <n v="24"/>
    <s v="ounce"/>
    <d v="2022-02-01T00:00:00"/>
    <d v="2024-08-20T00:00:00"/>
    <s v="instacart"/>
    <s v=""/>
    <n v="261814"/>
    <x v="1"/>
    <x v="1"/>
    <x v="1"/>
    <x v="1"/>
  </r>
  <r>
    <x v="846"/>
    <x v="242"/>
    <s v="FANNY'S All Natural Meat Sauce"/>
    <n v="24"/>
    <s v="ounce"/>
    <d v="2021-11-01T00:00:00"/>
    <d v="2026-02-01T00:00:00"/>
    <s v="instacart"/>
    <n v="162274"/>
    <n v="261759"/>
    <x v="1"/>
    <x v="0"/>
    <x v="1"/>
    <x v="0"/>
  </r>
  <r>
    <x v="847"/>
    <x v="20"/>
    <s v="Yo Mama's Spicy Marinara Tomato Sauce"/>
    <n v="25"/>
    <s v="ounce"/>
    <d v="2021-10-28T00:00:00"/>
    <d v="2026-02-06T00:00:00"/>
    <s v="instacart"/>
    <n v="22696564"/>
    <n v="266827"/>
    <x v="1"/>
    <x v="0"/>
    <x v="1"/>
    <x v="0"/>
  </r>
  <r>
    <x v="848"/>
    <x v="120"/>
    <s v="Yo Mama's Foods No Sugar Added, Low Carb, Marinara Sauce, 3 PK"/>
    <m/>
    <m/>
    <d v="2023-04-03T00:00:00"/>
    <d v="2023-06-22T00:00:00"/>
    <s v="instacart"/>
    <s v=""/>
    <n v="266848"/>
    <x v="1"/>
    <x v="0"/>
    <x v="1"/>
    <x v="0"/>
  </r>
  <r>
    <x v="849"/>
    <x v="23"/>
    <s v="Gino Angelini Foods Pasta Sauce Pomodorini - 24 Oz"/>
    <n v="24"/>
    <s v="ounce"/>
    <d v="2021-10-28T00:00:00"/>
    <d v="2026-02-05T00:00:00"/>
    <s v="instacart"/>
    <s v=""/>
    <n v="264110"/>
    <x v="1"/>
    <x v="0"/>
    <x v="1"/>
    <x v="0"/>
  </r>
  <r>
    <x v="850"/>
    <x v="12"/>
    <s v="Orti Di Calabria Tomato &amp; Garlic Marinara Pasta Sauce, 24.3 oz"/>
    <n v="24.3"/>
    <s v="ounce"/>
    <d v="2021-10-28T00:00:00"/>
    <d v="2026-02-05T00:00:00"/>
    <s v="instacart"/>
    <n v="333889"/>
    <n v="266510"/>
    <x v="1"/>
    <x v="0"/>
    <x v="1"/>
    <x v="0"/>
  </r>
  <r>
    <x v="851"/>
    <x v="243"/>
    <s v="Sturdy Sauce Garlic Herb - 16 OZ"/>
    <n v="16"/>
    <s v="ounce"/>
    <d v="2024-12-20T00:00:00"/>
    <d v="2026-02-06T00:00:00"/>
    <s v="instacart"/>
    <n v="56340212"/>
    <n v="262392"/>
    <x v="1"/>
    <x v="0"/>
    <x v="1"/>
    <x v="0"/>
  </r>
  <r>
    <x v="852"/>
    <x v="54"/>
    <s v="Carbone Fine Foods Tomato Basil Pasta Sauce, 22 oz., 2 pk."/>
    <n v="44"/>
    <s v="ounce"/>
    <d v="2025-03-23T00:00:00"/>
    <d v="2026-02-03T00:00:00"/>
    <s v="instacart"/>
    <s v=""/>
    <n v="264363"/>
    <x v="0"/>
    <x v="0"/>
    <x v="0"/>
    <x v="0"/>
  </r>
  <r>
    <x v="853"/>
    <x v="45"/>
    <s v="PregoÂ® Marinara Sauce 23.000 oz"/>
    <n v="23"/>
    <s v="ounce"/>
    <d v="2021-10-28T00:00:00"/>
    <d v="2026-02-07T00:00:00"/>
    <s v="instacart"/>
    <n v="77112"/>
    <n v="264164"/>
    <x v="1"/>
    <x v="0"/>
    <x v="1"/>
    <x v="0"/>
  </r>
  <r>
    <x v="854"/>
    <x v="85"/>
    <s v="Nonna's Recipe San Marzano Tomato Sauce, 25 OZ"/>
    <n v="25"/>
    <s v="ounce"/>
    <d v="2021-10-28T00:00:00"/>
    <d v="2026-02-06T00:00:00"/>
    <s v="instacart"/>
    <n v="21670073"/>
    <n v="266403"/>
    <x v="1"/>
    <x v="0"/>
    <x v="1"/>
    <x v="0"/>
  </r>
  <r>
    <x v="855"/>
    <x v="36"/>
    <s v="Gradys Garden Marinara Pasta Sauce - 24 OZ"/>
    <n v="24"/>
    <s v="ounce"/>
    <d v="2024-08-18T00:00:00"/>
    <d v="2026-02-05T00:00:00"/>
    <s v="instacart"/>
    <n v="28088472"/>
    <n v="264527"/>
    <x v="0"/>
    <x v="0"/>
    <x v="0"/>
    <x v="0"/>
  </r>
  <r>
    <x v="856"/>
    <x v="205"/>
    <s v="Chef Mel - Sweet Sicilian Style Gourmet Pasta Sauce (24 Oz)"/>
    <n v="24"/>
    <s v="ounce"/>
    <d v="2024-02-15T00:00:00"/>
    <d v="2026-02-02T00:00:00"/>
    <s v="instacart"/>
    <n v="2809525"/>
    <n v="262258"/>
    <x v="0"/>
    <x v="0"/>
    <x v="0"/>
    <x v="0"/>
  </r>
  <r>
    <x v="857"/>
    <x v="15"/>
    <s v="Ragu Old World Style Traditional Pasta Sauce, Made with Olive Oil, 24 oz"/>
    <n v="24"/>
    <s v="ounce"/>
    <d v="2023-11-20T00:00:00"/>
    <d v="2025-01-26T00:00:00"/>
    <s v="instacart"/>
    <s v=""/>
    <n v="261809"/>
    <x v="0"/>
    <x v="0"/>
    <x v="0"/>
    <x v="0"/>
  </r>
  <r>
    <x v="858"/>
    <x v="38"/>
    <s v="Perfect Pasta Rigatoni and Vodka Sauce, 10 oz"/>
    <n v="10"/>
    <s v="ounce"/>
    <d v="2021-11-14T00:00:00"/>
    <d v="2026-02-04T00:00:00"/>
    <s v="instacart"/>
    <n v="26505413"/>
    <n v="262232"/>
    <x v="1"/>
    <x v="1"/>
    <x v="1"/>
    <x v="1"/>
  </r>
  <r>
    <x v="859"/>
    <x v="38"/>
    <s v="Botticelli Tomato Basil Pasta 48 oz"/>
    <m/>
    <m/>
    <d v="2022-05-22T00:00:00"/>
    <d v="2023-04-23T00:00:00"/>
    <s v="instacart"/>
    <s v=""/>
    <n v="261729"/>
    <x v="0"/>
    <x v="1"/>
    <x v="0"/>
    <x v="1"/>
  </r>
  <r>
    <x v="860"/>
    <x v="116"/>
    <s v="Gia Russia Low Sodium Pasta Sauce - 24 Oz"/>
    <n v="24"/>
    <s v="ounce"/>
    <d v="2021-10-29T00:00:00"/>
    <d v="2026-02-05T00:00:00"/>
    <s v="instacart"/>
    <n v="311592"/>
    <n v="267070"/>
    <x v="1"/>
    <x v="0"/>
    <x v="1"/>
    <x v="0"/>
  </r>
  <r>
    <x v="861"/>
    <x v="4"/>
    <s v="Nanina's In The Park Tomato &amp; Basil Premium Quality Gourmet Pasta Sauce, 24 oz"/>
    <m/>
    <m/>
    <d v="2021-10-31T00:00:00"/>
    <d v="2023-07-26T00:00:00"/>
    <s v="instacart"/>
    <s v=""/>
    <n v="264431"/>
    <x v="0"/>
    <x v="0"/>
    <x v="0"/>
    <x v="0"/>
  </r>
  <r>
    <x v="862"/>
    <x v="232"/>
    <s v="Pink Crema Pasta Sauce - 26 Oz"/>
    <n v="25"/>
    <s v="ounce"/>
    <d v="2022-10-27T00:00:00"/>
    <d v="2026-02-06T00:00:00"/>
    <s v="instacart"/>
    <n v="26220681"/>
    <n v="264125"/>
    <x v="1"/>
    <x v="0"/>
    <x v="1"/>
    <x v="0"/>
  </r>
  <r>
    <x v="863"/>
    <x v="244"/>
    <s v="Ken's Steak House Marinara Sauce"/>
    <n v="2"/>
    <s v="ounce"/>
    <d v="2021-10-28T00:00:00"/>
    <d v="2026-02-03T00:00:00"/>
    <s v="instacart"/>
    <n v="18179392"/>
    <n v="264136"/>
    <x v="1"/>
    <x v="0"/>
    <x v="1"/>
    <x v="0"/>
  </r>
  <r>
    <x v="864"/>
    <x v="177"/>
    <s v="Little Italy in the Bronx Rosa Alfredo with Parmigiano-Reggiano Cheese Sauce, 15 oz"/>
    <n v="15"/>
    <s v="ounce"/>
    <d v="2022-07-10T00:00:00"/>
    <d v="2026-02-06T00:00:00"/>
    <s v="instacart"/>
    <n v="27550238"/>
    <n v="266351"/>
    <x v="0"/>
    <x v="0"/>
    <x v="0"/>
    <x v="0"/>
  </r>
  <r>
    <x v="865"/>
    <x v="3"/>
    <s v="Monte Bene Tomato Basil Pasta Sauce, 24 oz"/>
    <n v="24"/>
    <s v="ounce"/>
    <d v="2021-10-28T00:00:00"/>
    <d v="2026-02-06T00:00:00"/>
    <s v="instacart"/>
    <n v="53416"/>
    <n v="266831"/>
    <x v="1"/>
    <x v="0"/>
    <x v="1"/>
    <x v="0"/>
  </r>
  <r>
    <x v="866"/>
    <x v="14"/>
    <s v="Mezzetta Family Recipes Three Cheese Sauce - 25 Oz"/>
    <n v="25"/>
    <s v="ounce"/>
    <d v="2021-10-28T00:00:00"/>
    <d v="2026-02-06T00:00:00"/>
    <s v="instacart"/>
    <n v="24823"/>
    <n v="266401"/>
    <x v="1"/>
    <x v="0"/>
    <x v="1"/>
    <x v="0"/>
  </r>
  <r>
    <x v="867"/>
    <x v="43"/>
    <s v="Filippo Berio Oregano and Mild Garlic Marinara Sauce, 24 oz"/>
    <n v="24"/>
    <s v="ounce"/>
    <d v="2024-06-16T00:00:00"/>
    <d v="2026-02-06T00:00:00"/>
    <s v="instacart"/>
    <n v="21866473"/>
    <n v="261776"/>
    <x v="0"/>
    <x v="0"/>
    <x v="0"/>
    <x v="0"/>
  </r>
  <r>
    <x v="868"/>
    <x v="2"/>
    <s v="RAOS 40OZ VODKA SAUCE"/>
    <n v="40"/>
    <s v="ounce"/>
    <d v="2021-10-28T00:00:00"/>
    <d v="2025-03-07T00:00:00"/>
    <s v="instacart"/>
    <s v=""/>
    <n v="264102"/>
    <x v="1"/>
    <x v="0"/>
    <x v="1"/>
    <x v="0"/>
  </r>
  <r>
    <x v="869"/>
    <x v="38"/>
    <s v="Delgrosso Pasta Sauce Immaculate Marinara"/>
    <m/>
    <m/>
    <d v="2022-10-06T00:00:00"/>
    <d v="2024-03-03T00:00:00"/>
    <s v="instacart"/>
    <s v=""/>
    <n v="261818"/>
    <x v="0"/>
    <x v="1"/>
    <x v="0"/>
    <x v="1"/>
  </r>
  <r>
    <x v="870"/>
    <x v="38"/>
    <s v="Mantova Organic Vodka Sauce"/>
    <n v="17"/>
    <s v="ounce"/>
    <d v="2021-10-31T00:00:00"/>
    <d v="2025-12-19T00:00:00"/>
    <s v="instacart"/>
    <s v=""/>
    <n v="267016"/>
    <x v="1"/>
    <x v="1"/>
    <x v="1"/>
    <x v="1"/>
  </r>
  <r>
    <x v="871"/>
    <x v="50"/>
    <s v="TantilloÂ® Reserve Roasted Garlic Pasta Sauce"/>
    <n v="21.2"/>
    <s v="ounce"/>
    <d v="2021-12-08T00:00:00"/>
    <d v="2026-02-05T00:00:00"/>
    <s v="instacart"/>
    <n v="26251266"/>
    <n v="264586"/>
    <x v="0"/>
    <x v="0"/>
    <x v="0"/>
    <x v="0"/>
  </r>
  <r>
    <x v="872"/>
    <x v="245"/>
    <s v="Vodka Sauce, 24 OZ"/>
    <n v="24"/>
    <s v="ounce"/>
    <d v="2021-10-28T00:00:00"/>
    <d v="2026-02-06T00:00:00"/>
    <s v="instacart"/>
    <s v=""/>
    <n v="266505"/>
    <x v="0"/>
    <x v="0"/>
    <x v="0"/>
    <x v="0"/>
  </r>
  <r>
    <x v="873"/>
    <x v="38"/>
    <s v="Spinato's Tomato Basil Sauce"/>
    <n v="24"/>
    <s v="ounce"/>
    <d v="2021-10-28T00:00:00"/>
    <d v="2026-02-06T00:00:00"/>
    <s v="instacart"/>
    <n v="17071336"/>
    <n v="266395"/>
    <x v="0"/>
    <x v="1"/>
    <x v="0"/>
    <x v="1"/>
  </r>
  <r>
    <x v="874"/>
    <x v="44"/>
    <s v="Organic Sensitive Marinara Sauce, 24 OZ"/>
    <n v="24"/>
    <s v="ounce"/>
    <d v="2025-01-29T00:00:00"/>
    <d v="2026-01-08T00:00:00"/>
    <s v="instacart"/>
    <s v=""/>
    <n v="266354"/>
    <x v="0"/>
    <x v="0"/>
    <x v="0"/>
    <x v="0"/>
  </r>
  <r>
    <x v="875"/>
    <x v="15"/>
    <s v="Ragu Simply Tomato Basil Pasta Sauce"/>
    <n v="24"/>
    <s v="ounce"/>
    <d v="2023-04-19T00:00:00"/>
    <d v="2026-02-05T00:00:00"/>
    <s v="instacart"/>
    <n v="29770630"/>
    <n v="266642"/>
    <x v="1"/>
    <x v="0"/>
    <x v="1"/>
    <x v="0"/>
  </r>
  <r>
    <x v="876"/>
    <x v="38"/>
    <s v="Rao's HomemadeÂ® Limited Reserve Porcini"/>
    <n v="19"/>
    <s v="ounce"/>
    <d v="2025-06-12T00:00:00"/>
    <d v="2026-02-05T00:00:00"/>
    <s v="instacart"/>
    <n v="76042671"/>
    <n v="267109"/>
    <x v="1"/>
    <x v="1"/>
    <x v="1"/>
    <x v="1"/>
  </r>
  <r>
    <x v="877"/>
    <x v="121"/>
    <s v="Le Sauce &amp; Co. Tomato Basil Gourmet Pasta Sauce, 8.8 oz, 2 Serving Pouch"/>
    <n v="8.8000000000000007"/>
    <s v="ounce"/>
    <d v="2024-08-13T00:00:00"/>
    <d v="2026-02-06T00:00:00"/>
    <s v="instacart"/>
    <n v="53639633"/>
    <n v="261496"/>
    <x v="0"/>
    <x v="0"/>
    <x v="0"/>
    <x v="0"/>
  </r>
  <r>
    <x v="878"/>
    <x v="49"/>
    <s v="Rao's Homemade Sauce, Four Cheese 32 oz"/>
    <n v="32"/>
    <s v="ounce"/>
    <d v="2025-03-17T00:00:00"/>
    <d v="2026-02-06T00:00:00"/>
    <s v="instacart"/>
    <n v="64213205"/>
    <n v="264365"/>
    <x v="1"/>
    <x v="0"/>
    <x v="1"/>
    <x v="0"/>
  </r>
  <r>
    <x v="879"/>
    <x v="44"/>
    <s v="Botticelli Premium Traditional Pasta Sauce 24 oz"/>
    <n v="24"/>
    <s v="ounce"/>
    <d v="2021-10-31T00:00:00"/>
    <d v="2026-02-06T00:00:00"/>
    <s v="instacart"/>
    <n v="3346280"/>
    <n v="264303"/>
    <x v="0"/>
    <x v="0"/>
    <x v="0"/>
    <x v="0"/>
  </r>
  <r>
    <x v="880"/>
    <x v="144"/>
    <s v="Mutti Marinara Sauce - 24 Oz"/>
    <n v="24"/>
    <s v="ounce"/>
    <d v="2022-04-14T00:00:00"/>
    <d v="2026-02-06T00:00:00"/>
    <s v="instacart"/>
    <n v="29063059"/>
    <n v="266515"/>
    <x v="1"/>
    <x v="0"/>
    <x v="1"/>
    <x v="0"/>
  </r>
  <r>
    <x v="881"/>
    <x v="246"/>
    <s v="Basha Hot n' Zesty Spaghetti Sauce"/>
    <n v="15.9"/>
    <s v="ounce"/>
    <d v="2022-10-27T00:00:00"/>
    <d v="2024-01-14T00:00:00"/>
    <s v="instacart"/>
    <s v=""/>
    <n v="264096"/>
    <x v="1"/>
    <x v="0"/>
    <x v="1"/>
    <x v="0"/>
  </r>
  <r>
    <x v="882"/>
    <x v="120"/>
    <s v="Yo Mama's Foods Keto Friendly Gourmet Pasta Sauce Collection, 6 PK"/>
    <m/>
    <m/>
    <d v="2022-11-01T00:00:00"/>
    <d v="2023-06-28T00:00:00"/>
    <s v="instacart"/>
    <s v=""/>
    <n v="262041"/>
    <x v="1"/>
    <x v="0"/>
    <x v="1"/>
    <x v="0"/>
  </r>
  <r>
    <x v="883"/>
    <x v="163"/>
    <s v="Lucini Italia Organic Rustic Tomato Basil Sauce 24 Oz"/>
    <n v="24"/>
    <s v="ounce"/>
    <d v="2021-10-28T00:00:00"/>
    <d v="2026-02-06T00:00:00"/>
    <s v="instacart"/>
    <n v="53401"/>
    <n v="266315"/>
    <x v="1"/>
    <x v="0"/>
    <x v="1"/>
    <x v="0"/>
  </r>
  <r>
    <x v="884"/>
    <x v="247"/>
    <s v="Truff Pasta Sauce Black Truffle Pomodoro - 17 Oz"/>
    <n v="17"/>
    <s v="ounce"/>
    <d v="2021-10-28T00:00:00"/>
    <d v="2026-02-06T00:00:00"/>
    <s v="instacart"/>
    <n v="23791880"/>
    <n v="261542"/>
    <x v="0"/>
    <x v="0"/>
    <x v="0"/>
    <x v="0"/>
  </r>
  <r>
    <x v="885"/>
    <x v="49"/>
    <s v="Rao's Homemade Sauce, Fire Grilled Vegetable 24 oz"/>
    <n v="24"/>
    <s v="ounce"/>
    <d v="2024-01-31T00:00:00"/>
    <d v="2026-02-06T00:00:00"/>
    <s v="instacart"/>
    <n v="36930271"/>
    <n v="261803"/>
    <x v="1"/>
    <x v="0"/>
    <x v="1"/>
    <x v="0"/>
  </r>
  <r>
    <x v="886"/>
    <x v="19"/>
    <s v="Classico Four Cheese Spaghetti Pasta Sauce Value Size, 44 oz Jar"/>
    <n v="44"/>
    <s v="ounce"/>
    <d v="2021-10-28T00:00:00"/>
    <d v="2026-02-07T00:00:00"/>
    <s v="instacart"/>
    <n v="98535"/>
    <n v="261498"/>
    <x v="0"/>
    <x v="0"/>
    <x v="0"/>
    <x v="0"/>
  </r>
  <r>
    <x v="887"/>
    <x v="45"/>
    <s v="PregoÂ® Tomato Basil Garlic Pasta Sauce 24.000 Oz"/>
    <n v="24"/>
    <s v="ounce"/>
    <d v="2021-10-28T00:00:00"/>
    <d v="2026-02-07T00:00:00"/>
    <s v="instacart"/>
    <n v="77108"/>
    <n v="264750"/>
    <x v="1"/>
    <x v="0"/>
    <x v="1"/>
    <x v="0"/>
  </r>
  <r>
    <x v="888"/>
    <x v="47"/>
    <s v="Sonoma Gourmet - Tomato Basil Alfredo"/>
    <n v="15.5"/>
    <s v="ounce"/>
    <d v="2022-08-25T00:00:00"/>
    <d v="2026-02-06T00:00:00"/>
    <s v="instacart"/>
    <n v="27840116"/>
    <n v="262640"/>
    <x v="0"/>
    <x v="0"/>
    <x v="0"/>
    <x v="0"/>
  </r>
  <r>
    <x v="889"/>
    <x v="38"/>
    <s v="Pompilios Marinara Classico Pasta Sauce"/>
    <n v="29.5"/>
    <s v="ounce"/>
    <d v="2021-10-31T00:00:00"/>
    <d v="2026-02-04T00:00:00"/>
    <s v="instacart"/>
    <n v="2387367"/>
    <n v="264652"/>
    <x v="1"/>
    <x v="1"/>
    <x v="1"/>
    <x v="1"/>
  </r>
  <r>
    <x v="890"/>
    <x v="150"/>
    <s v="Cortazzo Fresh Tomatoes &amp; Basil Marinara Pasta Sauce"/>
    <n v="25"/>
    <s v="ounce"/>
    <d v="2021-10-28T00:00:00"/>
    <d v="2025-07-20T00:00:00"/>
    <s v="instacart"/>
    <s v=""/>
    <n v="266859"/>
    <x v="1"/>
    <x v="0"/>
    <x v="1"/>
    <x v="0"/>
  </r>
  <r>
    <x v="891"/>
    <x v="38"/>
    <s v="Stella Rosa Arrabbiata Sauce"/>
    <n v="24"/>
    <s v="ounce"/>
    <d v="2021-11-01T00:00:00"/>
    <d v="2026-02-05T00:00:00"/>
    <s v="instacart"/>
    <n v="3079003"/>
    <n v="266818"/>
    <x v="1"/>
    <x v="1"/>
    <x v="1"/>
    <x v="1"/>
  </r>
  <r>
    <x v="892"/>
    <x v="37"/>
    <s v="Primal Kitchen - Vodka Sauce ND"/>
    <n v="23.162237000000001"/>
    <s v="fluid ounce"/>
    <d v="2021-10-28T00:00:00"/>
    <d v="2024-05-30T00:00:00"/>
    <s v="instacart"/>
    <s v=""/>
    <n v="266857"/>
    <x v="0"/>
    <x v="0"/>
    <x v="0"/>
    <x v="0"/>
  </r>
  <r>
    <x v="893"/>
    <x v="247"/>
    <s v="Truff Pasta Sauce Black Truffle Arrabbiata - 17 Oz"/>
    <n v="17"/>
    <s v="ounce"/>
    <d v="2021-10-28T00:00:00"/>
    <d v="2026-02-06T00:00:00"/>
    <s v="instacart"/>
    <n v="23791997"/>
    <n v="267042"/>
    <x v="0"/>
    <x v="0"/>
    <x v="0"/>
    <x v="0"/>
  </r>
  <r>
    <x v="894"/>
    <x v="5"/>
    <s v="Prego - Pasta Sauce - Original"/>
    <n v="21.809698000000001"/>
    <s v="fluid ounce"/>
    <d v="2021-10-28T00:00:00"/>
    <d v="2026-02-05T00:00:00"/>
    <s v="instacart"/>
    <s v=""/>
    <n v="266378"/>
    <x v="1"/>
    <x v="0"/>
    <x v="1"/>
    <x v="0"/>
  </r>
  <r>
    <x v="895"/>
    <x v="85"/>
    <s v="Cucina Antica Cooking Sauce, Premium, La Vodka"/>
    <n v="25"/>
    <s v="ounce"/>
    <d v="2021-10-28T00:00:00"/>
    <d v="2026-02-06T00:00:00"/>
    <s v="instacart"/>
    <n v="24826"/>
    <n v="261565"/>
    <x v="1"/>
    <x v="0"/>
    <x v="1"/>
    <x v="0"/>
  </r>
  <r>
    <x v="896"/>
    <x v="108"/>
    <s v="Authentica - World Cuisine Siciliana Sauce"/>
    <n v="17.921147000000001"/>
    <s v="fluid ounce"/>
    <d v="2021-10-28T00:00:00"/>
    <d v="2026-01-25T00:00:00"/>
    <s v="instacart"/>
    <s v=""/>
    <n v="264267"/>
    <x v="1"/>
    <x v="0"/>
    <x v="1"/>
    <x v="0"/>
  </r>
  <r>
    <x v="897"/>
    <x v="15"/>
    <s v="Ragu Chunky Garden Combination Pasta Sauce, 45 oz"/>
    <n v="45"/>
    <s v="ounce"/>
    <d v="2021-10-28T00:00:00"/>
    <d v="2026-02-07T00:00:00"/>
    <s v="instacart"/>
    <n v="73904"/>
    <n v="264138"/>
    <x v="1"/>
    <x v="0"/>
    <x v="1"/>
    <x v="0"/>
  </r>
  <r>
    <x v="898"/>
    <x v="115"/>
    <s v="Cracked Pepper &amp; Parmesan, 25 OZ"/>
    <n v="25"/>
    <s v="ounce"/>
    <d v="2024-09-26T00:00:00"/>
    <d v="2026-02-06T00:00:00"/>
    <s v="instacart"/>
    <n v="57422773"/>
    <n v="266400"/>
    <x v="0"/>
    <x v="0"/>
    <x v="0"/>
    <x v="0"/>
  </r>
  <r>
    <x v="899"/>
    <x v="38"/>
    <s v="Giannotti Special Marinara With Blended Imported Cheeses Pasta Sauce"/>
    <n v="26"/>
    <s v="ounce"/>
    <d v="2021-10-29T00:00:00"/>
    <d v="2026-02-03T00:00:00"/>
    <s v="instacart"/>
    <n v="312692"/>
    <n v="261835"/>
    <x v="0"/>
    <x v="1"/>
    <x v="0"/>
    <x v="1"/>
  </r>
  <r>
    <x v="900"/>
    <x v="248"/>
    <s v="Vesper Bros. Foods Tomato Sauce, Signature, Tomato Basil"/>
    <n v="24"/>
    <s v="ounce"/>
    <d v="2021-10-31T00:00:00"/>
    <d v="2026-02-06T00:00:00"/>
    <s v="instacart"/>
    <n v="577767"/>
    <n v="261743"/>
    <x v="1"/>
    <x v="0"/>
    <x v="1"/>
    <x v="0"/>
  </r>
  <r>
    <x v="901"/>
    <x v="54"/>
    <s v="Carbone Bolognese Sauce"/>
    <n v="24"/>
    <s v="ounce"/>
    <d v="2025-10-09T00:00:00"/>
    <d v="2026-02-06T00:00:00"/>
    <s v="instacart"/>
    <n v="89944336"/>
    <n v="267006"/>
    <x v="1"/>
    <x v="0"/>
    <x v="1"/>
    <x v="0"/>
  </r>
  <r>
    <x v="902"/>
    <x v="51"/>
    <s v="Organic Ville Sauce Pasta Italian Herb"/>
    <n v="24"/>
    <s v="ounce"/>
    <d v="2021-10-28T00:00:00"/>
    <d v="2026-02-06T00:00:00"/>
    <s v="instacart"/>
    <n v="23801232"/>
    <n v="261856"/>
    <x v="1"/>
    <x v="0"/>
    <x v="1"/>
    <x v="0"/>
  </r>
  <r>
    <x v="903"/>
    <x v="38"/>
    <s v="Botticelli Marinara Premium Pasta Sauce"/>
    <n v="35"/>
    <s v="ounce"/>
    <d v="2021-11-01T00:00:00"/>
    <d v="2026-02-06T00:00:00"/>
    <s v="instacart"/>
    <n v="25392841"/>
    <n v="262166"/>
    <x v="0"/>
    <x v="1"/>
    <x v="0"/>
    <x v="1"/>
  </r>
  <r>
    <x v="904"/>
    <x v="19"/>
    <s v="Classico Fire Roasted Tomato &amp; Garlic Pasta Sauce - 24 Oz"/>
    <n v="24"/>
    <s v="ounce"/>
    <d v="2021-10-28T00:00:00"/>
    <d v="2026-02-07T00:00:00"/>
    <s v="instacart"/>
    <n v="73901"/>
    <n v="261853"/>
    <x v="0"/>
    <x v="0"/>
    <x v="0"/>
    <x v="0"/>
  </r>
  <r>
    <x v="905"/>
    <x v="32"/>
    <s v="Mid's Pasta Sauce, Sausage Style, Quart Size 32 Oz"/>
    <n v="32"/>
    <s v="ounce"/>
    <d v="2021-10-28T00:00:00"/>
    <d v="2024-05-29T00:00:00"/>
    <s v="instacart"/>
    <s v=""/>
    <n v="266847"/>
    <x v="1"/>
    <x v="0"/>
    <x v="1"/>
    <x v="0"/>
  </r>
  <r>
    <x v="906"/>
    <x v="98"/>
    <s v="Lucini Organic Savory Golden Tomato Pasta Sauce, 16.5 Oz"/>
    <n v="16.5"/>
    <s v="ounce"/>
    <d v="2023-10-11T00:00:00"/>
    <d v="2026-02-04T00:00:00"/>
    <s v="instacart"/>
    <s v=""/>
    <n v="267073"/>
    <x v="1"/>
    <x v="0"/>
    <x v="1"/>
    <x v="0"/>
  </r>
  <r>
    <x v="907"/>
    <x v="249"/>
    <s v="Marinara, 16 OZ"/>
    <n v="16"/>
    <s v="ounce"/>
    <d v="2021-10-31T00:00:00"/>
    <d v="2026-02-04T00:00:00"/>
    <s v="instacart"/>
    <n v="3321442"/>
    <n v="264570"/>
    <x v="1"/>
    <x v="0"/>
    <x v="1"/>
    <x v="0"/>
  </r>
  <r>
    <x v="908"/>
    <x v="19"/>
    <s v="Classico Sweet Basil Marinara Spaghetti Pasta Sauce, Basil Marinara Pasta Sauce"/>
    <n v="21.978764999999999"/>
    <s v="fluid ounce"/>
    <d v="2021-10-28T00:00:00"/>
    <d v="2026-01-25T00:00:00"/>
    <s v="instacart"/>
    <s v=""/>
    <n v="264375"/>
    <x v="0"/>
    <x v="0"/>
    <x v="0"/>
    <x v="0"/>
  </r>
  <r>
    <x v="909"/>
    <x v="250"/>
    <s v="Tutta Bella Rustic Marinara Sauce | Made with Fresh Premium Italian Plum Tomatoes and an Authentic Italian Kitchen Recipe | All Natural Ingredients and No Sugar Added | 24 oz."/>
    <n v="24"/>
    <s v="ounce"/>
    <d v="2021-11-21T00:00:00"/>
    <d v="2026-02-03T00:00:00"/>
    <s v="instacart"/>
    <n v="26134768"/>
    <n v="266582"/>
    <x v="1"/>
    <x v="0"/>
    <x v="1"/>
    <x v="0"/>
  </r>
  <r>
    <x v="910"/>
    <x v="27"/>
    <s v="Clevelands Own Little Italy Pasta Sauce - 32 Oz"/>
    <n v="32"/>
    <s v="ounce"/>
    <d v="2021-10-28T00:00:00"/>
    <d v="2026-02-06T00:00:00"/>
    <s v="instacart"/>
    <s v="16314088, 49031089"/>
    <s v="267024, 267023"/>
    <x v="0"/>
    <x v="0"/>
    <x v="0"/>
    <x v="0"/>
  </r>
  <r>
    <x v="911"/>
    <x v="250"/>
    <s v="Tutta Bella Traditional Bolognese Sauce | Made with Fresh Premium Italian Plum Tomatoes And an Authentic Italian Kitchen Recipe | All Natural Ingredients and No Sugar Added | 24 oz."/>
    <n v="24"/>
    <s v="ounce"/>
    <d v="2021-11-21T00:00:00"/>
    <d v="2026-02-03T00:00:00"/>
    <s v="instacart"/>
    <n v="26134750"/>
    <n v="264229"/>
    <x v="0"/>
    <x v="0"/>
    <x v="0"/>
    <x v="0"/>
  </r>
  <r>
    <x v="912"/>
    <x v="7"/>
    <s v="Rao's Homemade | Arrabbiata Sauce | 24 oz"/>
    <n v="24"/>
    <s v="ounce"/>
    <d v="2021-10-28T00:00:00"/>
    <d v="2026-02-04T00:00:00"/>
    <s v="instacart"/>
    <n v="24805"/>
    <n v="261683"/>
    <x v="0"/>
    <x v="0"/>
    <x v="0"/>
    <x v="0"/>
  </r>
  <r>
    <x v="913"/>
    <x v="15"/>
    <s v="Ragu Chunky Super Chunky Mushroom Pasta Sauce, 45 oz"/>
    <n v="45"/>
    <s v="ounce"/>
    <d v="2021-10-28T00:00:00"/>
    <d v="2026-02-07T00:00:00"/>
    <s v="instacart"/>
    <n v="73906"/>
    <n v="266326"/>
    <x v="1"/>
    <x v="0"/>
    <x v="1"/>
    <x v="0"/>
  </r>
  <r>
    <x v="914"/>
    <x v="251"/>
    <s v="Triple D's Roasted Portabella Mushroom Sauce"/>
    <m/>
    <m/>
    <d v="2022-11-01T00:00:00"/>
    <d v="2023-06-22T00:00:00"/>
    <s v="instacart"/>
    <s v=""/>
    <n v="266443"/>
    <x v="0"/>
    <x v="0"/>
    <x v="0"/>
    <x v="0"/>
  </r>
  <r>
    <x v="915"/>
    <x v="145"/>
    <s v="Mezzetta Marinara Sauce, Spicy, 25 Ounce"/>
    <n v="24"/>
    <s v="fluid ounce"/>
    <d v="2021-10-28T00:00:00"/>
    <d v="2026-02-07T00:00:00"/>
    <s v="instacart"/>
    <n v="18648"/>
    <n v="261535"/>
    <x v="1"/>
    <x v="0"/>
    <x v="1"/>
    <x v="0"/>
  </r>
  <r>
    <x v="916"/>
    <x v="252"/>
    <s v="La Famiglia Del Grosso Aunt Mary Ann's Marinara Sauce, 26 oz"/>
    <n v="26"/>
    <s v="ounce"/>
    <d v="2021-10-28T00:00:00"/>
    <d v="2026-02-06T00:00:00"/>
    <s v="instacart"/>
    <n v="95025"/>
    <n v="264062"/>
    <x v="0"/>
    <x v="0"/>
    <x v="0"/>
    <x v="0"/>
  </r>
  <r>
    <x v="917"/>
    <x v="5"/>
    <s v="Prego Chunky Tomato and Three Cheese Pasta Sauce"/>
    <n v="23.75"/>
    <s v="ounce"/>
    <d v="2023-02-12T00:00:00"/>
    <d v="2026-02-06T00:00:00"/>
    <s v="instacart"/>
    <n v="29503419"/>
    <n v="267007"/>
    <x v="1"/>
    <x v="0"/>
    <x v="1"/>
    <x v="0"/>
  </r>
  <r>
    <x v="918"/>
    <x v="127"/>
    <s v="The Silver Palate San Marzano Blend Tomato Basil Pasta Sauce 25 oz (708 g)"/>
    <n v="25"/>
    <s v="ounce"/>
    <d v="2021-10-28T00:00:00"/>
    <d v="2026-02-06T00:00:00"/>
    <s v="instacart"/>
    <n v="98547"/>
    <n v="262588"/>
    <x v="1"/>
    <x v="0"/>
    <x v="1"/>
    <x v="0"/>
  </r>
  <r>
    <x v="919"/>
    <x v="114"/>
    <s v="Marinara Sauce, 25 OZ"/>
    <n v="25"/>
    <s v="ounce"/>
    <d v="2021-10-28T00:00:00"/>
    <d v="2026-02-06T00:00:00"/>
    <s v="instacart"/>
    <n v="3343081"/>
    <n v="261686"/>
    <x v="0"/>
    <x v="0"/>
    <x v="0"/>
    <x v="0"/>
  </r>
  <r>
    <x v="920"/>
    <x v="216"/>
    <s v="The Jersey Tomato Co. Tomato Basil Sauce, 25 oz"/>
    <n v="25"/>
    <s v="ounce"/>
    <d v="2021-10-28T00:00:00"/>
    <d v="2026-02-04T00:00:00"/>
    <s v="instacart"/>
    <n v="17438567"/>
    <n v="262329"/>
    <x v="0"/>
    <x v="0"/>
    <x v="0"/>
    <x v="0"/>
  </r>
  <r>
    <x v="921"/>
    <x v="5"/>
    <s v="Prego Spicy Vodka Pasta Sauc"/>
    <n v="23.75"/>
    <s v="ounce"/>
    <d v="2025-03-12T00:00:00"/>
    <d v="2026-02-06T00:00:00"/>
    <s v="instacart"/>
    <n v="64392531"/>
    <n v="264283"/>
    <x v="0"/>
    <x v="0"/>
    <x v="0"/>
    <x v="0"/>
  </r>
  <r>
    <x v="922"/>
    <x v="36"/>
    <s v="Sturdy Sauce Marinara - 16 OZ"/>
    <n v="16"/>
    <s v="ounce"/>
    <d v="2024-09-08T00:00:00"/>
    <d v="2026-02-06T00:00:00"/>
    <s v="instacart"/>
    <n v="56340183"/>
    <n v="264524"/>
    <x v="1"/>
    <x v="0"/>
    <x v="1"/>
    <x v="0"/>
  </r>
  <r>
    <x v="923"/>
    <x v="38"/>
    <s v="BARILLA SC RSTD GARLIC 24OZ"/>
    <m/>
    <m/>
    <d v="2021-11-02T00:00:00"/>
    <d v="2023-06-11T00:00:00"/>
    <s v="instacart"/>
    <s v=""/>
    <n v="264241"/>
    <x v="1"/>
    <x v="1"/>
    <x v="1"/>
    <x v="1"/>
  </r>
  <r>
    <x v="924"/>
    <x v="75"/>
    <s v="Del Grosso 45oz. Meatless"/>
    <n v="45"/>
    <s v="ounce"/>
    <d v="2021-10-28T00:00:00"/>
    <d v="2026-02-03T00:00:00"/>
    <s v="instacart"/>
    <s v=""/>
    <n v="261786"/>
    <x v="1"/>
    <x v="0"/>
    <x v="1"/>
    <x v="0"/>
  </r>
  <r>
    <x v="925"/>
    <x v="160"/>
    <s v="Pasta Too Sauce, Tomato, Original"/>
    <n v="26"/>
    <s v="ounce"/>
    <d v="2021-10-28T00:00:00"/>
    <d v="2026-02-06T00:00:00"/>
    <s v="instacart"/>
    <n v="18683585"/>
    <n v="266964"/>
    <x v="0"/>
    <x v="0"/>
    <x v="0"/>
    <x v="0"/>
  </r>
  <r>
    <x v="926"/>
    <x v="5"/>
    <s v="PREGO FARMERS MARKET ROASTED GARLIC SAUCE"/>
    <n v="23.5"/>
    <s v="ounce"/>
    <d v="2021-10-28T00:00:00"/>
    <d v="2026-02-06T00:00:00"/>
    <s v="instacart"/>
    <n v="3280025"/>
    <n v="261890"/>
    <x v="0"/>
    <x v="0"/>
    <x v="0"/>
    <x v="0"/>
  </r>
  <r>
    <x v="927"/>
    <x v="29"/>
    <s v="Taste Of The Hill - Tomato Alfredo (16 Oz)"/>
    <n v="16"/>
    <s v="ounce"/>
    <d v="2021-11-14T00:00:00"/>
    <d v="2026-02-02T00:00:00"/>
    <s v="instacart"/>
    <n v="2812438"/>
    <n v="261877"/>
    <x v="1"/>
    <x v="0"/>
    <x v="1"/>
    <x v="0"/>
  </r>
  <r>
    <x v="928"/>
    <x v="242"/>
    <s v="FANNY'S All Natural Marinara Sauce"/>
    <n v="24"/>
    <s v="ounce"/>
    <d v="2021-11-01T00:00:00"/>
    <d v="2026-02-06T00:00:00"/>
    <s v="instacart"/>
    <n v="162275"/>
    <n v="261873"/>
    <x v="1"/>
    <x v="0"/>
    <x v="1"/>
    <x v="0"/>
  </r>
  <r>
    <x v="929"/>
    <x v="43"/>
    <s v="Filippo Berio Roasted Garlic Pasta Sauce 24oz - 24 OZ"/>
    <n v="24"/>
    <s v="ounce"/>
    <d v="2024-06-17T00:00:00"/>
    <d v="2026-02-06T00:00:00"/>
    <s v="instacart"/>
    <n v="48699361"/>
    <n v="262132"/>
    <x v="0"/>
    <x v="0"/>
    <x v="0"/>
    <x v="0"/>
  </r>
  <r>
    <x v="930"/>
    <x v="253"/>
    <s v="Buona Signature Marinara Sauce 24 oz (680 g)"/>
    <n v="24"/>
    <s v="ounce"/>
    <d v="2022-01-18T00:00:00"/>
    <d v="2026-02-05T00:00:00"/>
    <s v="instacart"/>
    <n v="26511872"/>
    <n v="261490"/>
    <x v="0"/>
    <x v="0"/>
    <x v="0"/>
    <x v="0"/>
  </r>
  <r>
    <x v="931"/>
    <x v="254"/>
    <s v="Yo Mama's Foods Keto Chianti Wine Pasta Sauce - Pack of (1) - No Sugar Added, Low Carb, Low Sodium, Gluten Free, Paleo Friendly, and Made with Whole, Non-GMO Tomatoes"/>
    <n v="25"/>
    <s v="ounce"/>
    <d v="2021-10-28T00:00:00"/>
    <d v="2026-02-06T00:00:00"/>
    <s v="instacart"/>
    <n v="19316288"/>
    <n v="264204"/>
    <x v="1"/>
    <x v="0"/>
    <x v="1"/>
    <x v="0"/>
  </r>
  <r>
    <x v="932"/>
    <x v="140"/>
    <s v="SIMMER Cherry Tomato Marinara Sauce, 16 OZ"/>
    <n v="16"/>
    <s v="ounce"/>
    <d v="2024-01-03T00:00:00"/>
    <d v="2025-08-08T00:00:00"/>
    <s v="instacart"/>
    <s v=""/>
    <n v="266413"/>
    <x v="1"/>
    <x v="0"/>
    <x v="1"/>
    <x v="0"/>
  </r>
  <r>
    <x v="933"/>
    <x v="75"/>
    <s v="DelGrosso Pasta Sauce, Marinara, Classic Style"/>
    <n v="24"/>
    <s v="ounce"/>
    <d v="2021-10-28T00:00:00"/>
    <d v="2026-02-06T00:00:00"/>
    <s v="instacart"/>
    <n v="3363861"/>
    <n v="261848"/>
    <x v="1"/>
    <x v="0"/>
    <x v="1"/>
    <x v="0"/>
  </r>
  <r>
    <x v="934"/>
    <x v="5"/>
    <s v="Prego Roasted Garlic and Herb Pasta Sauce, Jars, 3 pk./45 oz."/>
    <n v="135"/>
    <s v="ounce"/>
    <d v="2021-10-28T00:00:00"/>
    <d v="2026-01-23T00:00:00"/>
    <s v="instacart"/>
    <n v="25836412"/>
    <n v="261876"/>
    <x v="0"/>
    <x v="0"/>
    <x v="0"/>
    <x v="0"/>
  </r>
  <r>
    <x v="935"/>
    <x v="49"/>
    <s v="Rao's Homemade Sensitive Marinara Sauce 24oz"/>
    <n v="24"/>
    <s v="ounce"/>
    <d v="2023-06-11T00:00:00"/>
    <d v="2026-02-03T00:00:00"/>
    <s v="instacart"/>
    <s v="34627147, 53411"/>
    <s v="266600, 266601"/>
    <x v="1"/>
    <x v="0"/>
    <x v="1"/>
    <x v="0"/>
  </r>
  <r>
    <x v="936"/>
    <x v="255"/>
    <s v="Marinara Sauce, 16 OZ"/>
    <n v="16"/>
    <s v="ounce"/>
    <d v="2021-10-31T00:00:00"/>
    <d v="2026-02-04T00:00:00"/>
    <s v="instacart"/>
    <n v="110839"/>
    <n v="261693"/>
    <x v="0"/>
    <x v="0"/>
    <x v="0"/>
    <x v="0"/>
  </r>
  <r>
    <x v="937"/>
    <x v="256"/>
    <s v="Bertolli Traditional Marinara Sauce, Spaghetti Tomato Pasta Sauce, 24 oz"/>
    <n v="24"/>
    <s v="ounce"/>
    <d v="2021-10-28T00:00:00"/>
    <d v="2026-02-07T00:00:00"/>
    <s v="instacart"/>
    <n v="34645477"/>
    <n v="264113"/>
    <x v="0"/>
    <x v="0"/>
    <x v="0"/>
    <x v="0"/>
  </r>
  <r>
    <x v="938"/>
    <x v="192"/>
    <s v="VICTORIA SAUCE ALFREDO VEGAN RSTD PEPPE 18 OZ"/>
    <n v="18"/>
    <s v="ounce"/>
    <d v="2021-10-28T00:00:00"/>
    <d v="2026-02-06T00:00:00"/>
    <s v="instacart"/>
    <n v="135706"/>
    <n v="266412"/>
    <x v="0"/>
    <x v="0"/>
    <x v="0"/>
    <x v="0"/>
  </r>
  <r>
    <x v="939"/>
    <x v="122"/>
    <s v="Carmine's Fra Diavolo"/>
    <n v="24"/>
    <s v="ounce"/>
    <d v="2025-02-05T00:00:00"/>
    <d v="2026-02-06T00:00:00"/>
    <s v="instacart"/>
    <n v="33224753"/>
    <n v="264257"/>
    <x v="0"/>
    <x v="0"/>
    <x v="0"/>
    <x v="0"/>
  </r>
  <r>
    <x v="940"/>
    <x v="257"/>
    <s v="IT'S A UTICA THING! Marinara Sauce"/>
    <n v="24"/>
    <s v="ounce"/>
    <d v="2021-10-29T00:00:00"/>
    <d v="2026-02-06T00:00:00"/>
    <s v="instacart"/>
    <n v="19832369"/>
    <n v="262174"/>
    <x v="1"/>
    <x v="0"/>
    <x v="1"/>
    <x v="0"/>
  </r>
  <r>
    <x v="941"/>
    <x v="159"/>
    <s v="Montebello Verdure Sauce 19.75 oz"/>
    <n v="19.75"/>
    <s v="ounce"/>
    <d v="2021-10-28T00:00:00"/>
    <d v="2025-09-18T00:00:00"/>
    <s v="instacart"/>
    <s v=""/>
    <n v="262612"/>
    <x v="0"/>
    <x v="0"/>
    <x v="0"/>
    <x v="0"/>
  </r>
  <r>
    <x v="942"/>
    <x v="37"/>
    <s v="Primal Kitchen Tomato Basil Marinara Sauce 24 oz"/>
    <n v="24"/>
    <s v="ounce"/>
    <d v="2021-10-28T00:00:00"/>
    <d v="2026-02-06T00:00:00"/>
    <s v="instacart"/>
    <n v="20218111"/>
    <n v="264167"/>
    <x v="1"/>
    <x v="0"/>
    <x v="1"/>
    <x v="0"/>
  </r>
  <r>
    <x v="943"/>
    <x v="106"/>
    <s v="Organic Arrabbiata Pasta Sauce, 13.9 OZ"/>
    <n v="13.9"/>
    <s v="ounce"/>
    <d v="2025-02-06T00:00:00"/>
    <d v="2026-02-06T00:00:00"/>
    <s v="instacart"/>
    <s v=""/>
    <n v="264530"/>
    <x v="0"/>
    <x v="0"/>
    <x v="0"/>
    <x v="0"/>
  </r>
  <r>
    <x v="944"/>
    <x v="101"/>
    <s v="Cucina &amp; Amore Pasta Sauce Italian Formaggio Tomato Ricott &amp; Parmigiano Reggiano Jar - 16.8 Oz"/>
    <n v="16.8"/>
    <s v="ounce"/>
    <d v="2021-10-28T00:00:00"/>
    <d v="2026-02-06T00:00:00"/>
    <s v="instacart"/>
    <n v="3258014"/>
    <n v="261658"/>
    <x v="1"/>
    <x v="0"/>
    <x v="1"/>
    <x v="0"/>
  </r>
  <r>
    <x v="945"/>
    <x v="38"/>
    <s v="Botticeli Porcini"/>
    <n v="24"/>
    <s v="ounce"/>
    <d v="2021-10-28T00:00:00"/>
    <d v="2026-02-06T00:00:00"/>
    <s v="instacart"/>
    <s v=""/>
    <n v="264308"/>
    <x v="1"/>
    <x v="1"/>
    <x v="1"/>
    <x v="1"/>
  </r>
  <r>
    <x v="946"/>
    <x v="5"/>
    <s v="Prego Traditional No Sugar Added Pasta Sauce - 23.5 Oz"/>
    <n v="23.5"/>
    <s v="ounce"/>
    <d v="2021-10-28T00:00:00"/>
    <d v="2026-02-07T00:00:00"/>
    <s v="instacart"/>
    <n v="18510112"/>
    <n v="264566"/>
    <x v="0"/>
    <x v="0"/>
    <x v="0"/>
    <x v="0"/>
  </r>
  <r>
    <x v="947"/>
    <x v="93"/>
    <s v="Sauce Bolognese, 16 OZ"/>
    <n v="16"/>
    <s v="ounce"/>
    <d v="2021-10-31T00:00:00"/>
    <d v="2026-02-04T00:00:00"/>
    <s v="instacart"/>
    <s v=""/>
    <n v="267063"/>
    <x v="1"/>
    <x v="0"/>
    <x v="1"/>
    <x v="0"/>
  </r>
  <r>
    <x v="948"/>
    <x v="144"/>
    <s v="Mutti Pasta Sauce Arrabiata - 24 OZ"/>
    <n v="24"/>
    <s v="ounce"/>
    <d v="2023-08-13T00:00:00"/>
    <d v="2026-02-06T00:00:00"/>
    <s v="instacart"/>
    <n v="29063059"/>
    <n v="261885"/>
    <x v="1"/>
    <x v="0"/>
    <x v="1"/>
    <x v="0"/>
  </r>
  <r>
    <x v="949"/>
    <x v="258"/>
    <s v="Club Lucky Mariara Alla Bava Sauce - 26 Oz"/>
    <n v="26"/>
    <s v="ounce"/>
    <d v="2021-10-29T00:00:00"/>
    <d v="2026-02-05T00:00:00"/>
    <s v="instacart"/>
    <n v="53424"/>
    <n v="261897"/>
    <x v="1"/>
    <x v="0"/>
    <x v="1"/>
    <x v="0"/>
  </r>
  <r>
    <x v="950"/>
    <x v="38"/>
    <s v="Cucina Antica - Garlc Marinara Sauce"/>
    <n v="16"/>
    <s v="ounce"/>
    <d v="2021-10-31T00:00:00"/>
    <d v="2025-10-31T00:00:00"/>
    <s v="instacart"/>
    <n v="110841"/>
    <n v="264756"/>
    <x v="1"/>
    <x v="1"/>
    <x v="1"/>
    <x v="1"/>
  </r>
  <r>
    <x v="951"/>
    <x v="63"/>
    <s v="Victoria Pasta Sauce, Fradiavolo"/>
    <n v="24"/>
    <s v="ounce"/>
    <d v="2021-10-28T00:00:00"/>
    <d v="2026-02-06T00:00:00"/>
    <s v="instacart"/>
    <n v="98563"/>
    <n v="261861"/>
    <x v="0"/>
    <x v="0"/>
    <x v="0"/>
    <x v="0"/>
  </r>
  <r>
    <x v="952"/>
    <x v="214"/>
    <s v="Sauz | Miso Garlic Marinara (Single Jar) Thick &amp; Creamy- Gluten-Free, Non-GMO, and 100% Delicious - Crafted in Small Batches for Michelin-Star Delight - Clean ingredients 25 OZ"/>
    <n v="25"/>
    <s v="ounce"/>
    <d v="2025-02-14T00:00:00"/>
    <d v="2026-02-06T00:00:00"/>
    <s v="instacart"/>
    <n v="73538910"/>
    <n v="264146"/>
    <x v="1"/>
    <x v="0"/>
    <x v="1"/>
    <x v="0"/>
  </r>
  <r>
    <x v="953"/>
    <x v="38"/>
    <s v="Schiavone's Marinara Spaghetti Sauce"/>
    <n v="28"/>
    <s v="ounce"/>
    <d v="2021-11-03T00:00:00"/>
    <d v="2026-02-05T00:00:00"/>
    <s v="instacart"/>
    <n v="1741595"/>
    <n v="266402"/>
    <x v="1"/>
    <x v="1"/>
    <x v="1"/>
    <x v="1"/>
  </r>
  <r>
    <x v="954"/>
    <x v="18"/>
    <s v="Vodka Cream Sauce, 12 OZ"/>
    <n v="12"/>
    <s v="ounce"/>
    <d v="2024-03-17T00:00:00"/>
    <d v="2026-02-05T00:00:00"/>
    <s v="instacart"/>
    <n v="44979140"/>
    <n v="266873"/>
    <x v="1"/>
    <x v="0"/>
    <x v="1"/>
    <x v="0"/>
  </r>
  <r>
    <x v="955"/>
    <x v="44"/>
    <s v="Botticelli Premium Pasta Sauce Roasted Garlic"/>
    <n v="34.799999999999997"/>
    <s v="ounce"/>
    <d v="2022-08-02T00:00:00"/>
    <d v="2024-07-07T00:00:00"/>
    <s v="instacart"/>
    <s v=""/>
    <n v="266850"/>
    <x v="1"/>
    <x v="0"/>
    <x v="1"/>
    <x v="0"/>
  </r>
  <r>
    <x v="956"/>
    <x v="34"/>
    <s v="Newmans Own Newmans Own  Pasta Sauce, 45 oz"/>
    <n v="45"/>
    <s v="ounce"/>
    <d v="2021-11-26T00:00:00"/>
    <d v="2025-01-28T00:00:00"/>
    <s v="instacart"/>
    <s v=""/>
    <n v="266856"/>
    <x v="1"/>
    <x v="0"/>
    <x v="1"/>
    <x v="0"/>
  </r>
  <r>
    <x v="957"/>
    <x v="12"/>
    <s v="Orti Di Calabria Sicilian Pasta Sauce, 24.3 oz"/>
    <n v="24.3"/>
    <s v="ounce"/>
    <d v="2021-10-28T00:00:00"/>
    <d v="2026-02-05T00:00:00"/>
    <s v="instacart"/>
    <n v="333901"/>
    <n v="266309"/>
    <x v="0"/>
    <x v="0"/>
    <x v="0"/>
    <x v="0"/>
  </r>
  <r>
    <x v="958"/>
    <x v="5"/>
    <s v="Prego Bolognese Meat Sauce - 23.5 Oz"/>
    <n v="23.5"/>
    <s v="ounce"/>
    <d v="2023-06-11T00:00:00"/>
    <d v="2026-02-06T00:00:00"/>
    <s v="instacart"/>
    <n v="29627849"/>
    <n v="261825"/>
    <x v="1"/>
    <x v="0"/>
    <x v="1"/>
    <x v="0"/>
  </r>
  <r>
    <x v="959"/>
    <x v="259"/>
    <s v="Maria's Marinara Tomato Sauce"/>
    <n v="24"/>
    <s v="ounce"/>
    <d v="2021-10-29T00:00:00"/>
    <d v="2025-10-22T00:00:00"/>
    <s v="instacart"/>
    <s v=""/>
    <n v="266855"/>
    <x v="0"/>
    <x v="0"/>
    <x v="0"/>
    <x v="0"/>
  </r>
  <r>
    <x v="960"/>
    <x v="81"/>
    <s v="Bove's Spicy Marinara"/>
    <n v="24"/>
    <s v="ounce"/>
    <d v="2021-10-29T00:00:00"/>
    <d v="2025-10-22T00:00:00"/>
    <s v="instacart"/>
    <s v=""/>
    <n v="261653"/>
    <x v="1"/>
    <x v="0"/>
    <x v="1"/>
    <x v="0"/>
  </r>
  <r>
    <x v="961"/>
    <x v="114"/>
    <s v="Hoboken Farms Pasta Vodka Sauce - 25 Oz"/>
    <n v="25"/>
    <s v="ounce"/>
    <d v="2021-10-28T00:00:00"/>
    <d v="2026-02-06T00:00:00"/>
    <s v="instacart"/>
    <n v="16401813"/>
    <n v="264288"/>
    <x v="1"/>
    <x v="0"/>
    <x v="1"/>
    <x v="0"/>
  </r>
  <r>
    <x v="962"/>
    <x v="44"/>
    <s v="Botticelli Pasta Sauce, Premium, Tomato &amp; Basil 24 Oz"/>
    <n v="24"/>
    <s v="ounce"/>
    <d v="2021-10-28T00:00:00"/>
    <d v="2026-02-06T00:00:00"/>
    <s v="instacart"/>
    <n v="32956382"/>
    <n v="261679"/>
    <x v="0"/>
    <x v="0"/>
    <x v="0"/>
    <x v="0"/>
  </r>
  <r>
    <x v="963"/>
    <x v="24"/>
    <s v="Hunt's Premium, No Added Sugar 24 oz"/>
    <n v="1"/>
    <s v="ounce"/>
    <d v="2021-10-28T00:00:00"/>
    <d v="2026-02-06T00:00:00"/>
    <s v="instacart"/>
    <n v="2642372"/>
    <n v="264563"/>
    <x v="1"/>
    <x v="0"/>
    <x v="1"/>
    <x v="0"/>
  </r>
  <r>
    <x v="964"/>
    <x v="260"/>
    <s v="Jersey Tomato Sauce Marinara - 25 Oz"/>
    <n v="25"/>
    <s v="ounce"/>
    <d v="2021-10-28T00:00:00"/>
    <d v="2026-01-29T00:00:00"/>
    <s v="instacart"/>
    <n v="17438764"/>
    <n v="266589"/>
    <x v="0"/>
    <x v="0"/>
    <x v="0"/>
    <x v="0"/>
  </r>
  <r>
    <x v="965"/>
    <x v="2"/>
    <s v="Rao's Sauce, Marinara 15.5 oz"/>
    <n v="15.5"/>
    <s v="ounce"/>
    <d v="2021-10-28T00:00:00"/>
    <d v="2026-02-06T00:00:00"/>
    <s v="instacart"/>
    <n v="98551"/>
    <n v="266911"/>
    <x v="0"/>
    <x v="0"/>
    <x v="0"/>
    <x v="0"/>
  </r>
  <r>
    <x v="966"/>
    <x v="54"/>
    <s v="Carbone Mediterranean Marinara Sauce, No Sugar Added, Non GMO, Kosher"/>
    <n v="24"/>
    <s v="ounce"/>
    <d v="2025-01-22T00:00:00"/>
    <d v="2026-02-06T00:00:00"/>
    <s v="instacart"/>
    <n v="64570527"/>
    <n v="261702"/>
    <x v="0"/>
    <x v="0"/>
    <x v="0"/>
    <x v="0"/>
  </r>
  <r>
    <x v="967"/>
    <x v="65"/>
    <s v="Casa Visco Meatless Sauce"/>
    <n v="64"/>
    <s v="ounce"/>
    <d v="2021-10-29T00:00:00"/>
    <d v="2025-03-28T00:00:00"/>
    <s v="instacart"/>
    <s v=""/>
    <n v="261811"/>
    <x v="0"/>
    <x v="0"/>
    <x v="0"/>
    <x v="0"/>
  </r>
  <r>
    <x v="968"/>
    <x v="24"/>
    <s v="Hunt's Basil, Garlic &amp; Oregano Tomato Sauce, 8 oz"/>
    <n v="8"/>
    <s v="ounce"/>
    <d v="2021-10-28T00:00:00"/>
    <d v="2026-02-07T00:00:00"/>
    <s v="instacart"/>
    <n v="38974"/>
    <n v="264035"/>
    <x v="1"/>
    <x v="0"/>
    <x v="1"/>
    <x v="0"/>
  </r>
  <r>
    <x v="969"/>
    <x v="15"/>
    <s v="RAGU SIMPLY SAUCE ROASTED GARLIC"/>
    <n v="24"/>
    <s v="ounce"/>
    <d v="2021-10-28T00:00:00"/>
    <d v="2026-02-07T00:00:00"/>
    <s v="instacart"/>
    <n v="19820553"/>
    <n v="262029"/>
    <x v="0"/>
    <x v="0"/>
    <x v="0"/>
    <x v="0"/>
  </r>
  <r>
    <x v="970"/>
    <x v="38"/>
    <s v="ROMANOS PASTA SAUCE GARLIC AND BASIL 26 OZ"/>
    <n v="26"/>
    <s v="ounce"/>
    <d v="2021-10-31T00:00:00"/>
    <d v="2026-02-05T00:00:00"/>
    <s v="instacart"/>
    <n v="49021489"/>
    <n v="266983"/>
    <x v="0"/>
    <x v="1"/>
    <x v="0"/>
    <x v="1"/>
  </r>
  <r>
    <x v="971"/>
    <x v="132"/>
    <s v="Michaels of Brooklyn Pasta Sauce, Arrabbiata, 32 oz"/>
    <n v="32"/>
    <s v="ounce"/>
    <d v="2021-10-28T00:00:00"/>
    <d v="2026-02-03T00:00:00"/>
    <s v="instacart"/>
    <n v="17330579"/>
    <n v="262623"/>
    <x v="0"/>
    <x v="0"/>
    <x v="0"/>
    <x v="0"/>
  </r>
  <r>
    <x v="972"/>
    <x v="55"/>
    <s v="Cucina Antica Tomato Basil Sauce, 25 oz"/>
    <n v="25"/>
    <s v="ounce"/>
    <d v="2021-11-01T00:00:00"/>
    <d v="2026-02-04T00:00:00"/>
    <s v="instacart"/>
    <n v="80811"/>
    <n v="264457"/>
    <x v="0"/>
    <x v="0"/>
    <x v="0"/>
    <x v="0"/>
  </r>
  <r>
    <x v="973"/>
    <x v="38"/>
    <s v="BRN SMPL ORG SPCY ARRB PASTA SAUCE"/>
    <n v="18"/>
    <s v="ounce"/>
    <d v="2022-09-28T00:00:00"/>
    <d v="2025-11-05T00:00:00"/>
    <s v="instacart"/>
    <n v="27661492"/>
    <n v="262629"/>
    <x v="0"/>
    <x v="1"/>
    <x v="0"/>
    <x v="1"/>
  </r>
  <r>
    <x v="974"/>
    <x v="48"/>
    <s v="Jersey Italian Gravy Vodka Sauce, 6 PK"/>
    <m/>
    <m/>
    <d v="2023-03-24T00:00:00"/>
    <d v="2023-06-22T00:00:00"/>
    <s v="instacart"/>
    <s v=""/>
    <n v="266344"/>
    <x v="0"/>
    <x v="0"/>
    <x v="0"/>
    <x v="0"/>
  </r>
  <r>
    <x v="975"/>
    <x v="177"/>
    <s v="Little Italy In The Bronx Pasta Sauce, Cherry Tomato Marinara 24 oz"/>
    <n v="24"/>
    <s v="ounce"/>
    <d v="2021-10-28T00:00:00"/>
    <d v="2026-02-05T00:00:00"/>
    <s v="instacart"/>
    <n v="20166009"/>
    <n v="262578"/>
    <x v="0"/>
    <x v="0"/>
    <x v="0"/>
    <x v="0"/>
  </r>
  <r>
    <x v="976"/>
    <x v="36"/>
    <s v="Born Simple Sauce Marinara Premium Organ - 18 OZ"/>
    <n v="18"/>
    <s v="ounce"/>
    <d v="2022-08-17T00:00:00"/>
    <d v="2026-02-05T00:00:00"/>
    <s v="instacart"/>
    <n v="27663317"/>
    <n v="262545"/>
    <x v="1"/>
    <x v="0"/>
    <x v="1"/>
    <x v="0"/>
  </r>
  <r>
    <x v="977"/>
    <x v="85"/>
    <s v="Cucina Antica Rosa Alfredo 16.9 oz"/>
    <n v="16.899999999999999"/>
    <s v="ounce"/>
    <d v="2022-08-18T00:00:00"/>
    <d v="2026-02-06T00:00:00"/>
    <s v="instacart"/>
    <n v="27494712"/>
    <n v="261737"/>
    <x v="0"/>
    <x v="0"/>
    <x v="0"/>
    <x v="0"/>
  </r>
  <r>
    <x v="978"/>
    <x v="261"/>
    <s v="Emeril's Pasta Sauce, Tomato &amp; Basil 25 oz"/>
    <n v="25"/>
    <s v="ounce"/>
    <d v="2021-10-28T00:00:00"/>
    <d v="2026-02-06T00:00:00"/>
    <s v="instacart"/>
    <n v="98560"/>
    <n v="261580"/>
    <x v="1"/>
    <x v="0"/>
    <x v="1"/>
    <x v="0"/>
  </r>
  <r>
    <x v="979"/>
    <x v="45"/>
    <s v="PregoÂ® Chunky Roasted Garlic And Herb Pasta Sauce 23.750 oz"/>
    <n v="23.75"/>
    <s v="ounce"/>
    <d v="2023-02-12T00:00:00"/>
    <d v="2026-02-07T00:00:00"/>
    <s v="instacart"/>
    <n v="29503633"/>
    <n v="266393"/>
    <x v="1"/>
    <x v="0"/>
    <x v="1"/>
    <x v="0"/>
  </r>
  <r>
    <x v="980"/>
    <x v="38"/>
    <s v="Capozzi's Spaghetti Marinara Sauce"/>
    <n v="26"/>
    <s v="ounce"/>
    <d v="2021-11-03T00:00:00"/>
    <d v="2026-02-04T00:00:00"/>
    <s v="instacart"/>
    <n v="19739879"/>
    <n v="264464"/>
    <x v="0"/>
    <x v="1"/>
    <x v="0"/>
    <x v="1"/>
  </r>
  <r>
    <x v="981"/>
    <x v="45"/>
    <s v="Prego Sauce, Heart Smart Traditional"/>
    <n v="23.5"/>
    <s v="ounce"/>
    <d v="2021-10-28T00:00:00"/>
    <d v="2026-02-07T00:00:00"/>
    <s v="instacart"/>
    <n v="34157"/>
    <n v="264722"/>
    <x v="0"/>
    <x v="0"/>
    <x v="0"/>
    <x v="0"/>
  </r>
  <r>
    <x v="982"/>
    <x v="47"/>
    <s v="Sonoma Gourmet Organic Cherry Tomato with Basil Pasta Sauce, 25 oz"/>
    <n v="25"/>
    <s v="ounce"/>
    <d v="2021-10-28T00:00:00"/>
    <d v="2026-02-06T00:00:00"/>
    <s v="instacart"/>
    <n v="2219082"/>
    <n v="266936"/>
    <x v="1"/>
    <x v="0"/>
    <x v="1"/>
    <x v="0"/>
  </r>
  <r>
    <x v="983"/>
    <x v="45"/>
    <s v="PregoÂ® Italian Sausage And Garlic Meat Sauce 44.000 oz"/>
    <n v="44"/>
    <s v="ounce"/>
    <d v="2021-10-28T00:00:00"/>
    <d v="2026-02-07T00:00:00"/>
    <s v="instacart"/>
    <n v="20021629"/>
    <n v="264741"/>
    <x v="0"/>
    <x v="0"/>
    <x v="0"/>
    <x v="0"/>
  </r>
  <r>
    <x v="984"/>
    <x v="77"/>
    <s v="Sclafani Tomato Basil Sauce, 32 oz"/>
    <n v="32"/>
    <s v="ounce"/>
    <d v="2021-10-31T00:00:00"/>
    <d v="2026-02-06T00:00:00"/>
    <s v="instacart"/>
    <n v="226646"/>
    <n v="266498"/>
    <x v="0"/>
    <x v="0"/>
    <x v="0"/>
    <x v="0"/>
  </r>
  <r>
    <x v="985"/>
    <x v="6"/>
    <s v="Bertolli Olive Oil, Basil &amp; Garlic Organic Sauce - 24 Ounce"/>
    <n v="24"/>
    <s v="ounce"/>
    <d v="2021-10-28T00:00:00"/>
    <d v="2026-02-07T00:00:00"/>
    <s v="instacart"/>
    <n v="2915073"/>
    <n v="264628"/>
    <x v="0"/>
    <x v="0"/>
    <x v="0"/>
    <x v="0"/>
  </r>
  <r>
    <x v="986"/>
    <x v="7"/>
    <s v="Rao's Homemade Arrabbiata Sauce, 32 oz, Tomato Sauce, All Purpose, Keto Friendly Pasta Sauce, Premium Quality Tomatoes from Italy &amp; Crushed Red Pepper"/>
    <n v="32"/>
    <s v="ounce"/>
    <d v="2021-11-01T00:00:00"/>
    <d v="2026-02-02T00:00:00"/>
    <s v="instacart"/>
    <n v="18628190"/>
    <n v="261595"/>
    <x v="1"/>
    <x v="0"/>
    <x v="1"/>
    <x v="0"/>
  </r>
  <r>
    <x v="987"/>
    <x v="154"/>
    <s v="Di Bruno Bros. Tomato Basil Tomato Sauce, 24 oz"/>
    <n v="24"/>
    <s v="ounce"/>
    <d v="2024-09-13T00:00:00"/>
    <d v="2026-02-04T00:00:00"/>
    <s v="instacart"/>
    <s v=""/>
    <n v="264667"/>
    <x v="1"/>
    <x v="0"/>
    <x v="1"/>
    <x v="0"/>
  </r>
  <r>
    <x v="988"/>
    <x v="38"/>
    <s v="Bove's - 3Chs Tom Pasta Sce"/>
    <n v="24"/>
    <s v="ounce"/>
    <d v="2021-10-28T00:00:00"/>
    <d v="2026-02-06T00:00:00"/>
    <s v="instacart"/>
    <s v=""/>
    <n v="264209"/>
    <x v="0"/>
    <x v="1"/>
    <x v="0"/>
    <x v="1"/>
  </r>
  <r>
    <x v="989"/>
    <x v="40"/>
    <s v="Muir Glen Organic Roasted Garlic Pasta Sauce, No Sugar Added"/>
    <n v="23.5"/>
    <s v="ounce"/>
    <d v="2022-09-11T00:00:00"/>
    <d v="2026-02-06T00:00:00"/>
    <s v="instacart"/>
    <n v="34623727"/>
    <n v="267043"/>
    <x v="0"/>
    <x v="0"/>
    <x v="0"/>
    <x v="0"/>
  </r>
  <r>
    <x v="990"/>
    <x v="85"/>
    <s v="Sunday Sauce, 25 OZ"/>
    <n v="25"/>
    <s v="ounce"/>
    <d v="2024-01-31T00:00:00"/>
    <d v="2026-02-04T00:00:00"/>
    <s v="instacart"/>
    <s v=""/>
    <n v="266543"/>
    <x v="1"/>
    <x v="0"/>
    <x v="1"/>
    <x v="0"/>
  </r>
  <r>
    <x v="991"/>
    <x v="174"/>
    <s v="Barilla Savory Oregano Traditional Pasta Sauce - 24 Oz"/>
    <n v="24"/>
    <s v="ounce"/>
    <d v="2021-10-28T00:00:00"/>
    <d v="2026-02-06T00:00:00"/>
    <s v="instacart"/>
    <n v="73881"/>
    <n v="266901"/>
    <x v="0"/>
    <x v="0"/>
    <x v="0"/>
    <x v="0"/>
  </r>
  <r>
    <x v="992"/>
    <x v="203"/>
    <s v="RagÃº Old World Style Traditional Sauce, 45 oz"/>
    <n v="45"/>
    <s v="ounce"/>
    <d v="2021-10-28T00:00:00"/>
    <d v="2026-02-07T00:00:00"/>
    <s v="instacart"/>
    <n v="77085"/>
    <n v="261870"/>
    <x v="1"/>
    <x v="0"/>
    <x v="1"/>
    <x v="0"/>
  </r>
  <r>
    <x v="993"/>
    <x v="99"/>
    <s v="DeLallo Ultimate Sauce Collection Marinara Sauce Fat Free Jar - 26 Oz"/>
    <n v="24"/>
    <s v="ounce"/>
    <d v="2021-10-28T00:00:00"/>
    <d v="2026-02-06T00:00:00"/>
    <s v="instacart"/>
    <n v="2503683"/>
    <n v="261882"/>
    <x v="0"/>
    <x v="0"/>
    <x v="0"/>
    <x v="0"/>
  </r>
  <r>
    <x v="994"/>
    <x v="190"/>
    <s v="Organic Tomato Basil Pasta Sauce, 20 OZ"/>
    <n v="24"/>
    <s v="ounce"/>
    <d v="2025-01-22T00:00:00"/>
    <d v="2026-02-04T00:00:00"/>
    <s v="instacart"/>
    <n v="55079690"/>
    <n v="264203"/>
    <x v="1"/>
    <x v="0"/>
    <x v="1"/>
    <x v="0"/>
  </r>
  <r>
    <x v="995"/>
    <x v="142"/>
    <s v="Rustichella D Abruzzo Tomato Sauce with Basil Pomodoro e Basilico Jar - 23.9 Oz"/>
    <n v="23.9"/>
    <s v="ounce"/>
    <d v="2021-10-28T00:00:00"/>
    <d v="2026-02-06T00:00:00"/>
    <s v="instacart"/>
    <n v="2786310"/>
    <n v="264086"/>
    <x v="0"/>
    <x v="0"/>
    <x v="0"/>
    <x v="0"/>
  </r>
  <r>
    <x v="996"/>
    <x v="19"/>
    <s v="Classico Family Favorites Traditional Smooth &amp; Rich Pasta Sauce - 24 Oz"/>
    <n v="24"/>
    <s v="ounce"/>
    <d v="2021-10-28T00:00:00"/>
    <d v="2026-02-06T00:00:00"/>
    <s v="instacart"/>
    <n v="125443"/>
    <n v="266538"/>
    <x v="1"/>
    <x v="0"/>
    <x v="1"/>
    <x v="0"/>
  </r>
  <r>
    <x v="997"/>
    <x v="38"/>
    <s v="Sundried Tomato &amp; Olive"/>
    <n v="6"/>
    <s v="ounce"/>
    <d v="2023-11-15T00:00:00"/>
    <d v="2026-02-06T00:00:00"/>
    <s v="instacart"/>
    <n v="35595100"/>
    <n v="261795"/>
    <x v="0"/>
    <x v="1"/>
    <x v="0"/>
    <x v="1"/>
  </r>
  <r>
    <x v="998"/>
    <x v="99"/>
    <s v="Delallo Sauce Spaghetti Trdtnl - 24 Oz"/>
    <n v="24"/>
    <s v="ounce"/>
    <d v="2021-10-28T00:00:00"/>
    <d v="2026-02-06T00:00:00"/>
    <s v="instacart"/>
    <n v="1499839"/>
    <n v="262557"/>
    <x v="0"/>
    <x v="0"/>
    <x v="0"/>
    <x v="0"/>
  </r>
  <r>
    <x v="999"/>
    <x v="262"/>
    <s v="Cipriani Organic Pomodoro Sauce - 11.99 Oz"/>
    <n v="11.99"/>
    <s v="ounce"/>
    <d v="2022-06-02T00:00:00"/>
    <d v="2026-02-06T00:00:00"/>
    <s v="instacart"/>
    <n v="16635325"/>
    <n v="264345"/>
    <x v="1"/>
    <x v="0"/>
    <x v="1"/>
    <x v="0"/>
  </r>
  <r>
    <x v="1000"/>
    <x v="36"/>
    <s v="Born Simple Sauce Tomato &amp; Basil Organic - 18 OZ"/>
    <n v="18"/>
    <s v="ounce"/>
    <d v="2022-08-10T00:00:00"/>
    <d v="2026-02-05T00:00:00"/>
    <s v="instacart"/>
    <n v="27662188"/>
    <n v="267079"/>
    <x v="0"/>
    <x v="0"/>
    <x v="0"/>
    <x v="0"/>
  </r>
  <r>
    <x v="1001"/>
    <x v="254"/>
    <s v="Yo Mama's Foods Keto RosÃ© Wine Pasta Sauce - Pack of (1) - No Sugar Added, Low Carb, Low Sodium, Gluten Free, Paleo Friendly, Non-GMO, and Vegan"/>
    <n v="25"/>
    <s v="ounce"/>
    <d v="2021-11-01T00:00:00"/>
    <d v="2026-02-06T00:00:00"/>
    <s v="instacart"/>
    <n v="22685595"/>
    <n v="267080"/>
    <x v="1"/>
    <x v="0"/>
    <x v="1"/>
    <x v="0"/>
  </r>
  <r>
    <x v="1002"/>
    <x v="55"/>
    <s v="Cucina Antica Garlic Marinara Sauce, 25 oz"/>
    <n v="25"/>
    <s v="ounce"/>
    <d v="2021-10-28T00:00:00"/>
    <d v="2026-02-04T00:00:00"/>
    <s v="instacart"/>
    <n v="53396"/>
    <n v="261765"/>
    <x v="0"/>
    <x v="0"/>
    <x v="0"/>
    <x v="0"/>
  </r>
  <r>
    <x v="1003"/>
    <x v="167"/>
    <s v="Bono Pasta Sauce, with 100% Italian Tomatoes, Marinara"/>
    <n v="24"/>
    <s v="ounce"/>
    <d v="2023-01-26T00:00:00"/>
    <d v="2026-02-06T00:00:00"/>
    <s v="instacart"/>
    <n v="19962763"/>
    <n v="261512"/>
    <x v="0"/>
    <x v="0"/>
    <x v="0"/>
    <x v="0"/>
  </r>
  <r>
    <x v="1004"/>
    <x v="21"/>
    <s v="Sacia Tomatos Cherry Marinara - 24 Oz"/>
    <n v="24"/>
    <s v="ounce"/>
    <d v="2021-10-28T00:00:00"/>
    <d v="2026-02-06T00:00:00"/>
    <s v="instacart"/>
    <n v="18301267"/>
    <n v="261688"/>
    <x v="0"/>
    <x v="0"/>
    <x v="0"/>
    <x v="0"/>
  </r>
  <r>
    <x v="1005"/>
    <x v="263"/>
    <s v="Bianco Dinapoli, Sauce Pasta Arrabbiata Organic, 20 Ounce"/>
    <n v="24"/>
    <s v="ounce"/>
    <d v="2025-01-22T00:00:00"/>
    <d v="2026-02-04T00:00:00"/>
    <s v="instacart"/>
    <n v="55410668"/>
    <n v="264034"/>
    <x v="0"/>
    <x v="0"/>
    <x v="0"/>
    <x v="0"/>
  </r>
  <r>
    <x v="1006"/>
    <x v="21"/>
    <s v="Sacia Tomatos Cherry N Olives - 24 Oz"/>
    <n v="24"/>
    <s v="ounce"/>
    <d v="2021-10-28T00:00:00"/>
    <d v="2026-02-06T00:00:00"/>
    <s v="instacart"/>
    <s v=""/>
    <n v="266371"/>
    <x v="0"/>
    <x v="0"/>
    <x v="0"/>
    <x v="0"/>
  </r>
  <r>
    <x v="1007"/>
    <x v="124"/>
    <s v="Pastene Marinara Sauce 24 oz"/>
    <n v="24"/>
    <s v="ounce"/>
    <d v="2021-10-28T00:00:00"/>
    <d v="2026-02-06T00:00:00"/>
    <s v="instacart"/>
    <n v="3340287"/>
    <n v="267001"/>
    <x v="1"/>
    <x v="0"/>
    <x v="1"/>
    <x v="0"/>
  </r>
  <r>
    <x v="1008"/>
    <x v="69"/>
    <s v="Gefen Classic Marinara Pasta Sauce - 26 Oz"/>
    <n v="26"/>
    <s v="ounce"/>
    <d v="2021-10-28T00:00:00"/>
    <d v="2026-02-06T00:00:00"/>
    <s v="instacart"/>
    <n v="145157"/>
    <n v="262028"/>
    <x v="1"/>
    <x v="0"/>
    <x v="1"/>
    <x v="0"/>
  </r>
  <r>
    <x v="1009"/>
    <x v="2"/>
    <s v="Rao's Bolognese Sauce"/>
    <n v="24"/>
    <s v="ounce"/>
    <d v="2021-10-28T00:00:00"/>
    <d v="2026-02-07T00:00:00"/>
    <s v="instacart"/>
    <n v="18957838"/>
    <n v="267034"/>
    <x v="0"/>
    <x v="0"/>
    <x v="0"/>
    <x v="0"/>
  </r>
  <r>
    <x v="1010"/>
    <x v="19"/>
    <s v="Classico - Di Piemonte Red Wine &amp; Herb"/>
    <n v="20.288091000000001"/>
    <s v="fluid ounce"/>
    <d v="2024-12-05T00:00:00"/>
    <d v="2026-02-05T00:00:00"/>
    <s v="instacart"/>
    <s v=""/>
    <n v="267062"/>
    <x v="0"/>
    <x v="0"/>
    <x v="0"/>
    <x v="0"/>
  </r>
  <r>
    <x v="1011"/>
    <x v="144"/>
    <s v="Mutti No Added Sugar Rossoro Tomatoes and Parmigiano Reggiano Pasta Sauce 24 oz"/>
    <n v="24"/>
    <s v="ounce"/>
    <d v="2022-04-14T00:00:00"/>
    <d v="2026-02-06T00:00:00"/>
    <s v="instacart"/>
    <n v="34713974"/>
    <n v="264048"/>
    <x v="1"/>
    <x v="0"/>
    <x v="1"/>
    <x v="0"/>
  </r>
  <r>
    <x v="1012"/>
    <x v="160"/>
    <s v="Pasta Too Pasta Sauce, Tomato, Original, Family Size"/>
    <m/>
    <m/>
    <d v="2021-10-28T00:00:00"/>
    <d v="2026-02-06T00:00:00"/>
    <s v="instacart"/>
    <s v=""/>
    <n v="264338"/>
    <x v="0"/>
    <x v="0"/>
    <x v="0"/>
    <x v="0"/>
  </r>
  <r>
    <x v="1013"/>
    <x v="19"/>
    <s v="Classico Caramelized Onion &amp; Roasted Garlic Pasta Sauce 24 oz (1 lb 8 oz) 680 g"/>
    <n v="24"/>
    <s v="ounce"/>
    <d v="2021-10-28T00:00:00"/>
    <d v="2026-02-06T00:00:00"/>
    <s v="instacart"/>
    <n v="98538"/>
    <n v="266366"/>
    <x v="0"/>
    <x v="0"/>
    <x v="0"/>
    <x v="0"/>
  </r>
  <r>
    <x v="1014"/>
    <x v="264"/>
    <s v="Chef Silvio's Sundae Sauce"/>
    <n v="25.5"/>
    <s v="ounce"/>
    <d v="2021-10-31T00:00:00"/>
    <d v="2026-02-01T00:00:00"/>
    <s v="instacart"/>
    <n v="228678"/>
    <n v="266509"/>
    <x v="0"/>
    <x v="0"/>
    <x v="0"/>
    <x v="0"/>
  </r>
  <r>
    <x v="1015"/>
    <x v="156"/>
    <s v="Ethnic Cottage Tomato Basil Jersey Tomato Sauce, 25 oz"/>
    <n v="25"/>
    <s v="ounce"/>
    <d v="2021-10-31T00:00:00"/>
    <d v="2026-02-06T00:00:00"/>
    <s v="instacart"/>
    <n v="138169"/>
    <n v="267047"/>
    <x v="0"/>
    <x v="0"/>
    <x v="0"/>
    <x v="0"/>
  </r>
  <r>
    <x v="1016"/>
    <x v="265"/>
    <s v="Yo Mamaâ€™s - Roasted Garlic Tomato Sauce"/>
    <n v="24.007574000000002"/>
    <s v="fluid ounce"/>
    <d v="2025-11-20T00:00:00"/>
    <d v="2026-02-05T00:00:00"/>
    <s v="instacart"/>
    <s v=""/>
    <n v="261710"/>
    <x v="0"/>
    <x v="0"/>
    <x v="0"/>
    <x v="0"/>
  </r>
  <r>
    <x v="1017"/>
    <x v="116"/>
    <s v="Gia Russa Pasta Sauce, Select, Alla Vodka 24 oz"/>
    <n v="24"/>
    <s v="ounce"/>
    <d v="2021-10-28T00:00:00"/>
    <d v="2026-02-06T00:00:00"/>
    <s v="instacart"/>
    <n v="91490"/>
    <n v="261775"/>
    <x v="0"/>
    <x v="0"/>
    <x v="0"/>
    <x v="0"/>
  </r>
  <r>
    <x v="1018"/>
    <x v="266"/>
    <s v="Belletieri's Tomato Pasta Sauce"/>
    <n v="24"/>
    <s v="ounce"/>
    <d v="2021-10-28T00:00:00"/>
    <d v="2026-02-06T00:00:00"/>
    <s v="instacart"/>
    <n v="17316065"/>
    <n v="266493"/>
    <x v="0"/>
    <x v="0"/>
    <x v="0"/>
    <x v="0"/>
  </r>
  <r>
    <x v="1019"/>
    <x v="164"/>
    <s v="Frik And Frak Sweetheart Pasta Sauce - 24 Oz"/>
    <n v="24"/>
    <s v="ounce"/>
    <d v="2023-06-08T00:00:00"/>
    <d v="2026-02-06T00:00:00"/>
    <s v="instacart"/>
    <n v="30517044"/>
    <n v="261874"/>
    <x v="1"/>
    <x v="0"/>
    <x v="1"/>
    <x v="0"/>
  </r>
  <r>
    <x v="1020"/>
    <x v="113"/>
    <s v="Lucini Sauce Organic Savory Golden Tomato Jar - 24 Oz"/>
    <n v="24"/>
    <s v="ounce"/>
    <d v="2021-10-28T00:00:00"/>
    <d v="2026-02-06T00:00:00"/>
    <s v="instacart"/>
    <n v="24727950"/>
    <n v="266419"/>
    <x v="1"/>
    <x v="0"/>
    <x v="1"/>
    <x v="0"/>
  </r>
  <r>
    <x v="1021"/>
    <x v="36"/>
    <s v="Sturdy Sauce Sweet Basil - 16 OZ"/>
    <n v="16"/>
    <s v="ounce"/>
    <d v="2024-12-27T00:00:00"/>
    <d v="2026-02-06T00:00:00"/>
    <s v="instacart"/>
    <n v="56340269"/>
    <n v="262604"/>
    <x v="0"/>
    <x v="0"/>
    <x v="0"/>
    <x v="0"/>
  </r>
  <r>
    <x v="1022"/>
    <x v="264"/>
    <s v="Chef Silvio's Gourmet Fra Diavolo Pasta Sauce"/>
    <n v="25.5"/>
    <s v="ounce"/>
    <d v="2021-10-31T00:00:00"/>
    <d v="2025-10-31T00:00:00"/>
    <s v="instacart"/>
    <n v="227976"/>
    <n v="266428"/>
    <x v="0"/>
    <x v="0"/>
    <x v="0"/>
    <x v="0"/>
  </r>
  <r>
    <x v="1023"/>
    <x v="63"/>
    <s v="VictoriaÂ® Roasted Garlic Sauce"/>
    <n v="24"/>
    <s v="ounce"/>
    <d v="2021-10-28T00:00:00"/>
    <d v="2026-02-06T00:00:00"/>
    <s v="instacart"/>
    <n v="91463"/>
    <n v="264720"/>
    <x v="0"/>
    <x v="0"/>
    <x v="0"/>
    <x v="0"/>
  </r>
  <r>
    <x v="1024"/>
    <x v="15"/>
    <s v="Ragu Old World Style Traditional Sauce - 4.1 Pound - 1 Count"/>
    <n v="66"/>
    <s v="ounce"/>
    <d v="2021-10-28T00:00:00"/>
    <d v="2026-02-07T00:00:00"/>
    <s v="instacart"/>
    <n v="77099"/>
    <n v="264640"/>
    <x v="1"/>
    <x v="0"/>
    <x v="1"/>
    <x v="0"/>
  </r>
  <r>
    <x v="1025"/>
    <x v="14"/>
    <s v="Mezzetta Italian Plum Tomato Marinara - 24 Oz"/>
    <n v="24"/>
    <s v="ounce"/>
    <d v="2021-10-28T00:00:00"/>
    <d v="2026-02-06T00:00:00"/>
    <s v="instacart"/>
    <n v="23897839"/>
    <n v="266324"/>
    <x v="0"/>
    <x v="0"/>
    <x v="0"/>
    <x v="0"/>
  </r>
  <r>
    <x v="1026"/>
    <x v="24"/>
    <s v="Huntâ€™s Tomato Basil Pasta Sauce, 24 Oz. Can"/>
    <n v="24"/>
    <s v="ounce"/>
    <d v="2021-10-28T00:00:00"/>
    <d v="2026-02-07T00:00:00"/>
    <s v="instacart"/>
    <n v="18593074"/>
    <n v="261520"/>
    <x v="1"/>
    <x v="0"/>
    <x v="1"/>
    <x v="0"/>
  </r>
  <r>
    <x v="1027"/>
    <x v="220"/>
    <s v="Tuscanini Zesty Marinara Sauce, 24.3 oz"/>
    <n v="24.3"/>
    <s v="ounce"/>
    <d v="2021-10-28T00:00:00"/>
    <d v="2026-02-06T00:00:00"/>
    <s v="instacart"/>
    <n v="17457609"/>
    <n v="264543"/>
    <x v="1"/>
    <x v="0"/>
    <x v="1"/>
    <x v="0"/>
  </r>
  <r>
    <x v="1028"/>
    <x v="82"/>
    <s v="Tuttorosso Pasta Sauce Tomato &amp; Basil"/>
    <n v="24"/>
    <s v="ounce"/>
    <d v="2021-10-28T00:00:00"/>
    <d v="2026-02-06T00:00:00"/>
    <s v="instacart"/>
    <n v="143289"/>
    <n v="264140"/>
    <x v="0"/>
    <x v="0"/>
    <x v="0"/>
    <x v="0"/>
  </r>
  <r>
    <x v="1029"/>
    <x v="34"/>
    <s v="Newman's Own Pasta Sauce, Organic, Tomato &amp; Basil 23.5 oz"/>
    <n v="23.5"/>
    <s v="ounce"/>
    <d v="2021-10-28T00:00:00"/>
    <d v="2026-02-06T00:00:00"/>
    <s v="instacart"/>
    <n v="118422"/>
    <n v="261820"/>
    <x v="1"/>
    <x v="0"/>
    <x v="1"/>
    <x v="0"/>
  </r>
  <r>
    <x v="1030"/>
    <x v="4"/>
    <s v="Nanina's In The Park Marinara Premium Quality Gourmet Pasta Sauce, 23.25 oz"/>
    <n v="23.25"/>
    <s v="ounce"/>
    <d v="2023-05-03T00:00:00"/>
    <d v="2026-02-04T00:00:00"/>
    <s v="instacart"/>
    <n v="29474934"/>
    <n v="266394"/>
    <x v="1"/>
    <x v="0"/>
    <x v="1"/>
    <x v="0"/>
  </r>
  <r>
    <x v="1031"/>
    <x v="55"/>
    <s v="Cucina Antica Tomato Basil Sauce, 25 oz"/>
    <n v="25"/>
    <s v="ounce"/>
    <d v="2021-11-01T00:00:00"/>
    <d v="2026-02-04T00:00:00"/>
    <s v="instacart"/>
    <n v="80811"/>
    <n v="264465"/>
    <x v="1"/>
    <x v="0"/>
    <x v="1"/>
    <x v="0"/>
  </r>
  <r>
    <x v="1032"/>
    <x v="147"/>
    <s v="Terlato Kitchen Sauce Vodka Jar - 24 Oz"/>
    <n v="24"/>
    <s v="ounce"/>
    <d v="2021-10-28T00:00:00"/>
    <d v="2026-02-05T00:00:00"/>
    <s v="instacart"/>
    <n v="3242669"/>
    <n v="266917"/>
    <x v="1"/>
    <x v="0"/>
    <x v="1"/>
    <x v="0"/>
  </r>
  <r>
    <x v="1033"/>
    <x v="15"/>
    <s v="RAGU HEARTY ROASTED GARLIC SAUCE"/>
    <n v="24"/>
    <s v="ounce"/>
    <d v="2021-10-28T00:00:00"/>
    <d v="2026-02-06T00:00:00"/>
    <s v="instacart"/>
    <n v="77114"/>
    <n v="262207"/>
    <x v="0"/>
    <x v="0"/>
    <x v="0"/>
    <x v="0"/>
  </r>
  <r>
    <x v="1034"/>
    <x v="77"/>
    <s v="Sclafani Home Style Spaghetti Sauce, 32 oz"/>
    <n v="32"/>
    <s v="ounce"/>
    <d v="2021-10-31T00:00:00"/>
    <d v="2026-02-06T00:00:00"/>
    <s v="instacart"/>
    <n v="226644"/>
    <n v="267110"/>
    <x v="0"/>
    <x v="0"/>
    <x v="0"/>
    <x v="0"/>
  </r>
  <r>
    <x v="1035"/>
    <x v="45"/>
    <s v="PregoÂ® Chunky Mushroom and Green Pepper Pasta Sauce, 23.75 oz Jar"/>
    <n v="23.75"/>
    <s v="ounce"/>
    <d v="2021-10-28T00:00:00"/>
    <d v="2026-02-07T00:00:00"/>
    <s v="instacart"/>
    <n v="207543"/>
    <n v="261568"/>
    <x v="1"/>
    <x v="0"/>
    <x v="1"/>
    <x v="0"/>
  </r>
  <r>
    <x v="1036"/>
    <x v="19"/>
    <s v="Classico Smooth &amp; Rich Meat Sauce 24 Oz"/>
    <n v="24"/>
    <s v="ounce"/>
    <d v="2021-10-28T00:00:00"/>
    <d v="2026-02-05T00:00:00"/>
    <s v="instacart"/>
    <n v="125442"/>
    <n v="261875"/>
    <x v="1"/>
    <x v="0"/>
    <x v="1"/>
    <x v="0"/>
  </r>
  <r>
    <x v="1037"/>
    <x v="267"/>
    <s v="Rienzi Red Clam Sauce"/>
    <n v="15"/>
    <s v="ounce"/>
    <d v="2021-10-28T00:00:00"/>
    <d v="2026-02-06T00:00:00"/>
    <s v="instacart"/>
    <n v="73909"/>
    <n v="262624"/>
    <x v="0"/>
    <x v="0"/>
    <x v="0"/>
    <x v="0"/>
  </r>
  <r>
    <x v="1038"/>
    <x v="268"/>
    <s v="The Meatball Shop Classic Tomato Sauce - 24 Oz"/>
    <n v="24"/>
    <s v="ounce"/>
    <d v="2021-10-31T00:00:00"/>
    <d v="2026-02-05T00:00:00"/>
    <s v="instacart"/>
    <n v="288575"/>
    <n v="261491"/>
    <x v="0"/>
    <x v="0"/>
    <x v="0"/>
    <x v="0"/>
  </r>
  <r>
    <x v="1039"/>
    <x v="38"/>
    <s v="Mantova Organic Marinara sa"/>
    <n v="17.600000000000001"/>
    <s v="ounce"/>
    <d v="2021-10-31T00:00:00"/>
    <d v="2026-02-06T00:00:00"/>
    <s v="instacart"/>
    <s v=""/>
    <n v="266296"/>
    <x v="0"/>
    <x v="1"/>
    <x v="0"/>
    <x v="1"/>
  </r>
  <r>
    <x v="1040"/>
    <x v="26"/>
    <s v="Ragu Hidden Heroes Pasta Sauce for Kids, Captain Marinara, 14 oz"/>
    <n v="14"/>
    <s v="ounce"/>
    <d v="2024-02-25T00:00:00"/>
    <d v="2026-01-26T00:00:00"/>
    <s v="instacart"/>
    <n v="42887395"/>
    <n v="264417"/>
    <x v="1"/>
    <x v="0"/>
    <x v="1"/>
    <x v="0"/>
  </r>
  <r>
    <x v="1041"/>
    <x v="47"/>
    <s v="Sonoma Gourmet Butternut Squash"/>
    <n v="25"/>
    <s v="ounce"/>
    <d v="2021-10-28T00:00:00"/>
    <d v="2026-02-04T00:00:00"/>
    <s v="instacart"/>
    <n v="2183191"/>
    <n v="266303"/>
    <x v="0"/>
    <x v="0"/>
    <x v="0"/>
    <x v="0"/>
  </r>
  <r>
    <x v="1042"/>
    <x v="19"/>
    <s v="Classico Roasted Garlic &amp; Onion Pasta Sauce, Classico Tomato &amp; Onion 600ML"/>
    <n v="20.288091000000001"/>
    <s v="fluid ounce"/>
    <d v="2024-12-05T00:00:00"/>
    <d v="2026-02-05T00:00:00"/>
    <s v="instacart"/>
    <s v=""/>
    <n v="266959"/>
    <x v="1"/>
    <x v="0"/>
    <x v="1"/>
    <x v="0"/>
  </r>
  <r>
    <x v="1043"/>
    <x v="36"/>
    <s v="Frik &amp; Frak Cognac Pasta Sauce - 24 Oz"/>
    <n v="24"/>
    <s v="ounce"/>
    <d v="2021-10-31T00:00:00"/>
    <d v="2026-02-06T00:00:00"/>
    <s v="instacart"/>
    <s v=""/>
    <n v="261588"/>
    <x v="0"/>
    <x v="0"/>
    <x v="0"/>
    <x v="0"/>
  </r>
  <r>
    <x v="1044"/>
    <x v="38"/>
    <s v="Boves Sodium Free Marinara Pasta Sauce"/>
    <n v="24"/>
    <s v="ounce"/>
    <d v="2022-02-15T00:00:00"/>
    <d v="2025-10-22T00:00:00"/>
    <s v="instacart"/>
    <s v=""/>
    <n v="264704"/>
    <x v="1"/>
    <x v="1"/>
    <x v="1"/>
    <x v="1"/>
  </r>
  <r>
    <x v="1045"/>
    <x v="100"/>
    <s v="NONNA PIAS Arrabiata Pasta Sauce, 19.4 OZ"/>
    <n v="19.399999999999999"/>
    <s v="ounce"/>
    <d v="2025-01-23T00:00:00"/>
    <d v="2026-02-06T00:00:00"/>
    <s v="instacart"/>
    <n v="59118033"/>
    <n v="261708"/>
    <x v="0"/>
    <x v="0"/>
    <x v="0"/>
    <x v="0"/>
  </r>
  <r>
    <x v="1046"/>
    <x v="269"/>
    <s v="Ledo Pizza Creamy Vodka Pasta Sauce"/>
    <n v="24"/>
    <s v="ounce"/>
    <d v="2021-11-24T00:00:00"/>
    <d v="2025-07-21T00:00:00"/>
    <s v="instacart"/>
    <s v=""/>
    <n v="266846"/>
    <x v="1"/>
    <x v="0"/>
    <x v="1"/>
    <x v="0"/>
  </r>
  <r>
    <x v="1047"/>
    <x v="268"/>
    <s v="The Meatball Shop Classic Tomato Sauce"/>
    <n v="24"/>
    <s v="ounce"/>
    <d v="2021-10-31T00:00:00"/>
    <d v="2026-02-06T00:00:00"/>
    <s v="instacart"/>
    <n v="3321051"/>
    <n v="261841"/>
    <x v="1"/>
    <x v="0"/>
    <x v="1"/>
    <x v="0"/>
  </r>
  <r>
    <x v="1048"/>
    <x v="58"/>
    <s v="Fody Pasta Sauce Arrabbiata - 19.4 Oz"/>
    <n v="2.5"/>
    <s v="ounce"/>
    <d v="2021-10-28T00:00:00"/>
    <d v="2026-02-06T00:00:00"/>
    <s v="instacart"/>
    <n v="20111494"/>
    <n v="266307"/>
    <x v="1"/>
    <x v="0"/>
    <x v="1"/>
    <x v="0"/>
  </r>
  <r>
    <x v="1049"/>
    <x v="220"/>
    <s v="Tuscanini Pizza Classic Marina Frozen - 24.3 Oz"/>
    <n v="24.3"/>
    <s v="ounce"/>
    <d v="2021-10-28T00:00:00"/>
    <d v="2026-02-06T00:00:00"/>
    <s v="instacart"/>
    <n v="17457614"/>
    <n v="264083"/>
    <x v="1"/>
    <x v="0"/>
    <x v="1"/>
    <x v="0"/>
  </r>
  <r>
    <x v="1050"/>
    <x v="203"/>
    <s v="RagÃº Chunky Tomato, Garlic &amp; Onion Sauce, 45 oz"/>
    <n v="45"/>
    <s v="ounce"/>
    <d v="2021-10-28T00:00:00"/>
    <d v="2026-02-07T00:00:00"/>
    <s v="instacart"/>
    <n v="77105"/>
    <n v="267086"/>
    <x v="0"/>
    <x v="0"/>
    <x v="0"/>
    <x v="0"/>
  </r>
  <r>
    <x v="1051"/>
    <x v="51"/>
    <s v="Organicville Marinara Pasta Sauce - 24 OZ"/>
    <n v="24"/>
    <s v="ounce"/>
    <d v="2021-10-28T00:00:00"/>
    <d v="2026-02-05T00:00:00"/>
    <s v="instacart"/>
    <n v="23801230"/>
    <n v="262191"/>
    <x v="0"/>
    <x v="0"/>
    <x v="0"/>
    <x v="0"/>
  </r>
  <r>
    <x v="1052"/>
    <x v="46"/>
    <s v="California Olive Ranch Sauce, Parmesan Vodka 24 oz"/>
    <n v="25"/>
    <s v="ounce"/>
    <d v="2022-02-15T00:00:00"/>
    <d v="2026-02-06T00:00:00"/>
    <s v="instacart"/>
    <n v="27741062"/>
    <n v="267071"/>
    <x v="1"/>
    <x v="0"/>
    <x v="1"/>
    <x v="0"/>
  </r>
  <r>
    <x v="1053"/>
    <x v="75"/>
    <s v="DelGrosso Uncle Joe's Vodka Sauce, 26 oz"/>
    <n v="26"/>
    <s v="ounce"/>
    <d v="2021-10-28T00:00:00"/>
    <d v="2026-02-05T00:00:00"/>
    <s v="instacart"/>
    <n v="135699"/>
    <n v="266979"/>
    <x v="0"/>
    <x v="0"/>
    <x v="0"/>
    <x v="0"/>
  </r>
  <r>
    <x v="1054"/>
    <x v="65"/>
    <s v="Casa Visco Organic Homestyle Sauce"/>
    <n v="32"/>
    <s v="ounce"/>
    <d v="2021-10-30T00:00:00"/>
    <d v="2025-03-28T00:00:00"/>
    <s v="instacart"/>
    <s v=""/>
    <n v="266449"/>
    <x v="1"/>
    <x v="0"/>
    <x v="1"/>
    <x v="0"/>
  </r>
  <r>
    <x v="1055"/>
    <x v="226"/>
    <s v="Prairie Harvest - Organic Tomato Basil Pasta Sauce"/>
    <n v="21.978764999999999"/>
    <s v="fluid ounce"/>
    <d v="2021-10-28T00:00:00"/>
    <d v="2026-01-22T00:00:00"/>
    <s v="instacart"/>
    <s v=""/>
    <n v="261613"/>
    <x v="0"/>
    <x v="0"/>
    <x v="0"/>
    <x v="0"/>
  </r>
  <r>
    <x v="1056"/>
    <x v="191"/>
    <s v="EMERIL PASTA SC VODKA"/>
    <n v="25"/>
    <s v="ounce"/>
    <d v="2021-10-28T00:00:00"/>
    <d v="2026-02-06T00:00:00"/>
    <s v="instacart"/>
    <n v="73920"/>
    <n v="264197"/>
    <x v="1"/>
    <x v="0"/>
    <x v="1"/>
    <x v="0"/>
  </r>
  <r>
    <x v="1057"/>
    <x v="75"/>
    <s v="DelGrosso Extra Tomatoes Onions &amp; Garlic Pasta Sauce"/>
    <n v="24"/>
    <s v="ounce"/>
    <d v="2021-10-28T00:00:00"/>
    <d v="2025-07-21T00:00:00"/>
    <s v="instacart"/>
    <s v=""/>
    <n v="264101"/>
    <x v="0"/>
    <x v="0"/>
    <x v="0"/>
    <x v="0"/>
  </r>
  <r>
    <x v="1058"/>
    <x v="127"/>
    <s v="The Silver Palate San Marzano Vodka Pasta Sauce 24 oz (680 g)"/>
    <n v="24"/>
    <s v="ounce"/>
    <d v="2021-10-28T00:00:00"/>
    <d v="2026-02-06T00:00:00"/>
    <s v="instacart"/>
    <n v="143398"/>
    <n v="261609"/>
    <x v="0"/>
    <x v="0"/>
    <x v="0"/>
    <x v="0"/>
  </r>
  <r>
    <x v="1059"/>
    <x v="26"/>
    <s v="RAGU Chunky Mushroom and Green Pepper Pasta Sauce, 24 oz"/>
    <n v="24"/>
    <s v="ounce"/>
    <d v="2021-10-28T00:00:00"/>
    <d v="2026-02-07T00:00:00"/>
    <s v="instacart"/>
    <s v="24648941, 34890"/>
    <s v="264353, 264352"/>
    <x v="1"/>
    <x v="0"/>
    <x v="1"/>
    <x v="0"/>
  </r>
  <r>
    <x v="1060"/>
    <x v="88"/>
    <s v="Pirros Pasta Sauce Marinara - 24 Oz"/>
    <n v="24"/>
    <s v="ounce"/>
    <d v="2021-10-28T00:00:00"/>
    <d v="2025-10-31T00:00:00"/>
    <s v="instacart"/>
    <s v=""/>
    <n v="261717"/>
    <x v="0"/>
    <x v="0"/>
    <x v="0"/>
    <x v="0"/>
  </r>
  <r>
    <x v="1061"/>
    <x v="270"/>
    <s v="Clevelands Own Marinara Sauce"/>
    <n v="32"/>
    <s v="ounce"/>
    <d v="2021-10-28T00:00:00"/>
    <d v="2026-02-06T00:00:00"/>
    <s v="instacart"/>
    <n v="16314085"/>
    <n v="261768"/>
    <x v="1"/>
    <x v="0"/>
    <x v="1"/>
    <x v="0"/>
  </r>
  <r>
    <x v="1062"/>
    <x v="31"/>
    <s v="Cravings By Chrissy Teigen Spicy Thai Basil Marinara Pasta Sauce"/>
    <n v="24"/>
    <s v="ounce"/>
    <d v="2025-11-13T00:00:00"/>
    <d v="2026-02-06T00:00:00"/>
    <s v="instacart"/>
    <n v="74007072"/>
    <n v="264438"/>
    <x v="1"/>
    <x v="0"/>
    <x v="1"/>
    <x v="0"/>
  </r>
  <r>
    <x v="1063"/>
    <x v="99"/>
    <s v="De Lallo Pomodoro Fresco, Marinara 25.25 oz"/>
    <n v="25.25"/>
    <s v="ounce"/>
    <d v="2021-10-28T00:00:00"/>
    <d v="2026-02-06T00:00:00"/>
    <s v="instacart"/>
    <n v="152791"/>
    <n v="262256"/>
    <x v="1"/>
    <x v="0"/>
    <x v="1"/>
    <x v="0"/>
  </r>
  <r>
    <x v="1064"/>
    <x v="19"/>
    <s v="Classico Creamy RosÃ© Pasta Sauce, 15 Oz Jar"/>
    <n v="15"/>
    <s v="ounce"/>
    <d v="2024-05-12T00:00:00"/>
    <d v="2026-02-07T00:00:00"/>
    <s v="instacart"/>
    <n v="43438518"/>
    <n v="261557"/>
    <x v="1"/>
    <x v="0"/>
    <x v="1"/>
    <x v="0"/>
  </r>
  <r>
    <x v="1065"/>
    <x v="59"/>
    <s v="Cascones Cascone's Marinara Sauce 26oz"/>
    <n v="26"/>
    <s v="ounce"/>
    <d v="2021-10-28T00:00:00"/>
    <d v="2026-02-03T00:00:00"/>
    <s v="instacart"/>
    <s v=""/>
    <n v="264215"/>
    <x v="1"/>
    <x v="0"/>
    <x v="1"/>
    <x v="0"/>
  </r>
  <r>
    <x v="1066"/>
    <x v="2"/>
    <s v="Rao's Arrabbiata Sauce, 24oz"/>
    <n v="24"/>
    <s v="ounce"/>
    <d v="2021-10-28T00:00:00"/>
    <d v="2026-02-07T00:00:00"/>
    <s v="instacart"/>
    <n v="24805"/>
    <n v="262617"/>
    <x v="1"/>
    <x v="0"/>
    <x v="1"/>
    <x v="0"/>
  </r>
  <r>
    <x v="1067"/>
    <x v="271"/>
    <s v="Rizzo's Sauce, Homemade Spaghetti"/>
    <n v="24"/>
    <s v="ounce"/>
    <d v="2021-10-28T00:00:00"/>
    <d v="2026-02-06T00:00:00"/>
    <s v="instacart"/>
    <s v=""/>
    <n v="266451"/>
    <x v="1"/>
    <x v="0"/>
    <x v="1"/>
    <x v="0"/>
  </r>
  <r>
    <x v="1068"/>
    <x v="53"/>
    <s v="Valentinos Sweet Basil Spaghetti Sauce"/>
    <n v="24"/>
    <s v="ounce"/>
    <d v="2023-02-23T00:00:00"/>
    <d v="2026-02-04T00:00:00"/>
    <s v="instacart"/>
    <s v=""/>
    <n v="266638"/>
    <x v="0"/>
    <x v="0"/>
    <x v="0"/>
    <x v="0"/>
  </r>
  <r>
    <x v="1069"/>
    <x v="236"/>
    <s v="Rg Tomato Sauce With Cheese - 8 Oz"/>
    <n v="8"/>
    <s v="ounce"/>
    <d v="2021-10-28T00:00:00"/>
    <d v="2026-02-06T00:00:00"/>
    <s v="instacart"/>
    <n v="16560542"/>
    <n v="267040"/>
    <x v="0"/>
    <x v="0"/>
    <x v="0"/>
    <x v="0"/>
  </r>
  <r>
    <x v="1070"/>
    <x v="38"/>
    <s v="Spinato's Marinara Sauce"/>
    <n v="24"/>
    <s v="ounce"/>
    <d v="2021-10-28T00:00:00"/>
    <d v="2026-02-06T00:00:00"/>
    <s v="instacart"/>
    <n v="17071006"/>
    <n v="264583"/>
    <x v="1"/>
    <x v="1"/>
    <x v="1"/>
    <x v="1"/>
  </r>
  <r>
    <x v="1071"/>
    <x v="38"/>
    <s v="Cucina Antica la vo"/>
    <n v="16"/>
    <s v="ounce"/>
    <d v="2021-10-31T00:00:00"/>
    <d v="2026-02-06T00:00:00"/>
    <s v="instacart"/>
    <s v=""/>
    <n v="264247"/>
    <x v="0"/>
    <x v="1"/>
    <x v="0"/>
    <x v="1"/>
  </r>
  <r>
    <x v="1072"/>
    <x v="120"/>
    <s v="Yo Mama's Foods Keto Vodka Pasta Sauce, No Sugar Added, Low Carb"/>
    <m/>
    <m/>
    <d v="2022-11-01T00:00:00"/>
    <d v="2023-06-22T00:00:00"/>
    <s v="instacart"/>
    <s v=""/>
    <n v="264429"/>
    <x v="1"/>
    <x v="0"/>
    <x v="1"/>
    <x v="0"/>
  </r>
  <r>
    <x v="1073"/>
    <x v="207"/>
    <s v="Nonna Carmen Italian Style Marinara Sauce, 24 oz"/>
    <n v="24"/>
    <s v="ounce"/>
    <d v="2022-06-01T00:00:00"/>
    <d v="2026-02-04T00:00:00"/>
    <s v="instacart"/>
    <n v="21511066"/>
    <n v="262133"/>
    <x v="0"/>
    <x v="0"/>
    <x v="0"/>
    <x v="0"/>
  </r>
  <r>
    <x v="1074"/>
    <x v="238"/>
    <s v="Il Mulino Pasta Sauce, Pomodoro 24 oz"/>
    <n v="24"/>
    <s v="ounce"/>
    <d v="2021-10-28T00:00:00"/>
    <d v="2026-02-06T00:00:00"/>
    <s v="instacart"/>
    <n v="424842"/>
    <n v="264764"/>
    <x v="0"/>
    <x v="0"/>
    <x v="0"/>
    <x v="0"/>
  </r>
  <r>
    <x v="1075"/>
    <x v="15"/>
    <s v="Ragu Old World Style Traditional Sauce"/>
    <n v="45"/>
    <s v="ounce"/>
    <d v="2021-11-01T00:00:00"/>
    <d v="2025-03-28T00:00:00"/>
    <s v="instacart"/>
    <s v=""/>
    <n v="264706"/>
    <x v="1"/>
    <x v="0"/>
    <x v="1"/>
    <x v="0"/>
  </r>
  <r>
    <x v="1076"/>
    <x v="53"/>
    <s v="Valentinos Spaghetti Sauce"/>
    <n v="24"/>
    <s v="ounce"/>
    <d v="2023-02-23T00:00:00"/>
    <d v="2026-02-04T00:00:00"/>
    <s v="instacart"/>
    <s v=""/>
    <n v="261571"/>
    <x v="1"/>
    <x v="0"/>
    <x v="1"/>
    <x v="0"/>
  </r>
  <r>
    <x v="1077"/>
    <x v="81"/>
    <s v="Boves Pasta Sauce Basil - 24 Oz"/>
    <n v="24"/>
    <s v="ounce"/>
    <d v="2021-10-28T00:00:00"/>
    <d v="2026-02-06T00:00:00"/>
    <s v="instacart"/>
    <n v="98559"/>
    <n v="264281"/>
    <x v="1"/>
    <x v="0"/>
    <x v="1"/>
    <x v="0"/>
  </r>
  <r>
    <x v="1078"/>
    <x v="5"/>
    <s v="Prego Mushroom Pasta Sauce, 45 oz"/>
    <n v="45"/>
    <s v="ounce"/>
    <d v="2021-10-28T00:00:00"/>
    <d v="2026-02-07T00:00:00"/>
    <s v="instacart"/>
    <n v="19950576"/>
    <n v="266329"/>
    <x v="1"/>
    <x v="0"/>
    <x v="1"/>
    <x v="0"/>
  </r>
  <r>
    <x v="1079"/>
    <x v="272"/>
    <s v="Del Grosso Garden Style Pasta Sauce"/>
    <n v="24"/>
    <s v="ounce"/>
    <d v="2021-10-31T00:00:00"/>
    <d v="2026-02-06T00:00:00"/>
    <s v="instacart"/>
    <s v=""/>
    <n v="264025"/>
    <x v="1"/>
    <x v="0"/>
    <x v="1"/>
    <x v="0"/>
  </r>
  <r>
    <x v="1080"/>
    <x v="174"/>
    <s v="Barilla Premium Tomato &amp; Basil Pasta Sauce 24 Oz"/>
    <n v="24"/>
    <s v="ounce"/>
    <d v="2021-10-28T00:00:00"/>
    <d v="2026-02-06T00:00:00"/>
    <s v="instacart"/>
    <n v="2581475"/>
    <n v="264660"/>
    <x v="1"/>
    <x v="0"/>
    <x v="1"/>
    <x v="0"/>
  </r>
  <r>
    <x v="1081"/>
    <x v="77"/>
    <s v="Sclafani Filetto Di Pomodoro Sauce"/>
    <n v="32"/>
    <s v="ounce"/>
    <d v="2021-10-31T00:00:00"/>
    <d v="2026-02-06T00:00:00"/>
    <s v="instacart"/>
    <n v="227969"/>
    <n v="266391"/>
    <x v="1"/>
    <x v="0"/>
    <x v="1"/>
    <x v="0"/>
  </r>
  <r>
    <x v="1082"/>
    <x v="14"/>
    <s v="Mezzetta Marinara Sauce 24.5 oz (1 lb 8.5 oz) 695 g"/>
    <n v="24"/>
    <s v="fluid ounce"/>
    <d v="2021-10-28T00:00:00"/>
    <d v="2026-02-07T00:00:00"/>
    <s v="instacart"/>
    <n v="24822"/>
    <n v="261798"/>
    <x v="1"/>
    <x v="0"/>
    <x v="1"/>
    <x v="0"/>
  </r>
  <r>
    <x v="1083"/>
    <x v="273"/>
    <s v="Roasted Tomato Marinara Sauce, 11 OZ"/>
    <n v="11"/>
    <s v="ounce"/>
    <d v="2021-10-31T00:00:00"/>
    <d v="2026-02-04T00:00:00"/>
    <s v="instacart"/>
    <s v=""/>
    <n v="266435"/>
    <x v="0"/>
    <x v="0"/>
    <x v="0"/>
    <x v="0"/>
  </r>
  <r>
    <x v="1084"/>
    <x v="266"/>
    <s v="Belletieri's Marinara Sauce"/>
    <n v="24"/>
    <s v="ounce"/>
    <d v="2021-10-28T00:00:00"/>
    <d v="2026-02-06T00:00:00"/>
    <s v="instacart"/>
    <n v="17316372"/>
    <n v="261718"/>
    <x v="1"/>
    <x v="0"/>
    <x v="1"/>
    <x v="0"/>
  </r>
  <r>
    <x v="1085"/>
    <x v="156"/>
    <s v="Ethnic Cottage Garden Vegetable Jersey Tomato Sauce, 25 oz"/>
    <n v="25"/>
    <s v="ounce"/>
    <d v="2021-10-31T00:00:00"/>
    <d v="2026-02-06T00:00:00"/>
    <s v="instacart"/>
    <n v="159299"/>
    <n v="264469"/>
    <x v="1"/>
    <x v="0"/>
    <x v="1"/>
    <x v="0"/>
  </r>
  <r>
    <x v="1086"/>
    <x v="36"/>
    <s v="Gradys Garden Chunky Pasta Sauce - 24 OZ"/>
    <n v="24"/>
    <s v="ounce"/>
    <d v="2024-08-25T00:00:00"/>
    <d v="2026-02-05T00:00:00"/>
    <s v="instacart"/>
    <s v=""/>
    <n v="261865"/>
    <x v="0"/>
    <x v="0"/>
    <x v="0"/>
    <x v="0"/>
  </r>
  <r>
    <x v="1087"/>
    <x v="38"/>
    <s v="Agromonte Arrabbiata Pasta Sauce"/>
    <n v="20.46"/>
    <s v="ounce"/>
    <d v="2021-10-28T00:00:00"/>
    <d v="2026-02-06T00:00:00"/>
    <s v="instacart"/>
    <n v="19853670"/>
    <n v="262127"/>
    <x v="1"/>
    <x v="1"/>
    <x v="1"/>
    <x v="1"/>
  </r>
  <r>
    <x v="1088"/>
    <x v="75"/>
    <s v="Del Grosso 45oz. Meat Flavored"/>
    <n v="45"/>
    <s v="ounce"/>
    <d v="2021-10-28T00:00:00"/>
    <d v="2026-02-06T00:00:00"/>
    <s v="instacart"/>
    <n v="16983264"/>
    <n v="261740"/>
    <x v="1"/>
    <x v="0"/>
    <x v="1"/>
    <x v="0"/>
  </r>
  <r>
    <x v="1089"/>
    <x v="18"/>
    <s v="Marinara Sauce, 12 OZ"/>
    <n v="12"/>
    <s v="ounce"/>
    <d v="2023-09-27T00:00:00"/>
    <d v="2026-02-05T00:00:00"/>
    <s v="instacart"/>
    <n v="34648749"/>
    <n v="261833"/>
    <x v="0"/>
    <x v="0"/>
    <x v="0"/>
    <x v="0"/>
  </r>
  <r>
    <x v="1090"/>
    <x v="86"/>
    <s v="Pasta Jays Classic Marinara Sauce - 26 Oz"/>
    <n v="26"/>
    <s v="ounce"/>
    <d v="2023-01-19T00:00:00"/>
    <d v="2026-02-06T00:00:00"/>
    <s v="instacart"/>
    <n v="29142063"/>
    <n v="261767"/>
    <x v="1"/>
    <x v="0"/>
    <x v="1"/>
    <x v="0"/>
  </r>
  <r>
    <x v="1091"/>
    <x v="86"/>
    <s v="Pasta Jays Creamy Tomato Sauce - 26 Oz"/>
    <n v="26"/>
    <s v="ounce"/>
    <d v="2023-01-08T00:00:00"/>
    <d v="2026-02-06T00:00:00"/>
    <s v="instacart"/>
    <n v="29141971"/>
    <n v="264313"/>
    <x v="1"/>
    <x v="0"/>
    <x v="1"/>
    <x v="0"/>
  </r>
  <r>
    <x v="1092"/>
    <x v="38"/>
    <s v="Michaels Meat Sauce"/>
    <n v="32"/>
    <s v="ounce"/>
    <d v="2021-10-28T00:00:00"/>
    <d v="2026-02-05T00:00:00"/>
    <s v="instacart"/>
    <n v="17454830"/>
    <n v="267105"/>
    <x v="0"/>
    <x v="1"/>
    <x v="0"/>
    <x v="1"/>
  </r>
  <r>
    <x v="1093"/>
    <x v="24"/>
    <s v="Hunt's Garlic &amp; Herb Pasta Sauce - 24 Oz"/>
    <n v="24"/>
    <s v="ounce"/>
    <d v="2021-10-28T00:00:00"/>
    <d v="2026-02-07T00:00:00"/>
    <s v="instacart"/>
    <n v="16409978"/>
    <n v="266454"/>
    <x v="1"/>
    <x v="0"/>
    <x v="1"/>
    <x v="0"/>
  </r>
  <r>
    <x v="1094"/>
    <x v="44"/>
    <s v="Botticelli Pasta Sauce Premium Roasted Garlic - 24 Oz"/>
    <n v="24"/>
    <s v="ounce"/>
    <d v="2021-10-28T00:00:00"/>
    <d v="2026-02-06T00:00:00"/>
    <s v="instacart"/>
    <n v="3356571"/>
    <n v="266407"/>
    <x v="0"/>
    <x v="0"/>
    <x v="0"/>
    <x v="0"/>
  </r>
  <r>
    <x v="1095"/>
    <x v="103"/>
    <s v="Don Pomodoro Sauce Traditional Marianara Jar - 24.3 Oz"/>
    <n v="24.3"/>
    <s v="ounce"/>
    <d v="2021-10-28T00:00:00"/>
    <d v="2026-02-06T00:00:00"/>
    <s v="instacart"/>
    <n v="168531"/>
    <n v="264232"/>
    <x v="1"/>
    <x v="0"/>
    <x v="1"/>
    <x v="0"/>
  </r>
  <r>
    <x v="1096"/>
    <x v="134"/>
    <s v="Del Monte, Chunky Pasta Sauce, Garlic &amp; Herb, 24 oz, Shelf Stable, Aluminum Can"/>
    <n v="24"/>
    <s v="ounce"/>
    <d v="2021-10-28T00:00:00"/>
    <d v="2026-02-06T00:00:00"/>
    <s v="instacart"/>
    <n v="333876"/>
    <n v="266829"/>
    <x v="0"/>
    <x v="0"/>
    <x v="0"/>
    <x v="0"/>
  </r>
  <r>
    <x v="1097"/>
    <x v="3"/>
    <s v="Monte Bene Garlic Marinara Pasta Sauce, 24 oz"/>
    <n v="24"/>
    <s v="ounce"/>
    <d v="2021-10-28T00:00:00"/>
    <d v="2026-02-05T00:00:00"/>
    <s v="instacart"/>
    <n v="53417"/>
    <n v="261543"/>
    <x v="1"/>
    <x v="0"/>
    <x v="1"/>
    <x v="0"/>
  </r>
  <r>
    <x v="1098"/>
    <x v="274"/>
    <s v="Classico Cabernet Marinara With Herbs Pasta Sauce, 24 oz Jar"/>
    <n v="24"/>
    <s v="ounce"/>
    <d v="2021-10-28T00:00:00"/>
    <d v="2026-02-06T00:00:00"/>
    <s v="instacart"/>
    <n v="91511"/>
    <n v="264471"/>
    <x v="1"/>
    <x v="0"/>
    <x v="1"/>
    <x v="0"/>
  </r>
  <r>
    <x v="1099"/>
    <x v="42"/>
    <s v="Michael Angelo's Sauce, Roasted Garlic, Vine-Ripened Tomatoes, Slow Simmered"/>
    <n v="24"/>
    <s v="ounce"/>
    <d v="2023-01-09T00:00:00"/>
    <d v="2026-02-07T00:00:00"/>
    <s v="instacart"/>
    <n v="29203294"/>
    <n v="267037"/>
    <x v="0"/>
    <x v="0"/>
    <x v="0"/>
    <x v="0"/>
  </r>
  <r>
    <x v="1100"/>
    <x v="225"/>
    <s v="Pasta Sauce, Vodka Cream 26 oz"/>
    <n v="26"/>
    <s v="ounce"/>
    <d v="2021-11-02T00:00:00"/>
    <d v="2025-01-26T00:00:00"/>
    <s v="instacart"/>
    <s v=""/>
    <n v="261810"/>
    <x v="0"/>
    <x v="0"/>
    <x v="0"/>
    <x v="0"/>
  </r>
  <r>
    <x v="1101"/>
    <x v="19"/>
    <s v="Classico Spicy Red Pepper Pasta Sauce, 24 oz Jar"/>
    <n v="24"/>
    <s v="ounce"/>
    <d v="2021-10-28T00:00:00"/>
    <d v="2026-02-06T00:00:00"/>
    <s v="instacart"/>
    <n v="73908"/>
    <n v="262289"/>
    <x v="0"/>
    <x v="0"/>
    <x v="0"/>
    <x v="0"/>
  </r>
  <r>
    <x v="1102"/>
    <x v="19"/>
    <s v="Classico - Tuscan Olive and Garlic Sauce"/>
    <n v="20.288091000000001"/>
    <s v="fluid ounce"/>
    <d v="2024-12-05T00:00:00"/>
    <d v="2026-02-05T00:00:00"/>
    <s v="instacart"/>
    <s v=""/>
    <n v="261579"/>
    <x v="1"/>
    <x v="0"/>
    <x v="1"/>
    <x v="0"/>
  </r>
  <r>
    <x v="1103"/>
    <x v="49"/>
    <s v="Rao's Homemade Sensitive Marinara Pasta Sauce, Keto Friendly, Low Carb 24 oz"/>
    <n v="24"/>
    <s v="ounce"/>
    <d v="2021-10-28T00:00:00"/>
    <d v="2026-02-07T00:00:00"/>
    <s v="instacart"/>
    <s v="34627147, 53411"/>
    <s v="267106, 267107"/>
    <x v="1"/>
    <x v="0"/>
    <x v="1"/>
    <x v="0"/>
  </r>
  <r>
    <x v="1104"/>
    <x v="5"/>
    <s v="PREGO TRADITIONAL SAUCE"/>
    <n v="67"/>
    <s v="ounce"/>
    <d v="2021-10-28T00:00:00"/>
    <d v="2026-02-07T00:00:00"/>
    <s v="instacart"/>
    <n v="36107"/>
    <n v="262628"/>
    <x v="1"/>
    <x v="0"/>
    <x v="1"/>
    <x v="0"/>
  </r>
  <r>
    <x v="1105"/>
    <x v="73"/>
    <s v="Dave's Gourmet Gluten Free Butternut Squash Pasta Sauce 24 oz"/>
    <n v="25.5"/>
    <s v="ounce"/>
    <d v="2021-10-28T00:00:00"/>
    <d v="2026-02-06T00:00:00"/>
    <s v="instacart"/>
    <n v="49168"/>
    <n v="264067"/>
    <x v="0"/>
    <x v="0"/>
    <x v="0"/>
    <x v="0"/>
  </r>
  <r>
    <x v="1106"/>
    <x v="44"/>
    <s v="Traditional Sauce, 24 OZ"/>
    <n v="24"/>
    <s v="ounce"/>
    <d v="2025-01-29T00:00:00"/>
    <d v="2026-02-06T00:00:00"/>
    <s v="instacart"/>
    <n v="66362429"/>
    <n v="261745"/>
    <x v="1"/>
    <x v="0"/>
    <x v="1"/>
    <x v="0"/>
  </r>
  <r>
    <x v="1107"/>
    <x v="75"/>
    <s v="Delgrosso Organic Pasta Sce Marinara Org - 24 Oz"/>
    <n v="24"/>
    <s v="ounce"/>
    <d v="2021-10-28T00:00:00"/>
    <d v="2026-02-06T00:00:00"/>
    <s v="instacart"/>
    <n v="17849966"/>
    <n v="264248"/>
    <x v="1"/>
    <x v="0"/>
    <x v="1"/>
    <x v="0"/>
  </r>
  <r>
    <x v="1108"/>
    <x v="45"/>
    <s v="PregoÂ® Hidden Super Veggies Traditional Pasta Sauce, 24 oz Jar"/>
    <n v="24"/>
    <s v="ounce"/>
    <d v="2021-10-28T00:00:00"/>
    <d v="2026-02-06T00:00:00"/>
    <s v="instacart"/>
    <n v="21829876"/>
    <n v="262208"/>
    <x v="1"/>
    <x v="0"/>
    <x v="1"/>
    <x v="0"/>
  </r>
  <r>
    <x v="1109"/>
    <x v="7"/>
    <s v="Rao's Homemade | Vodka Arrabbiata Sauce | 24 oz"/>
    <n v="24"/>
    <s v="ounce"/>
    <d v="2023-06-04T00:00:00"/>
    <d v="2026-02-06T00:00:00"/>
    <s v="instacart"/>
    <n v="30373545"/>
    <n v="266618"/>
    <x v="1"/>
    <x v="0"/>
    <x v="1"/>
    <x v="0"/>
  </r>
  <r>
    <x v="1110"/>
    <x v="86"/>
    <s v="Pasta Jays Basil Tomato Sauce - 26 Oz"/>
    <n v="26"/>
    <s v="ounce"/>
    <d v="2023-01-08T00:00:00"/>
    <d v="2026-02-06T00:00:00"/>
    <s v="instacart"/>
    <n v="29148223"/>
    <n v="261892"/>
    <x v="1"/>
    <x v="0"/>
    <x v="1"/>
    <x v="0"/>
  </r>
  <r>
    <x v="1111"/>
    <x v="51"/>
    <s v="Organicville Tomato Basil Pasta Sauce - 24 OZ"/>
    <n v="24"/>
    <s v="ounce"/>
    <d v="2021-10-28T00:00:00"/>
    <d v="2026-02-06T00:00:00"/>
    <s v="instacart"/>
    <n v="23801236"/>
    <n v="264730"/>
    <x v="1"/>
    <x v="0"/>
    <x v="1"/>
    <x v="0"/>
  </r>
  <r>
    <x v="1112"/>
    <x v="38"/>
    <s v="Carmine's - Marinara Sauce"/>
    <n v="32"/>
    <s v="ounce"/>
    <d v="2023-01-22T00:00:00"/>
    <d v="2026-02-06T00:00:00"/>
    <s v="instacart"/>
    <n v="27593138"/>
    <n v="266283"/>
    <x v="0"/>
    <x v="1"/>
    <x v="0"/>
    <x v="1"/>
  </r>
  <r>
    <x v="1113"/>
    <x v="6"/>
    <s v="Bertolli Pasta Sauce with Portobello Mushrooms, Spaghetti Tomato Sauce, 24 oz"/>
    <n v="24"/>
    <s v="ounce"/>
    <d v="2021-10-28T00:00:00"/>
    <d v="2026-02-06T00:00:00"/>
    <s v="instacart"/>
    <n v="283663"/>
    <n v="266869"/>
    <x v="0"/>
    <x v="0"/>
    <x v="0"/>
    <x v="0"/>
  </r>
  <r>
    <x v="1114"/>
    <x v="134"/>
    <s v="Del Monte Mushroom Pasta Sauce, 24 oz"/>
    <n v="24"/>
    <s v="ounce"/>
    <d v="2021-10-28T00:00:00"/>
    <d v="2026-02-06T00:00:00"/>
    <s v="instacart"/>
    <n v="252568"/>
    <n v="261867"/>
    <x v="1"/>
    <x v="0"/>
    <x v="1"/>
    <x v="0"/>
  </r>
  <r>
    <x v="1115"/>
    <x v="238"/>
    <s v="Il Mulino Vodka Sauce - 24 OZ"/>
    <n v="24"/>
    <s v="ounce"/>
    <d v="2021-11-02T00:00:00"/>
    <d v="2026-02-06T00:00:00"/>
    <s v="instacart"/>
    <n v="288441"/>
    <n v="261849"/>
    <x v="0"/>
    <x v="0"/>
    <x v="0"/>
    <x v="0"/>
  </r>
  <r>
    <x v="1116"/>
    <x v="275"/>
    <s v="Colavita Marinara Sauce, 13.76 oz"/>
    <n v="13.76"/>
    <s v="ounce"/>
    <d v="2021-10-31T00:00:00"/>
    <d v="2026-02-06T00:00:00"/>
    <s v="instacart"/>
    <n v="25110687"/>
    <n v="261779"/>
    <x v="0"/>
    <x v="0"/>
    <x v="0"/>
    <x v="0"/>
  </r>
  <r>
    <x v="1117"/>
    <x v="23"/>
    <s v="Gino Angelini Limone Pasta Sauce GF"/>
    <n v="15"/>
    <s v="ounce"/>
    <d v="2021-10-28T00:00:00"/>
    <d v="2024-04-04T00:00:00"/>
    <s v="instacart"/>
    <s v=""/>
    <n v="264428"/>
    <x v="0"/>
    <x v="0"/>
    <x v="0"/>
    <x v="0"/>
  </r>
  <r>
    <x v="1118"/>
    <x v="83"/>
    <s v="Only Goodness - Organic Tomato Basil Pasta Sauce"/>
    <n v="22.993169999999999"/>
    <s v="fluid ounce"/>
    <d v="2023-11-03T00:00:00"/>
    <d v="2025-12-04T00:00:00"/>
    <s v="instacart"/>
    <s v=""/>
    <n v="261792"/>
    <x v="1"/>
    <x v="0"/>
    <x v="1"/>
    <x v="0"/>
  </r>
  <r>
    <x v="1119"/>
    <x v="86"/>
    <s v="Pasta Jay'sÂ® Tomato Basil Italian Pasta Sauce"/>
    <n v="25"/>
    <s v="ounce"/>
    <d v="2021-10-28T00:00:00"/>
    <d v="2025-09-18T00:00:00"/>
    <s v="instacart"/>
    <s v=""/>
    <n v="267056"/>
    <x v="1"/>
    <x v="0"/>
    <x v="1"/>
    <x v="0"/>
  </r>
  <r>
    <x v="1120"/>
    <x v="15"/>
    <s v="Ragu Simply Traditional Pasta Sauce"/>
    <n v="45"/>
    <s v="ounce"/>
    <d v="2021-10-28T00:00:00"/>
    <d v="2025-03-28T00:00:00"/>
    <s v="instacart"/>
    <s v=""/>
    <n v="264435"/>
    <x v="0"/>
    <x v="0"/>
    <x v="0"/>
    <x v="0"/>
  </r>
  <r>
    <x v="1121"/>
    <x v="19"/>
    <s v="Classico Tomato &amp; Basil Pasta Sauce, 3 pk./32 oz."/>
    <n v="32"/>
    <s v="ounce"/>
    <d v="2021-10-28T00:00:00"/>
    <d v="2026-02-06T00:00:00"/>
    <s v="instacart"/>
    <s v=""/>
    <n v="264171"/>
    <x v="1"/>
    <x v="0"/>
    <x v="1"/>
    <x v="0"/>
  </r>
  <r>
    <x v="1122"/>
    <x v="102"/>
    <s v="Cucina Moderna Robust Marinara Pasta Sauce - 20 Oz"/>
    <n v="20"/>
    <s v="ounce"/>
    <d v="2023-06-25T00:00:00"/>
    <d v="2026-02-06T00:00:00"/>
    <s v="instacart"/>
    <n v="31998942"/>
    <n v="261600"/>
    <x v="1"/>
    <x v="0"/>
    <x v="1"/>
    <x v="0"/>
  </r>
  <r>
    <x v="1123"/>
    <x v="276"/>
    <s v="Tomato Basil Pasta Sauce, 25.5 OZ"/>
    <n v="25.5"/>
    <s v="ounce"/>
    <d v="2025-01-23T00:00:00"/>
    <d v="2026-02-04T00:00:00"/>
    <s v="instacart"/>
    <s v=""/>
    <n v="262576"/>
    <x v="1"/>
    <x v="0"/>
    <x v="1"/>
    <x v="0"/>
  </r>
  <r>
    <x v="1124"/>
    <x v="69"/>
    <s v="Gefen Pasta Sauce, Tomato Basil"/>
    <n v="26"/>
    <s v="ounce"/>
    <d v="2021-10-28T00:00:00"/>
    <d v="2026-02-06T00:00:00"/>
    <s v="instacart"/>
    <n v="1387308"/>
    <n v="264408"/>
    <x v="1"/>
    <x v="0"/>
    <x v="1"/>
    <x v="0"/>
  </r>
  <r>
    <x v="1125"/>
    <x v="265"/>
    <s v="Yo Mamaâ€™s - Tomato Basil Pasta Sauce"/>
    <n v="24.007574000000002"/>
    <s v="fluid ounce"/>
    <d v="2025-11-20T00:00:00"/>
    <d v="2026-02-05T00:00:00"/>
    <s v="instacart"/>
    <s v=""/>
    <n v="264321"/>
    <x v="0"/>
    <x v="0"/>
    <x v="0"/>
    <x v="0"/>
  </r>
  <r>
    <x v="1126"/>
    <x v="6"/>
    <s v="Bertolli Parmesan And Romano Sauce, Authentic Tuscan Style Pasta Sauce Made With Vine Ripened Tomatoes, Cheeses And Cracked Black Pepper, 24 Oz 24 oz"/>
    <n v="24"/>
    <s v="ounce"/>
    <d v="2021-10-28T00:00:00"/>
    <d v="2026-02-06T00:00:00"/>
    <s v="instacart"/>
    <n v="20034385"/>
    <n v="261753"/>
    <x v="0"/>
    <x v="0"/>
    <x v="0"/>
    <x v="0"/>
  </r>
  <r>
    <x v="1127"/>
    <x v="96"/>
    <s v="Michaels Of Brooklyn Puttanesca Sauce 32 oz"/>
    <n v="32"/>
    <s v="ounce"/>
    <d v="2021-10-28T00:00:00"/>
    <d v="2026-02-06T00:00:00"/>
    <s v="instacart"/>
    <n v="110868"/>
    <n v="266425"/>
    <x v="0"/>
    <x v="0"/>
    <x v="0"/>
    <x v="0"/>
  </r>
  <r>
    <x v="1128"/>
    <x v="277"/>
    <s v="Not Just 10 Veggie Pasta Sauce, 16 oz"/>
    <n v="16"/>
    <s v="ounce"/>
    <d v="2023-10-02T00:00:00"/>
    <d v="2025-10-31T00:00:00"/>
    <s v="instacart"/>
    <s v=""/>
    <n v="264028"/>
    <x v="1"/>
    <x v="0"/>
    <x v="1"/>
    <x v="0"/>
  </r>
  <r>
    <x v="1129"/>
    <x v="38"/>
    <s v="Muir Glen - Muirglen Rst Tom Psta Sauce"/>
    <n v="1"/>
    <s v="ounce"/>
    <d v="2021-10-28T00:00:00"/>
    <d v="2026-02-06T00:00:00"/>
    <s v="instacart"/>
    <s v=""/>
    <n v="267061"/>
    <x v="0"/>
    <x v="1"/>
    <x v="0"/>
    <x v="1"/>
  </r>
  <r>
    <x v="1130"/>
    <x v="2"/>
    <s v="Raos Sauce Vodka - 32 Oz"/>
    <n v="32"/>
    <s v="ounce"/>
    <d v="2021-10-28T00:00:00"/>
    <d v="2026-02-07T00:00:00"/>
    <s v="instacart"/>
    <n v="20128007"/>
    <n v="266382"/>
    <x v="0"/>
    <x v="0"/>
    <x v="0"/>
    <x v="0"/>
  </r>
  <r>
    <x v="1131"/>
    <x v="86"/>
    <s v="Pasta Jays Sauce Pasta Marinara - 25 Oz"/>
    <n v="25"/>
    <s v="ounce"/>
    <d v="2021-10-28T00:00:00"/>
    <d v="2025-09-18T00:00:00"/>
    <s v="instacart"/>
    <s v=""/>
    <n v="267060"/>
    <x v="0"/>
    <x v="0"/>
    <x v="0"/>
    <x v="0"/>
  </r>
  <r>
    <x v="1132"/>
    <x v="7"/>
    <s v="Rao's, Tomato Basil Sauce Family Size, 40 OZ"/>
    <n v="40"/>
    <s v="ounce"/>
    <d v="2025-04-09T00:00:00"/>
    <d v="2026-02-06T00:00:00"/>
    <s v="instacart"/>
    <n v="19461179"/>
    <n v="262218"/>
    <x v="1"/>
    <x v="0"/>
    <x v="1"/>
    <x v="0"/>
  </r>
  <r>
    <x v="1133"/>
    <x v="0"/>
    <s v="Francesco Rinaldi Tomato, Garlic &amp; Onion Sauce, 24 oz"/>
    <n v="24"/>
    <s v="ounce"/>
    <d v="2021-10-28T00:00:00"/>
    <d v="2026-02-06T00:00:00"/>
    <s v="instacart"/>
    <n v="39369"/>
    <n v="262152"/>
    <x v="1"/>
    <x v="0"/>
    <x v="1"/>
    <x v="0"/>
  </r>
  <r>
    <x v="1134"/>
    <x v="66"/>
    <s v="Frank's All Natural New York Style Sicilian Gravy Pasta Sauce"/>
    <n v="26"/>
    <s v="ounce"/>
    <d v="2021-11-02T00:00:00"/>
    <d v="2025-06-09T00:00:00"/>
    <s v="instacart"/>
    <s v=""/>
    <n v="261478"/>
    <x v="1"/>
    <x v="0"/>
    <x v="1"/>
    <x v="0"/>
  </r>
  <r>
    <x v="1135"/>
    <x v="54"/>
    <s v="Carbone Arrabbiata"/>
    <n v="32"/>
    <s v="ounce"/>
    <d v="2022-03-13T00:00:00"/>
    <d v="2026-02-06T00:00:00"/>
    <s v="instacart"/>
    <n v="27089174"/>
    <n v="261742"/>
    <x v="1"/>
    <x v="0"/>
    <x v="1"/>
    <x v="0"/>
  </r>
  <r>
    <x v="1136"/>
    <x v="234"/>
    <s v="Prego Mushroom Pasta Sauce, 24 oz Jar"/>
    <n v="24"/>
    <s v="ounce"/>
    <d v="2021-10-28T00:00:00"/>
    <d v="2026-02-07T00:00:00"/>
    <s v="instacart"/>
    <n v="39353"/>
    <n v="266347"/>
    <x v="1"/>
    <x v="0"/>
    <x v="1"/>
    <x v="0"/>
  </r>
  <r>
    <x v="1137"/>
    <x v="19"/>
    <s v="Classico - Tomato &amp; Basil"/>
    <n v="20.288091000000001"/>
    <s v="fluid ounce"/>
    <d v="2024-09-27T00:00:00"/>
    <d v="2026-02-05T00:00:00"/>
    <s v="instacart"/>
    <s v=""/>
    <n v="264272"/>
    <x v="1"/>
    <x v="0"/>
    <x v="1"/>
    <x v="0"/>
  </r>
  <r>
    <x v="1138"/>
    <x v="137"/>
    <s v="Just Like Home Marinara Buttery"/>
    <n v="25"/>
    <s v="ounce"/>
    <d v="2021-10-28T00:00:00"/>
    <d v="2026-02-05T00:00:00"/>
    <s v="instacart"/>
    <n v="23538514"/>
    <n v="264205"/>
    <x v="0"/>
    <x v="0"/>
    <x v="0"/>
    <x v="0"/>
  </r>
  <r>
    <x v="1139"/>
    <x v="24"/>
    <s v="Hunt's Pasta Sauce, Zesty &amp; Spicy 24 Oz"/>
    <n v="24"/>
    <s v="ounce"/>
    <d v="2021-10-28T00:00:00"/>
    <d v="2026-02-06T00:00:00"/>
    <s v="instacart"/>
    <n v="36095"/>
    <n v="262291"/>
    <x v="0"/>
    <x v="0"/>
    <x v="0"/>
    <x v="0"/>
  </r>
  <r>
    <x v="1140"/>
    <x v="167"/>
    <s v="Bono Pasta Sauce, Alla Vodka, Italian"/>
    <n v="24"/>
    <s v="ounce"/>
    <d v="2023-04-19T00:00:00"/>
    <d v="2026-02-04T00:00:00"/>
    <s v="instacart"/>
    <n v="30529941"/>
    <n v="264021"/>
    <x v="1"/>
    <x v="0"/>
    <x v="1"/>
    <x v="0"/>
  </r>
  <r>
    <x v="1141"/>
    <x v="278"/>
    <s v="Colavita - Tomato Basil Pasta Sauce (13.76 Oz)"/>
    <n v="13.76"/>
    <s v="ounce"/>
    <d v="2021-10-31T00:00:00"/>
    <d v="2026-02-05T00:00:00"/>
    <s v="instacart"/>
    <n v="25055361"/>
    <n v="266825"/>
    <x v="1"/>
    <x v="0"/>
    <x v="1"/>
    <x v="0"/>
  </r>
  <r>
    <x v="1142"/>
    <x v="0"/>
    <s v="Francesco Rinaldi Signature Sweet Sauce, 24 oz"/>
    <n v="24"/>
    <s v="ounce"/>
    <d v="2021-10-28T00:00:00"/>
    <d v="2026-02-06T00:00:00"/>
    <s v="instacart"/>
    <n v="73924"/>
    <n v="266327"/>
    <x v="0"/>
    <x v="0"/>
    <x v="0"/>
    <x v="0"/>
  </r>
  <r>
    <x v="1143"/>
    <x v="15"/>
    <s v="Ragu Old World Style Meat Pasta Sauce - 24oz"/>
    <n v="23.9"/>
    <s v="ounce"/>
    <d v="2021-10-28T00:00:00"/>
    <d v="2026-02-07T00:00:00"/>
    <s v="instacart"/>
    <n v="39338"/>
    <n v="264358"/>
    <x v="1"/>
    <x v="0"/>
    <x v="1"/>
    <x v="0"/>
  </r>
  <r>
    <x v="1144"/>
    <x v="63"/>
    <s v="Victoria Vegan White Bean Marinara Sauce"/>
    <n v="18"/>
    <s v="ounce"/>
    <d v="2021-10-29T00:00:00"/>
    <d v="2025-08-19T00:00:00"/>
    <s v="instacart"/>
    <n v="135704"/>
    <n v="262215"/>
    <x v="0"/>
    <x v="0"/>
    <x v="0"/>
    <x v="0"/>
  </r>
  <r>
    <x v="1145"/>
    <x v="34"/>
    <s v="Newmans Own Pasta Sauce Roasted Garlic"/>
    <n v="24"/>
    <s v="ounce"/>
    <d v="2021-10-28T00:00:00"/>
    <d v="2025-02-11T00:00:00"/>
    <s v="instacart"/>
    <s v=""/>
    <n v="264040"/>
    <x v="1"/>
    <x v="0"/>
    <x v="1"/>
    <x v="0"/>
  </r>
  <r>
    <x v="1146"/>
    <x v="38"/>
    <s v="la Pasta Marinara Sauce"/>
    <n v="15.3"/>
    <s v="ounce"/>
    <d v="2021-10-28T00:00:00"/>
    <d v="2026-02-06T00:00:00"/>
    <s v="instacart"/>
    <s v=""/>
    <n v="262200"/>
    <x v="1"/>
    <x v="1"/>
    <x v="1"/>
    <x v="1"/>
  </r>
  <r>
    <x v="1147"/>
    <x v="7"/>
    <s v="Rao's Homemade, Marinara Sauce, 32 oz"/>
    <n v="32"/>
    <s v="ounce"/>
    <d v="2021-11-02T00:00:00"/>
    <d v="2026-02-04T00:00:00"/>
    <s v="instacart"/>
    <n v="24809"/>
    <n v="262620"/>
    <x v="1"/>
    <x v="0"/>
    <x v="1"/>
    <x v="0"/>
  </r>
  <r>
    <x v="1148"/>
    <x v="279"/>
    <s v="Olivieri - Creamy Rose Fresh Pasta &amp; Cooking Sauce"/>
    <n v="10.144045"/>
    <s v="fluid ounce"/>
    <d v="2021-10-28T00:00:00"/>
    <d v="2026-02-05T00:00:00"/>
    <s v="instacart"/>
    <s v=""/>
    <n v="261691"/>
    <x v="1"/>
    <x v="0"/>
    <x v="1"/>
    <x v="0"/>
  </r>
  <r>
    <x v="1149"/>
    <x v="44"/>
    <s v="Botticelli Premium Marinara Pasta Sauce (24 oz., 2 pk.)"/>
    <m/>
    <m/>
    <d v="2021-10-28T00:00:00"/>
    <d v="2023-06-11T00:00:00"/>
    <s v="instacart"/>
    <s v=""/>
    <n v="261488"/>
    <x v="0"/>
    <x v="0"/>
    <x v="0"/>
    <x v="0"/>
  </r>
  <r>
    <x v="1150"/>
    <x v="122"/>
    <s v="Carmine's Vodka Sauce, 24 oz"/>
    <n v="24"/>
    <s v="ounce"/>
    <d v="2025-02-05T00:00:00"/>
    <d v="2026-02-06T00:00:00"/>
    <s v="instacart"/>
    <n v="33224734"/>
    <n v="266410"/>
    <x v="1"/>
    <x v="0"/>
    <x v="1"/>
    <x v="0"/>
  </r>
  <r>
    <x v="1151"/>
    <x v="91"/>
    <s v="Stonewall Kitchen Sauce Roasted Garlic Basil Jar - 18.5 Oz"/>
    <n v="18.5"/>
    <s v="ounce"/>
    <d v="2021-10-28T00:00:00"/>
    <d v="2026-02-06T00:00:00"/>
    <s v="instacart"/>
    <n v="162268"/>
    <n v="266518"/>
    <x v="1"/>
    <x v="0"/>
    <x v="1"/>
    <x v="0"/>
  </r>
  <r>
    <x v="1152"/>
    <x v="38"/>
    <s v="Figaretti's Spaghetti Sauce"/>
    <n v="32"/>
    <s v="ounce"/>
    <d v="2021-10-28T00:00:00"/>
    <d v="2026-02-05T00:00:00"/>
    <s v="instacart"/>
    <n v="17495657"/>
    <n v="266426"/>
    <x v="0"/>
    <x v="1"/>
    <x v="0"/>
    <x v="1"/>
  </r>
  <r>
    <x v="1153"/>
    <x v="280"/>
    <s v="Rana Sauce, Marinara 15 oz"/>
    <n v="15"/>
    <s v="ounce"/>
    <d v="2021-10-28T00:00:00"/>
    <d v="2026-02-06T00:00:00"/>
    <s v="instacart"/>
    <n v="2568393"/>
    <n v="264711"/>
    <x v="0"/>
    <x v="0"/>
    <x v="0"/>
    <x v="0"/>
  </r>
  <r>
    <x v="1154"/>
    <x v="53"/>
    <s v="Dave's Gourmet Vegan Bolognese"/>
    <n v="16"/>
    <s v="ounce"/>
    <d v="2021-10-28T00:00:00"/>
    <d v="2025-10-31T00:00:00"/>
    <s v="instacart"/>
    <s v=""/>
    <n v="264540"/>
    <x v="1"/>
    <x v="0"/>
    <x v="1"/>
    <x v="0"/>
  </r>
  <r>
    <x v="1155"/>
    <x v="15"/>
    <s v="Ragu Sauce, Mushroom, Old World Style 23.9 oz"/>
    <n v="23.9"/>
    <s v="ounce"/>
    <d v="2021-10-28T00:00:00"/>
    <d v="2026-02-06T00:00:00"/>
    <s v="instacart"/>
    <n v="77117"/>
    <n v="264262"/>
    <x v="0"/>
    <x v="0"/>
    <x v="0"/>
    <x v="0"/>
  </r>
  <r>
    <x v="1156"/>
    <x v="19"/>
    <s v="Classico - A Bold Tomato and Spicy Red Pepper Sauce Recipe Characteristic of the Roma Province, in Lazio."/>
    <n v="21.978764999999999"/>
    <s v="fluid ounce"/>
    <d v="2021-10-28T00:00:00"/>
    <d v="2025-02-20T00:00:00"/>
    <s v="instacart"/>
    <s v=""/>
    <n v="262038"/>
    <x v="0"/>
    <x v="0"/>
    <x v="0"/>
    <x v="0"/>
  </r>
  <r>
    <x v="1157"/>
    <x v="49"/>
    <s v="Rao's Homemade Sauce, Lemon Parmesan"/>
    <n v="24"/>
    <s v="ounce"/>
    <d v="2025-01-30T00:00:00"/>
    <d v="2026-02-06T00:00:00"/>
    <s v="instacart"/>
    <n v="64212929"/>
    <n v="261752"/>
    <x v="1"/>
    <x v="0"/>
    <x v="1"/>
    <x v="0"/>
  </r>
  <r>
    <x v="1158"/>
    <x v="225"/>
    <s v="Pasta Sauce, Tomato Basil 26 oz"/>
    <m/>
    <m/>
    <d v="2021-11-02T00:00:00"/>
    <d v="2023-06-06T00:00:00"/>
    <s v="instacart"/>
    <s v=""/>
    <n v="264095"/>
    <x v="1"/>
    <x v="0"/>
    <x v="1"/>
    <x v="0"/>
  </r>
  <r>
    <x v="1159"/>
    <x v="120"/>
    <s v="Yo Mama's Foods Marinara Magnifica Gourmet Pasta Sauce, 4 PK"/>
    <m/>
    <m/>
    <d v="2022-11-01T00:00:00"/>
    <d v="2023-06-22T00:00:00"/>
    <s v="instacart"/>
    <s v=""/>
    <n v="262040"/>
    <x v="1"/>
    <x v="0"/>
    <x v="1"/>
    <x v="0"/>
  </r>
  <r>
    <x v="1160"/>
    <x v="44"/>
    <s v="Botticelli Alla Vodka Premium Pasta Sauce, 24 oz"/>
    <n v="24"/>
    <s v="ounce"/>
    <d v="2021-10-28T00:00:00"/>
    <d v="2026-02-06T00:00:00"/>
    <s v="instacart"/>
    <n v="1926249"/>
    <n v="261515"/>
    <x v="0"/>
    <x v="0"/>
    <x v="0"/>
    <x v="0"/>
  </r>
  <r>
    <x v="1161"/>
    <x v="19"/>
    <s v="Classico Four Cheese Pasta Sauce"/>
    <n v="24"/>
    <s v="ounce"/>
    <d v="2022-11-06T00:00:00"/>
    <d v="2026-02-02T00:00:00"/>
    <s v="instacart"/>
    <s v=""/>
    <n v="266438"/>
    <x v="1"/>
    <x v="0"/>
    <x v="1"/>
    <x v="0"/>
  </r>
  <r>
    <x v="1162"/>
    <x v="75"/>
    <s v="DelGrosso Pasta Sauce, Roasted Garlic"/>
    <n v="24"/>
    <s v="ounce"/>
    <d v="2021-10-28T00:00:00"/>
    <d v="2026-02-06T00:00:00"/>
    <s v="instacart"/>
    <s v=""/>
    <n v="264526"/>
    <x v="0"/>
    <x v="0"/>
    <x v="0"/>
    <x v="0"/>
  </r>
  <r>
    <x v="1163"/>
    <x v="55"/>
    <s v="Cucina Antica Garlic Marinara Sauce, 25 oz"/>
    <n v="25"/>
    <s v="ounce"/>
    <d v="2021-10-28T00:00:00"/>
    <d v="2026-02-04T00:00:00"/>
    <s v="instacart"/>
    <n v="53396"/>
    <n v="264269"/>
    <x v="1"/>
    <x v="0"/>
    <x v="1"/>
    <x v="0"/>
  </r>
  <r>
    <x v="1164"/>
    <x v="146"/>
    <s v="Cajun Power Spaghetti Sauce 24oz"/>
    <n v="24"/>
    <s v="ounce"/>
    <d v="2024-09-11T00:00:00"/>
    <d v="2026-02-04T00:00:00"/>
    <s v="instacart"/>
    <n v="62644762"/>
    <n v="264474"/>
    <x v="1"/>
    <x v="0"/>
    <x v="1"/>
    <x v="0"/>
  </r>
  <r>
    <x v="1165"/>
    <x v="24"/>
    <s v="Hunt's - Pasta Sauce, Thick &amp; Rich Roasted Garlic &amp; Herbs"/>
    <n v="22.993169999999999"/>
    <s v="fluid ounce"/>
    <d v="2021-10-28T00:00:00"/>
    <d v="2026-02-05T00:00:00"/>
    <s v="instacart"/>
    <s v=""/>
    <n v="264120"/>
    <x v="0"/>
    <x v="0"/>
    <x v="0"/>
    <x v="0"/>
  </r>
  <r>
    <x v="1166"/>
    <x v="75"/>
    <s v="DelGrosso Pasta Sauce, Tomato Basil, Olive Oil &amp; Herbs"/>
    <n v="45"/>
    <s v="ounce"/>
    <d v="2021-10-28T00:00:00"/>
    <d v="2026-02-06T00:00:00"/>
    <s v="instacart"/>
    <n v="16992672"/>
    <n v="261886"/>
    <x v="1"/>
    <x v="0"/>
    <x v="1"/>
    <x v="0"/>
  </r>
  <r>
    <x v="1167"/>
    <x v="85"/>
    <s v="Cucina Antica - Garlic Marinara Pasta Sauce"/>
    <n v="22.655035000000002"/>
    <s v="fluid ounce"/>
    <d v="2021-10-28T00:00:00"/>
    <d v="2025-02-27T00:00:00"/>
    <s v="instacart"/>
    <s v=""/>
    <n v="261816"/>
    <x v="0"/>
    <x v="0"/>
    <x v="0"/>
    <x v="0"/>
  </r>
  <r>
    <x v="1168"/>
    <x v="33"/>
    <s v="Organic Pasta Sauce, 24 OZ"/>
    <n v="24"/>
    <s v="ounce"/>
    <d v="2021-10-28T00:00:00"/>
    <d v="2026-02-04T00:00:00"/>
    <s v="instacart"/>
    <n v="98557"/>
    <n v="261804"/>
    <x v="0"/>
    <x v="0"/>
    <x v="0"/>
    <x v="0"/>
  </r>
  <r>
    <x v="1169"/>
    <x v="42"/>
    <s v="Michael Angelo's Tomato Basil Pasta Sauce - 24 Oz"/>
    <n v="24"/>
    <s v="ounce"/>
    <d v="2023-01-09T00:00:00"/>
    <d v="2026-02-07T00:00:00"/>
    <s v="instacart"/>
    <n v="29203013"/>
    <n v="264199"/>
    <x v="0"/>
    <x v="0"/>
    <x v="0"/>
    <x v="0"/>
  </r>
  <r>
    <x v="1170"/>
    <x v="69"/>
    <s v="Gefen Sauce Pasta Vodka Made With Extra Virgin Olive Oil - 26 Oz"/>
    <n v="26"/>
    <s v="ounce"/>
    <d v="2021-10-28T00:00:00"/>
    <d v="2026-02-06T00:00:00"/>
    <s v="instacart"/>
    <n v="1387317"/>
    <n v="266824"/>
    <x v="0"/>
    <x v="0"/>
    <x v="0"/>
    <x v="0"/>
  </r>
  <r>
    <x v="1171"/>
    <x v="13"/>
    <s v="Paesana Premium Organic Vodka Sauce, 25 oz"/>
    <n v="25"/>
    <s v="ounce"/>
    <d v="2021-11-02T00:00:00"/>
    <d v="2026-02-06T00:00:00"/>
    <s v="instacart"/>
    <n v="2767454"/>
    <n v="262019"/>
    <x v="0"/>
    <x v="0"/>
    <x v="0"/>
    <x v="0"/>
  </r>
  <r>
    <x v="1172"/>
    <x v="38"/>
    <s v="DeMassimo's Authentic Vodka Sauce, 32 oz"/>
    <n v="32"/>
    <s v="ounce"/>
    <d v="2021-10-28T00:00:00"/>
    <d v="2026-02-06T00:00:00"/>
    <s v="instacart"/>
    <n v="25528182"/>
    <n v="264647"/>
    <x v="0"/>
    <x v="1"/>
    <x v="0"/>
    <x v="1"/>
  </r>
  <r>
    <x v="1173"/>
    <x v="20"/>
    <s v="Yo Mamas Roasted Garlic Tomato Sauce - 16 Oz"/>
    <n v="16"/>
    <s v="ounce"/>
    <d v="2021-10-31T00:00:00"/>
    <d v="2026-02-06T00:00:00"/>
    <s v="instacart"/>
    <s v=""/>
    <n v="264022"/>
    <x v="0"/>
    <x v="0"/>
    <x v="0"/>
    <x v="0"/>
  </r>
  <r>
    <x v="1174"/>
    <x v="196"/>
    <s v="Alessi Puttanesca Sauce - 24 Oz"/>
    <n v="24"/>
    <s v="ounce"/>
    <d v="2021-10-28T00:00:00"/>
    <d v="2026-02-05T00:00:00"/>
    <s v="instacart"/>
    <n v="232524"/>
    <n v="267030"/>
    <x v="0"/>
    <x v="0"/>
    <x v="0"/>
    <x v="0"/>
  </r>
  <r>
    <x v="1175"/>
    <x v="59"/>
    <s v="Cascone's Original Pasta Sauce"/>
    <n v="24"/>
    <s v="ounce"/>
    <d v="2023-11-23T00:00:00"/>
    <d v="2026-02-04T00:00:00"/>
    <s v="instacart"/>
    <n v="28129632"/>
    <n v="261751"/>
    <x v="1"/>
    <x v="0"/>
    <x v="1"/>
    <x v="0"/>
  </r>
  <r>
    <x v="1176"/>
    <x v="6"/>
    <s v="Bertolli Organic Tomato and Basil Sauce - 24 Oz"/>
    <n v="24"/>
    <s v="ounce"/>
    <d v="2021-10-28T00:00:00"/>
    <d v="2026-02-06T00:00:00"/>
    <s v="instacart"/>
    <n v="91512"/>
    <n v="261608"/>
    <x v="1"/>
    <x v="0"/>
    <x v="1"/>
    <x v="0"/>
  </r>
  <r>
    <x v="1177"/>
    <x v="50"/>
    <s v="TantilloÂ® Reserve Roasted Garlic Pasta Sauce"/>
    <m/>
    <m/>
    <d v="2021-11-01T00:00:00"/>
    <d v="2023-07-02T00:00:00"/>
    <s v="instacart"/>
    <s v=""/>
    <n v="264702"/>
    <x v="0"/>
    <x v="0"/>
    <x v="0"/>
    <x v="0"/>
  </r>
  <r>
    <x v="1178"/>
    <x v="38"/>
    <s v="Prego Mushroom Italian Tomato Pasta Sauce, Value Size Jar, 38 oz"/>
    <n v="38"/>
    <s v="ounce"/>
    <d v="2023-01-03T00:00:00"/>
    <d v="2026-02-07T00:00:00"/>
    <s v="instacart"/>
    <n v="22160443"/>
    <n v="264317"/>
    <x v="0"/>
    <x v="1"/>
    <x v="0"/>
    <x v="1"/>
  </r>
  <r>
    <x v="1179"/>
    <x v="5"/>
    <s v="Prego Traditional Italian Sauce"/>
    <n v="14"/>
    <s v="ounce"/>
    <d v="2021-10-28T00:00:00"/>
    <d v="2026-02-07T00:00:00"/>
    <s v="instacart"/>
    <n v="91495"/>
    <n v="266346"/>
    <x v="0"/>
    <x v="0"/>
    <x v="0"/>
    <x v="0"/>
  </r>
  <r>
    <x v="1180"/>
    <x v="38"/>
    <s v="Organico Bello - Sauce Kale Tmto Basil Org"/>
    <n v="25"/>
    <s v="ounce"/>
    <d v="2021-10-28T00:00:00"/>
    <d v="2026-02-06T00:00:00"/>
    <s v="instacart"/>
    <s v=""/>
    <n v="266330"/>
    <x v="0"/>
    <x v="1"/>
    <x v="0"/>
    <x v="1"/>
  </r>
  <r>
    <x v="1181"/>
    <x v="7"/>
    <s v="Rao's, Vodka Sauce, 15.5 Oz"/>
    <n v="15.5"/>
    <s v="ounce"/>
    <d v="2024-01-24T00:00:00"/>
    <d v="2026-02-04T00:00:00"/>
    <s v="instacart"/>
    <s v=""/>
    <n v="264573"/>
    <x v="0"/>
    <x v="0"/>
    <x v="0"/>
    <x v="0"/>
  </r>
  <r>
    <x v="1182"/>
    <x v="210"/>
    <s v="Zias - Original Restaurant Recipe Pasta Sauce (26 Oz)"/>
    <n v="26"/>
    <s v="ounce"/>
    <d v="2021-11-04T00:00:00"/>
    <d v="2026-02-02T00:00:00"/>
    <s v="instacart"/>
    <n v="16742880"/>
    <n v="266961"/>
    <x v="1"/>
    <x v="0"/>
    <x v="1"/>
    <x v="0"/>
  </r>
  <r>
    <x v="1183"/>
    <x v="30"/>
    <s v="DEI FRATELLI MARINARA SAUCE"/>
    <n v="24"/>
    <s v="ounce"/>
    <d v="2021-10-28T00:00:00"/>
    <d v="2026-02-05T00:00:00"/>
    <s v="instacart"/>
    <n v="2693821"/>
    <n v="261850"/>
    <x v="1"/>
    <x v="0"/>
    <x v="1"/>
    <x v="0"/>
  </r>
  <r>
    <x v="1184"/>
    <x v="93"/>
    <s v="Sauce Tomato Vodka, 16 OZ"/>
    <n v="16"/>
    <s v="ounce"/>
    <d v="2021-10-28T00:00:00"/>
    <d v="2026-02-04T00:00:00"/>
    <s v="instacart"/>
    <n v="243573"/>
    <n v="264121"/>
    <x v="0"/>
    <x v="0"/>
    <x v="0"/>
    <x v="0"/>
  </r>
  <r>
    <x v="1185"/>
    <x v="24"/>
    <s v="Hunt'sÂ® Original Thick &amp; Rich Pasta Sauce, 680 mL"/>
    <n v="22.993169999999999"/>
    <s v="fluid ounce"/>
    <d v="2021-10-28T00:00:00"/>
    <d v="2026-02-05T00:00:00"/>
    <s v="instacart"/>
    <s v=""/>
    <n v="261826"/>
    <x v="1"/>
    <x v="0"/>
    <x v="1"/>
    <x v="0"/>
  </r>
  <r>
    <x v="1186"/>
    <x v="53"/>
    <s v="Papa Ricos Medium Classic Red Sauce"/>
    <n v="24"/>
    <s v="ounce"/>
    <d v="2021-10-28T00:00:00"/>
    <d v="2026-02-04T00:00:00"/>
    <s v="instacart"/>
    <s v=""/>
    <n v="262249"/>
    <x v="0"/>
    <x v="0"/>
    <x v="0"/>
    <x v="0"/>
  </r>
  <r>
    <x v="1187"/>
    <x v="46"/>
    <s v="California Olive Ranch Sauce, Roasted Garlic 25 oz"/>
    <n v="25"/>
    <s v="ounce"/>
    <d v="2022-02-15T00:00:00"/>
    <d v="2026-02-06T00:00:00"/>
    <s v="instacart"/>
    <n v="27583011"/>
    <n v="264073"/>
    <x v="1"/>
    <x v="0"/>
    <x v="1"/>
    <x v="0"/>
  </r>
  <r>
    <x v="1188"/>
    <x v="24"/>
    <s v="Hunt'sÂ® Four Cheese Thick &amp; Rich Premium Pasta Sauce, 680 mL"/>
    <n v="22.993169999999999"/>
    <s v="fluid ounce"/>
    <d v="2021-10-28T00:00:00"/>
    <d v="2026-02-05T00:00:00"/>
    <s v="instacart"/>
    <s v=""/>
    <n v="264051"/>
    <x v="1"/>
    <x v="0"/>
    <x v="1"/>
    <x v="0"/>
  </r>
  <r>
    <x v="1189"/>
    <x v="131"/>
    <s v="Anducci - Vegan Ragu Sauce"/>
    <n v="16.906742000000001"/>
    <s v="fluid ounce"/>
    <d v="2023-06-22T00:00:00"/>
    <d v="2026-02-05T00:00:00"/>
    <s v="instacart"/>
    <s v=""/>
    <n v="264549"/>
    <x v="1"/>
    <x v="0"/>
    <x v="1"/>
    <x v="0"/>
  </r>
  <r>
    <x v="1190"/>
    <x v="53"/>
    <s v="CARINARA Sweet Basil Pasta Sauce"/>
    <n v="25"/>
    <s v="ounce"/>
    <d v="2024-05-30T00:00:00"/>
    <d v="2026-02-04T00:00:00"/>
    <s v="instacart"/>
    <s v=""/>
    <n v="266976"/>
    <x v="0"/>
    <x v="0"/>
    <x v="0"/>
    <x v="0"/>
  </r>
  <r>
    <x v="1191"/>
    <x v="38"/>
    <s v="Stella Rosa Marinara Sauce"/>
    <n v="24"/>
    <s v="ounce"/>
    <d v="2021-11-01T00:00:00"/>
    <d v="2026-02-05T00:00:00"/>
    <s v="instacart"/>
    <n v="3079004"/>
    <n v="266432"/>
    <x v="0"/>
    <x v="1"/>
    <x v="0"/>
    <x v="1"/>
  </r>
  <r>
    <x v="1192"/>
    <x v="15"/>
    <s v="Ragu Chunky Tomato Garlic &amp; Onion Sauce"/>
    <n v="66"/>
    <s v="ounce"/>
    <d v="2021-10-28T00:00:00"/>
    <d v="2026-02-07T00:00:00"/>
    <s v="instacart"/>
    <n v="2488676"/>
    <n v="264212"/>
    <x v="0"/>
    <x v="0"/>
    <x v="0"/>
    <x v="0"/>
  </r>
  <r>
    <x v="1193"/>
    <x v="38"/>
    <s v="Campo D'oro - Marinara Sauce"/>
    <n v="24"/>
    <s v="ounce"/>
    <d v="2024-03-31T00:00:00"/>
    <d v="2026-02-06T00:00:00"/>
    <s v="instacart"/>
    <n v="25037321"/>
    <n v="261863"/>
    <x v="0"/>
    <x v="1"/>
    <x v="0"/>
    <x v="1"/>
  </r>
  <r>
    <x v="1194"/>
    <x v="127"/>
    <s v="The Silver Palate Pasta Sauce, San Marzano Blend, Vegan Bolognese 25 oz"/>
    <n v="25"/>
    <s v="ounce"/>
    <d v="2021-10-28T00:00:00"/>
    <d v="2025-08-27T00:00:00"/>
    <s v="instacart"/>
    <n v="24360729"/>
    <n v="264152"/>
    <x v="1"/>
    <x v="0"/>
    <x v="1"/>
    <x v="0"/>
  </r>
  <r>
    <x v="1195"/>
    <x v="281"/>
    <s v="Don Pepino Spaghetti Sauce, Italian Flavor, 28 oz Can"/>
    <n v="28"/>
    <s v="ounce"/>
    <d v="2021-10-28T00:00:00"/>
    <d v="2026-02-06T00:00:00"/>
    <s v="instacart"/>
    <n v="212230"/>
    <n v="262022"/>
    <x v="1"/>
    <x v="0"/>
    <x v="1"/>
    <x v="0"/>
  </r>
  <r>
    <x v="1196"/>
    <x v="34"/>
    <s v="Newman's Own Tomato &amp; Basil Pasta Sauce 24 oz"/>
    <n v="24"/>
    <s v="ounce"/>
    <d v="2021-10-28T00:00:00"/>
    <d v="2026-02-06T00:00:00"/>
    <s v="instacart"/>
    <n v="16290487"/>
    <n v="261735"/>
    <x v="1"/>
    <x v="0"/>
    <x v="1"/>
    <x v="0"/>
  </r>
  <r>
    <x v="1197"/>
    <x v="1"/>
    <s v="Carfagna's Pasta Sauce, Puttanesca Italiano"/>
    <n v="32"/>
    <s v="ounce"/>
    <d v="2021-10-28T00:00:00"/>
    <d v="2026-02-06T00:00:00"/>
    <s v="instacart"/>
    <n v="16948755"/>
    <n v="261755"/>
    <x v="1"/>
    <x v="0"/>
    <x v="1"/>
    <x v="0"/>
  </r>
  <r>
    <x v="1198"/>
    <x v="224"/>
    <s v="Frescorti Pasta Sauce Marinara - 24 OZ"/>
    <n v="24"/>
    <s v="ounce"/>
    <d v="2023-08-09T00:00:00"/>
    <d v="2026-02-06T00:00:00"/>
    <s v="instacart"/>
    <n v="91449"/>
    <n v="264090"/>
    <x v="1"/>
    <x v="0"/>
    <x v="1"/>
    <x v="0"/>
  </r>
  <r>
    <x v="1199"/>
    <x v="33"/>
    <s v="Organic Fat Free Low Sodium Pasta Sauce, 24 OZ"/>
    <n v="24"/>
    <s v="ounce"/>
    <d v="2021-10-28T00:00:00"/>
    <d v="2026-02-03T00:00:00"/>
    <s v="instacart"/>
    <n v="98558"/>
    <n v="261732"/>
    <x v="1"/>
    <x v="0"/>
    <x v="1"/>
    <x v="0"/>
  </r>
  <r>
    <x v="1200"/>
    <x v="38"/>
    <s v="Casa Visco - Sauce Psta Meatless"/>
    <n v="32"/>
    <s v="ounce"/>
    <d v="2021-10-28T00:00:00"/>
    <d v="2026-02-06T00:00:00"/>
    <s v="instacart"/>
    <n v="98577"/>
    <n v="264231"/>
    <x v="1"/>
    <x v="1"/>
    <x v="1"/>
    <x v="1"/>
  </r>
  <r>
    <x v="1201"/>
    <x v="99"/>
    <s v="DeLallo Pomodoro Fresco Spicy Arrabbiata Sauce, 25.25 oz"/>
    <n v="25.25"/>
    <s v="ounce"/>
    <d v="2021-10-28T00:00:00"/>
    <d v="2026-02-06T00:00:00"/>
    <s v="instacart"/>
    <n v="152806"/>
    <n v="266580"/>
    <x v="0"/>
    <x v="0"/>
    <x v="0"/>
    <x v="0"/>
  </r>
  <r>
    <x v="1202"/>
    <x v="122"/>
    <s v="Carmine's Marinara Sauce, 24 oz"/>
    <n v="24"/>
    <s v="ounce"/>
    <d v="2025-02-05T00:00:00"/>
    <d v="2026-02-06T00:00:00"/>
    <s v="instacart"/>
    <s v=""/>
    <n v="261794"/>
    <x v="0"/>
    <x v="0"/>
    <x v="0"/>
    <x v="0"/>
  </r>
  <r>
    <x v="1203"/>
    <x v="38"/>
    <s v="vero gusto tomato basil"/>
    <n v="20"/>
    <s v="ounce"/>
    <d v="2021-10-28T00:00:00"/>
    <d v="2026-02-06T00:00:00"/>
    <s v="instacart"/>
    <n v="19831723"/>
    <n v="266433"/>
    <x v="0"/>
    <x v="1"/>
    <x v="0"/>
    <x v="1"/>
  </r>
  <r>
    <x v="1204"/>
    <x v="222"/>
    <s v="CATELLI - Garden Select Tomato &amp; Basil"/>
    <n v="20.288091000000001"/>
    <s v="fluid ounce"/>
    <d v="2024-12-05T00:00:00"/>
    <d v="2026-02-05T00:00:00"/>
    <s v="instacart"/>
    <s v=""/>
    <n v="266503"/>
    <x v="0"/>
    <x v="0"/>
    <x v="0"/>
    <x v="0"/>
  </r>
  <r>
    <x v="1205"/>
    <x v="75"/>
    <s v="DelGrosso Pasta Sauce, Garlic &amp; Cheese"/>
    <n v="24"/>
    <s v="ounce"/>
    <d v="2021-10-28T00:00:00"/>
    <d v="2026-02-06T00:00:00"/>
    <s v="instacart"/>
    <n v="16987093"/>
    <n v="264200"/>
    <x v="0"/>
    <x v="0"/>
    <x v="0"/>
    <x v="0"/>
  </r>
  <r>
    <x v="1206"/>
    <x v="19"/>
    <s v="CLASSICO - Di Lucca Tuscan Style Olive &amp; Garlic Pasta Sauce"/>
    <n v="21.978764999999999"/>
    <s v="fluid ounce"/>
    <d v="2021-10-28T00:00:00"/>
    <d v="2024-11-17T00:00:00"/>
    <s v="instacart"/>
    <s v=""/>
    <n v="266849"/>
    <x v="1"/>
    <x v="0"/>
    <x v="1"/>
    <x v="0"/>
  </r>
  <r>
    <x v="1207"/>
    <x v="96"/>
    <s v="Michaels Of Brooklyn Sauce Marinara - 16 Oz"/>
    <n v="16"/>
    <s v="ounce"/>
    <d v="2021-10-28T00:00:00"/>
    <d v="2026-02-06T00:00:00"/>
    <s v="instacart"/>
    <n v="16369029"/>
    <n v="261777"/>
    <x v="0"/>
    <x v="0"/>
    <x v="0"/>
    <x v="0"/>
  </r>
  <r>
    <x v="1208"/>
    <x v="143"/>
    <s v="Limited Reserve Cardoncelli Marinara, 19 OZ"/>
    <n v="19"/>
    <s v="ounce"/>
    <d v="2024-10-13T00:00:00"/>
    <d v="2026-02-06T00:00:00"/>
    <s v="instacart"/>
    <n v="46735671"/>
    <n v="261510"/>
    <x v="0"/>
    <x v="0"/>
    <x v="0"/>
    <x v="0"/>
  </r>
  <r>
    <x v="1209"/>
    <x v="7"/>
    <s v="Rao's Homemade, Marinara Sauce, 32 oz"/>
    <n v="32"/>
    <s v="ounce"/>
    <d v="2021-11-02T00:00:00"/>
    <d v="2026-02-04T00:00:00"/>
    <s v="instacart"/>
    <n v="24809"/>
    <n v="262579"/>
    <x v="0"/>
    <x v="0"/>
    <x v="0"/>
    <x v="0"/>
  </r>
  <r>
    <x v="1210"/>
    <x v="38"/>
    <s v="Aiellos Supremo Tomato Basil Pasta Sauce"/>
    <n v="26"/>
    <s v="ounce"/>
    <d v="2021-10-31T00:00:00"/>
    <d v="2026-02-05T00:00:00"/>
    <s v="instacart"/>
    <n v="266093"/>
    <n v="261842"/>
    <x v="1"/>
    <x v="1"/>
    <x v="1"/>
    <x v="1"/>
  </r>
  <r>
    <x v="1211"/>
    <x v="282"/>
    <s v="Pasta House - Spaghetti Sauce (26 Oz)"/>
    <n v="26"/>
    <s v="ounce"/>
    <d v="2021-11-14T00:00:00"/>
    <d v="2026-02-02T00:00:00"/>
    <s v="instacart"/>
    <n v="2812451"/>
    <n v="266554"/>
    <x v="1"/>
    <x v="0"/>
    <x v="1"/>
    <x v="0"/>
  </r>
  <r>
    <x v="1212"/>
    <x v="28"/>
    <s v="De Massim Sauce Pasta Marinara - 32 Oz"/>
    <n v="32"/>
    <s v="ounce"/>
    <d v="2021-10-28T00:00:00"/>
    <d v="2026-02-06T00:00:00"/>
    <s v="instacart"/>
    <n v="18905025"/>
    <n v="266811"/>
    <x v="1"/>
    <x v="0"/>
    <x v="1"/>
    <x v="0"/>
  </r>
  <r>
    <x v="1213"/>
    <x v="94"/>
    <s v="Mia Cucina Marinara with Merlot"/>
    <n v="24"/>
    <s v="ounce"/>
    <d v="2021-10-31T00:00:00"/>
    <d v="2026-02-06T00:00:00"/>
    <s v="instacart"/>
    <n v="18074820"/>
    <n v="266595"/>
    <x v="0"/>
    <x v="0"/>
    <x v="0"/>
    <x v="0"/>
  </r>
  <r>
    <x v="1214"/>
    <x v="99"/>
    <s v="Delallo Pomodoro Fresco, Roasted Garlic"/>
    <n v="25.25"/>
    <s v="ounce"/>
    <d v="2021-10-28T00:00:00"/>
    <d v="2026-02-06T00:00:00"/>
    <s v="instacart"/>
    <n v="152805"/>
    <n v="261524"/>
    <x v="1"/>
    <x v="0"/>
    <x v="1"/>
    <x v="0"/>
  </r>
  <r>
    <x v="1215"/>
    <x v="6"/>
    <s v="Bertolli d'Italia Creamy Rosa Sauce, 2 pk./24.7 oz."/>
    <n v="2"/>
    <s v="count"/>
    <d v="2024-06-06T00:00:00"/>
    <d v="2025-10-23T00:00:00"/>
    <s v="instacart"/>
    <s v=""/>
    <n v="266420"/>
    <x v="1"/>
    <x v="0"/>
    <x v="1"/>
    <x v="0"/>
  </r>
  <r>
    <x v="1216"/>
    <x v="38"/>
    <s v="Not Just Crmy Basil Sauce"/>
    <n v="16"/>
    <s v="ounce"/>
    <d v="2023-10-02T00:00:00"/>
    <d v="2025-12-19T00:00:00"/>
    <s v="instacart"/>
    <s v=""/>
    <n v="261746"/>
    <x v="0"/>
    <x v="1"/>
    <x v="0"/>
    <x v="1"/>
  </r>
  <r>
    <x v="1217"/>
    <x v="10"/>
    <s v="San Marzano Sauce Tomato Basil - 24 Oz"/>
    <n v="24"/>
    <s v="ounce"/>
    <d v="2021-10-30T00:00:00"/>
    <d v="2026-02-06T00:00:00"/>
    <s v="instacart"/>
    <n v="18491097"/>
    <n v="264348"/>
    <x v="0"/>
    <x v="0"/>
    <x v="0"/>
    <x v="0"/>
  </r>
  <r>
    <x v="1218"/>
    <x v="191"/>
    <s v="Emerils Kicked Up Tomato Pasta Sauce 25 oz"/>
    <n v="25"/>
    <s v="ounce"/>
    <d v="2021-10-28T00:00:00"/>
    <d v="2026-02-06T00:00:00"/>
    <s v="instacart"/>
    <n v="98562"/>
    <n v="264070"/>
    <x v="0"/>
    <x v="0"/>
    <x v="0"/>
    <x v="0"/>
  </r>
  <r>
    <x v="1219"/>
    <x v="176"/>
    <s v="Bionaturae Organic Marinara Pasta Sauce - Tomato Sauce for Spaghetti, Pizza, &amp; Lasagna, Gluten Free, Non GMO, No Added Sugar, Kosher, Glyphosate Free, Made in Italy, Tastes like Homemade - 24 oz Jar"/>
    <n v="24"/>
    <s v="ounce"/>
    <d v="2025-01-22T00:00:00"/>
    <d v="2026-02-06T00:00:00"/>
    <s v="instacart"/>
    <n v="64419397"/>
    <n v="266363"/>
    <x v="1"/>
    <x v="0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0">
  <r>
    <s v="077644900478"/>
    <x v="0"/>
    <s v="Francesco Rinaldi Pasta Sauce Chunky Three Cheese Jar - 24 Oz"/>
    <n v="24"/>
    <x v="0"/>
    <d v="2021-10-28T00:00:00"/>
    <d v="2026-02-06T00:00:00"/>
    <s v="instacart"/>
    <n v="39355"/>
    <n v="264156"/>
    <x v="0"/>
    <s v="Available"/>
    <x v="0"/>
    <x v="0"/>
  </r>
  <r>
    <s v="641208993932"/>
    <x v="1"/>
    <s v="Carfagna's Little Meatball Sauce"/>
    <n v="32"/>
    <x v="0"/>
    <d v="2021-10-28T00:00:00"/>
    <d v="2026-02-06T00:00:00"/>
    <s v="instacart"/>
    <n v="21149112"/>
    <n v="261581"/>
    <x v="0"/>
    <s v="Available"/>
    <x v="0"/>
    <x v="0"/>
  </r>
  <r>
    <s v="747479001557"/>
    <x v="2"/>
    <s v="Rao's Sauce, Roasted Garlic 24 Oz"/>
    <n v="24"/>
    <x v="0"/>
    <d v="2021-10-28T00:00:00"/>
    <d v="2026-02-07T00:00:00"/>
    <s v="instacart"/>
    <n v="53413"/>
    <n v="261778"/>
    <x v="0"/>
    <s v="Available"/>
    <x v="0"/>
    <x v="0"/>
  </r>
  <r>
    <s v="677294999039"/>
    <x v="3"/>
    <s v="Monte Bene Spicy Marinara Pasta Sauce, 24 oz"/>
    <n v="24"/>
    <x v="0"/>
    <d v="2021-10-28T00:00:00"/>
    <d v="2026-02-06T00:00:00"/>
    <s v="instacart"/>
    <n v="53414"/>
    <n v="267054"/>
    <x v="0"/>
    <s v="Available"/>
    <x v="0"/>
    <x v="0"/>
  </r>
  <r>
    <s v="891752001052"/>
    <x v="4"/>
    <s v="Nanina's In The Park Vodka Sauce Premium Quality Gourmet Pasta Sauce, 23.25 oz"/>
    <n v="23.25"/>
    <x v="0"/>
    <d v="2023-02-12T00:00:00"/>
    <d v="2026-02-04T00:00:00"/>
    <s v="instacart"/>
    <n v="29434996"/>
    <n v="264454"/>
    <x v="0"/>
    <s v="Available"/>
    <x v="0"/>
    <x v="0"/>
  </r>
  <r>
    <s v="051000105462"/>
    <x v="5"/>
    <s v="Prego Pasta Sauce, Italian Tomato Sauce with Roasted Garlic &amp; Parmesan Cheese"/>
    <n v="24"/>
    <x v="0"/>
    <d v="2021-10-28T00:00:00"/>
    <d v="2026-02-07T00:00:00"/>
    <s v="instacart"/>
    <n v="77096"/>
    <n v="264735"/>
    <x v="0"/>
    <s v="Available"/>
    <x v="0"/>
    <x v="0"/>
  </r>
  <r>
    <s v="036200431535"/>
    <x v="6"/>
    <s v="BertolliÂ® D'italia Marinara Sauce 24.7 Oz. Jar"/>
    <n v="24.7"/>
    <x v="0"/>
    <d v="2021-10-28T00:00:00"/>
    <d v="2026-02-06T00:00:00"/>
    <s v="instacart"/>
    <n v="23836538"/>
    <n v="261823"/>
    <x v="0"/>
    <s v="Available"/>
    <x v="0"/>
    <x v="0"/>
  </r>
  <r>
    <s v="747479101882"/>
    <x v="7"/>
    <s v="Rao's, Tomato Basil Sauce, 15.5 Oz"/>
    <n v="15.5"/>
    <x v="0"/>
    <d v="2024-01-24T00:00:00"/>
    <d v="2026-02-04T00:00:00"/>
    <s v="instacart"/>
    <s v=""/>
    <n v="264019"/>
    <x v="1"/>
    <s v="Available"/>
    <x v="1"/>
    <x v="0"/>
  </r>
  <r>
    <s v="075462010393"/>
    <x v="8"/>
    <s v="Dell Alpe Marinara Sauce - 28 Oz"/>
    <n v="28"/>
    <x v="0"/>
    <d v="2021-10-29T00:00:00"/>
    <d v="2026-02-05T00:00:00"/>
    <s v="instacart"/>
    <n v="3144170"/>
    <n v="261790"/>
    <x v="0"/>
    <s v="Available"/>
    <x v="0"/>
    <x v="0"/>
  </r>
  <r>
    <s v="628110146021"/>
    <x v="9"/>
    <s v="STEFANO Faita - Rose Pasta Sauce"/>
    <n v="21.911138000000001"/>
    <x v="1"/>
    <d v="2021-10-28T00:00:00"/>
    <d v="2026-02-05T00:00:00"/>
    <s v="instacart"/>
    <s v=""/>
    <n v="266295"/>
    <x v="1"/>
    <s v="Available"/>
    <x v="1"/>
    <x v="0"/>
  </r>
  <r>
    <s v="070796900105"/>
    <x v="10"/>
    <s v="CENTO All Purpose Pasta Sauce, 26 oz"/>
    <n v="26"/>
    <x v="0"/>
    <d v="2021-10-28T00:00:00"/>
    <d v="2026-02-06T00:00:00"/>
    <s v="instacart"/>
    <n v="169437"/>
    <n v="262534"/>
    <x v="0"/>
    <s v="Available"/>
    <x v="0"/>
    <x v="0"/>
  </r>
  <r>
    <s v="092474181613"/>
    <x v="11"/>
    <s v="Calandra's Roasted Garlic Chunky Basil Sauce, 32 oz"/>
    <n v="32"/>
    <x v="0"/>
    <d v="2021-11-02T00:00:00"/>
    <d v="2026-02-04T00:00:00"/>
    <s v="instacart"/>
    <n v="20451724"/>
    <n v="262065"/>
    <x v="0"/>
    <s v="Available"/>
    <x v="0"/>
    <x v="0"/>
  </r>
  <r>
    <s v="033157000012"/>
    <x v="12"/>
    <s v="Orti Di Calabria Tomato &amp; Basil Pasta Sauce, 24.3 oz"/>
    <n v="24.3"/>
    <x v="0"/>
    <d v="2021-10-28T00:00:00"/>
    <d v="2026-02-05T00:00:00"/>
    <s v="instacart"/>
    <n v="333902"/>
    <n v="264714"/>
    <x v="0"/>
    <s v="Available"/>
    <x v="0"/>
    <x v="0"/>
  </r>
  <r>
    <s v="076050170239"/>
    <x v="13"/>
    <s v="Paesana Sauce Vodka - 25 Oz"/>
    <n v="25"/>
    <x v="0"/>
    <d v="2021-10-28T00:00:00"/>
    <d v="2026-02-06T00:00:00"/>
    <s v="instacart"/>
    <n v="91479"/>
    <n v="266355"/>
    <x v="0"/>
    <s v="Available"/>
    <x v="0"/>
    <x v="0"/>
  </r>
  <r>
    <s v="073214009473"/>
    <x v="14"/>
    <s v="Mezzetta Family Recipes Tomato Basil Sauce"/>
    <n v="24.973545000000001"/>
    <x v="0"/>
    <d v="2021-10-28T00:00:00"/>
    <d v="2026-02-07T00:00:00"/>
    <s v="instacart"/>
    <n v="16698389"/>
    <n v="264126"/>
    <x v="0"/>
    <s v="Available"/>
    <x v="0"/>
    <x v="0"/>
  </r>
  <r>
    <s v="036200204306"/>
    <x v="15"/>
    <s v="Ragu Old World Style Sauce Flavored with Meat, 3 pk./45 oz."/>
    <n v="135"/>
    <x v="0"/>
    <d v="2022-09-15T00:00:00"/>
    <d v="2026-01-16T00:00:00"/>
    <s v="instacart"/>
    <s v=""/>
    <n v="264418"/>
    <x v="1"/>
    <s v="Available"/>
    <x v="1"/>
    <x v="0"/>
  </r>
  <r>
    <s v="075462042103"/>
    <x v="8"/>
    <s v="Dell Alpe Marinara Sauce - 25 Oz"/>
    <n v="25"/>
    <x v="0"/>
    <d v="2021-10-29T00:00:00"/>
    <d v="2026-02-05T00:00:00"/>
    <s v="instacart"/>
    <n v="513485"/>
    <n v="264078"/>
    <x v="0"/>
    <s v="Available"/>
    <x v="0"/>
    <x v="0"/>
  </r>
  <r>
    <s v="033157000043"/>
    <x v="12"/>
    <s v="Orti Di Calabria Vodka Pasta Sauce, 24.3 oz"/>
    <n v="24.3"/>
    <x v="0"/>
    <d v="2021-10-28T00:00:00"/>
    <d v="2026-02-05T00:00:00"/>
    <s v="instacart"/>
    <n v="2488649"/>
    <n v="264452"/>
    <x v="0"/>
    <s v="Available"/>
    <x v="0"/>
    <x v="0"/>
  </r>
  <r>
    <s v="072343000016"/>
    <x v="16"/>
    <s v="Mids Pasta Sauce, Traditional Meatless, Quart Size!"/>
    <n v="32"/>
    <x v="0"/>
    <d v="2021-10-28T00:00:00"/>
    <d v="2026-02-04T00:00:00"/>
    <s v="instacart"/>
    <n v="77119"/>
    <n v="267089"/>
    <x v="0"/>
    <s v="Available"/>
    <x v="0"/>
    <x v="0"/>
  </r>
  <r>
    <s v="072551250012"/>
    <x v="17"/>
    <s v="Brooklyn's Best Silver Star Vodka Con Pancetta, 25 oz"/>
    <n v="25"/>
    <x v="0"/>
    <d v="2021-11-02T00:00:00"/>
    <d v="2026-02-06T00:00:00"/>
    <s v="instacart"/>
    <n v="18006261"/>
    <n v="264077"/>
    <x v="0"/>
    <s v="Available"/>
    <x v="0"/>
    <x v="0"/>
  </r>
  <r>
    <s v="029737004211"/>
    <x v="18"/>
    <s v="Severino, Sauce Vodka Cream, 15 Ounce"/>
    <n v="15"/>
    <x v="0"/>
    <d v="2021-10-31T00:00:00"/>
    <d v="2024-03-14T00:00:00"/>
    <s v="instacart"/>
    <s v=""/>
    <n v="266338"/>
    <x v="1"/>
    <s v="Available"/>
    <x v="1"/>
    <x v="0"/>
  </r>
  <r>
    <s v="051000280091"/>
    <x v="5"/>
    <s v="Prego Three Cheese Italian Sauce Family Size, 45 oz"/>
    <n v="45"/>
    <x v="0"/>
    <d v="2021-10-28T00:00:00"/>
    <d v="2026-02-06T00:00:00"/>
    <s v="instacart"/>
    <n v="24680086"/>
    <n v="262167"/>
    <x v="0"/>
    <s v="Available"/>
    <x v="0"/>
    <x v="0"/>
  </r>
  <r>
    <s v="057000012533"/>
    <x v="19"/>
    <s v="Classico - Roma Spicy Red Pepper Sauce"/>
    <n v="20.288091000000001"/>
    <x v="1"/>
    <d v="2024-12-05T00:00:00"/>
    <d v="2026-02-05T00:00:00"/>
    <s v="instacart"/>
    <s v=""/>
    <n v="264020"/>
    <x v="1"/>
    <s v="Available"/>
    <x v="1"/>
    <x v="0"/>
  </r>
  <r>
    <s v="868391000319"/>
    <x v="20"/>
    <s v="Yo Mamas Foods Tomato Sauce Original Marinara - 25 Oz"/>
    <n v="25"/>
    <x v="0"/>
    <d v="2021-10-28T00:00:00"/>
    <d v="2026-02-06T00:00:00"/>
    <s v="instacart"/>
    <n v="18689362"/>
    <n v="266357"/>
    <x v="0"/>
    <s v="Available"/>
    <x v="0"/>
    <x v="0"/>
  </r>
  <r>
    <s v="015229411612"/>
    <x v="21"/>
    <s v="Sacla Pasta Sauce, Marinara 23.6 oz"/>
    <n v="23.6"/>
    <x v="0"/>
    <d v="2021-10-28T00:00:00"/>
    <d v="2026-02-06T00:00:00"/>
    <s v="instacart"/>
    <n v="18301267"/>
    <n v="266388"/>
    <x v="0"/>
    <s v="Available"/>
    <x v="0"/>
    <x v="0"/>
  </r>
  <r>
    <s v="753469010034"/>
    <x v="22"/>
    <s v="Wild Mushroom Pasta Sauce, 25.5 OZ"/>
    <n v="25.5"/>
    <x v="0"/>
    <d v="2021-10-28T00:00:00"/>
    <d v="2026-02-06T00:00:00"/>
    <s v="instacart"/>
    <n v="2680706"/>
    <n v="266434"/>
    <x v="0"/>
    <s v="Available"/>
    <x v="0"/>
    <x v="0"/>
  </r>
  <r>
    <s v="033157000029"/>
    <x v="12"/>
    <s v="Orti Di Calabria Arrabbiata Pasta Sauce, 24.3 oz"/>
    <n v="24.3"/>
    <x v="0"/>
    <d v="2021-10-28T00:00:00"/>
    <d v="2026-02-05T00:00:00"/>
    <s v="instacart"/>
    <s v=""/>
    <n v="264368"/>
    <x v="1"/>
    <s v="Available"/>
    <x v="1"/>
    <x v="0"/>
  </r>
  <r>
    <s v="860002303628"/>
    <x v="23"/>
    <s v="Gino Angelini Organic Arrabiata Pasta Sauce"/>
    <m/>
    <x v="2"/>
    <d v="2021-10-28T00:00:00"/>
    <d v="2023-10-12T00:00:00"/>
    <s v="instacart"/>
    <s v=""/>
    <n v="264701"/>
    <x v="1"/>
    <s v="Available"/>
    <x v="1"/>
    <x v="0"/>
  </r>
  <r>
    <s v="731338999024"/>
    <x v="7"/>
    <s v="Rao's Homemade | Tomato Basil Sauce | 24 oz"/>
    <n v="24"/>
    <x v="0"/>
    <d v="2021-10-28T00:00:00"/>
    <d v="2026-02-04T00:00:00"/>
    <s v="instacart"/>
    <n v="16293666"/>
    <n v="262619"/>
    <x v="0"/>
    <s v="Available"/>
    <x v="0"/>
    <x v="0"/>
  </r>
  <r>
    <s v="051000195302"/>
    <x v="5"/>
    <s v="Prego Italian Tomato Pasta Sauce Flavored with Meat, 67 oz Jar"/>
    <n v="67"/>
    <x v="0"/>
    <d v="2021-10-28T00:00:00"/>
    <d v="2026-02-07T00:00:00"/>
    <s v="instacart"/>
    <n v="118427"/>
    <n v="267095"/>
    <x v="0"/>
    <s v="Available"/>
    <x v="0"/>
    <x v="0"/>
  </r>
  <r>
    <s v="027000500064"/>
    <x v="24"/>
    <s v="Hunt's Pasta Sauce, Traditional 24 oz"/>
    <n v="24"/>
    <x v="0"/>
    <d v="2021-10-28T00:00:00"/>
    <d v="2026-02-07T00:00:00"/>
    <s v="instacart"/>
    <n v="43575"/>
    <n v="266418"/>
    <x v="0"/>
    <s v="Available"/>
    <x v="0"/>
    <x v="0"/>
  </r>
  <r>
    <s v="850503004018"/>
    <x v="25"/>
    <s v="Jesben Sauce, Italian Tomato, Peppers &amp; Herbs"/>
    <m/>
    <x v="2"/>
    <d v="2021-10-28T00:00:00"/>
    <d v="2026-02-06T00:00:00"/>
    <s v="instacart"/>
    <s v=""/>
    <n v="266287"/>
    <x v="1"/>
    <s v="Available"/>
    <x v="1"/>
    <x v="0"/>
  </r>
  <r>
    <s v="036200431924"/>
    <x v="26"/>
    <s v="Ragu Hidden Heroes Pasta Sauce for Kids, Creamy Tomato Squad, 14 oz"/>
    <n v="14"/>
    <x v="0"/>
    <d v="2024-02-25T00:00:00"/>
    <d v="2026-02-02T00:00:00"/>
    <s v="instacart"/>
    <n v="42887397"/>
    <n v="264310"/>
    <x v="0"/>
    <s v="Available"/>
    <x v="0"/>
    <x v="0"/>
  </r>
  <r>
    <s v="051000132819"/>
    <x v="5"/>
    <s v="Prego Mini-Meatball Meat Sauce, 24 oz"/>
    <n v="24"/>
    <x v="0"/>
    <d v="2021-10-28T00:00:00"/>
    <d v="2026-02-06T00:00:00"/>
    <s v="instacart"/>
    <n v="36102"/>
    <n v="262546"/>
    <x v="0"/>
    <s v="Available"/>
    <x v="0"/>
    <x v="0"/>
  </r>
  <r>
    <s v="057000012465"/>
    <x v="19"/>
    <s v="Classico - Sweet Basil Marinara Sauce"/>
    <n v="20.288091000000001"/>
    <x v="1"/>
    <d v="2024-12-05T00:00:00"/>
    <d v="2026-02-05T00:00:00"/>
    <s v="instacart"/>
    <s v=""/>
    <n v="261566"/>
    <x v="1"/>
    <s v="Available"/>
    <x v="1"/>
    <x v="0"/>
  </r>
  <r>
    <s v="673388196100"/>
    <x v="27"/>
    <s v="Clevelands Own Little Italy Pasta Sauce - 32 Oz"/>
    <n v="32"/>
    <x v="0"/>
    <d v="2021-10-28T00:00:00"/>
    <d v="2026-02-06T00:00:00"/>
    <s v="instacart"/>
    <n v="16314077"/>
    <n v="261787"/>
    <x v="0"/>
    <s v="Available"/>
    <x v="0"/>
    <x v="0"/>
  </r>
  <r>
    <s v="036200431993"/>
    <x v="6"/>
    <s v="Bertolli Garlic Vodka Sauce 24 oz"/>
    <n v="24"/>
    <x v="0"/>
    <d v="2025-03-12T00:00:00"/>
    <d v="2026-02-07T00:00:00"/>
    <s v="instacart"/>
    <n v="66908976"/>
    <n v="261707"/>
    <x v="0"/>
    <s v="Available"/>
    <x v="0"/>
    <x v="0"/>
  </r>
  <r>
    <s v="863645000428"/>
    <x v="28"/>
    <s v="De Massimo's Sauce, Tomato Basil"/>
    <n v="32"/>
    <x v="0"/>
    <d v="2021-10-28T00:00:00"/>
    <d v="2026-02-06T00:00:00"/>
    <s v="instacart"/>
    <n v="21008214"/>
    <n v="262011"/>
    <x v="0"/>
    <s v="Available"/>
    <x v="0"/>
    <x v="0"/>
  </r>
  <r>
    <s v="739276000154"/>
    <x v="29"/>
    <s v="Taste of The Hill Pasta Sauce, 24 oz"/>
    <n v="24"/>
    <x v="0"/>
    <d v="2021-10-28T00:00:00"/>
    <d v="2026-02-03T00:00:00"/>
    <s v="instacart"/>
    <n v="2812518"/>
    <n v="266639"/>
    <x v="0"/>
    <s v="Available"/>
    <x v="0"/>
    <x v="0"/>
  </r>
  <r>
    <s v="070900501518"/>
    <x v="30"/>
    <s v="Dei Fratelli Pasta Sauce, Traditional 24 oz"/>
    <n v="24"/>
    <x v="0"/>
    <d v="2021-10-28T00:00:00"/>
    <d v="2026-02-05T00:00:00"/>
    <s v="instacart"/>
    <n v="2691735"/>
    <n v="261901"/>
    <x v="0"/>
    <s v="Available"/>
    <x v="0"/>
    <x v="0"/>
  </r>
  <r>
    <s v="850008833113"/>
    <x v="20"/>
    <s v="Yo Mamas Roasted Garlic Tomato Sauce - 16 Oz"/>
    <n v="25"/>
    <x v="0"/>
    <d v="2021-10-28T00:00:00"/>
    <d v="2026-02-06T00:00:00"/>
    <s v="instacart"/>
    <n v="25741398"/>
    <n v="261540"/>
    <x v="0"/>
    <s v="Available"/>
    <x v="0"/>
    <x v="0"/>
  </r>
  <r>
    <s v="850069997021"/>
    <x v="31"/>
    <s v="Cravings By Chrissy Teigen Creamy Tomato Pasta Sauce"/>
    <n v="24"/>
    <x v="0"/>
    <d v="2025-11-13T00:00:00"/>
    <d v="2026-02-06T00:00:00"/>
    <s v="instacart"/>
    <n v="74007010"/>
    <n v="264460"/>
    <x v="0"/>
    <s v="Available"/>
    <x v="0"/>
    <x v="0"/>
  </r>
  <r>
    <s v="072343000535"/>
    <x v="32"/>
    <s v="Mid's Pasta Sauce, Italian Sausage 28 Oz"/>
    <n v="28"/>
    <x v="0"/>
    <d v="2021-10-28T00:00:00"/>
    <d v="2026-02-06T00:00:00"/>
    <s v="instacart"/>
    <n v="29328271"/>
    <n v="267064"/>
    <x v="0"/>
    <s v="Available"/>
    <x v="0"/>
    <x v="0"/>
  </r>
  <r>
    <s v="891752001014"/>
    <x v="4"/>
    <s v="Pasta Sauce Marinara Premium Quality Gourmet"/>
    <m/>
    <x v="2"/>
    <d v="2021-10-31T00:00:00"/>
    <d v="2023-07-26T00:00:00"/>
    <s v="instacart"/>
    <s v=""/>
    <n v="264426"/>
    <x v="1"/>
    <s v="Available"/>
    <x v="1"/>
    <x v="0"/>
  </r>
  <r>
    <s v="798304088991"/>
    <x v="33"/>
    <s v="Poblano Pasta Sauce"/>
    <n v="16"/>
    <x v="0"/>
    <d v="2021-10-28T00:00:00"/>
    <d v="2026-02-06T00:00:00"/>
    <s v="instacart"/>
    <n v="110843"/>
    <n v="266415"/>
    <x v="0"/>
    <s v="Available"/>
    <x v="0"/>
    <x v="0"/>
  </r>
  <r>
    <s v="020662000200"/>
    <x v="34"/>
    <s v="Newman's Own Pasta Sauce Marinara, 24.0 OZ"/>
    <n v="24"/>
    <x v="0"/>
    <d v="2021-10-28T00:00:00"/>
    <d v="2026-02-07T00:00:00"/>
    <s v="instacart"/>
    <n v="98540"/>
    <n v="261871"/>
    <x v="0"/>
    <s v="Available"/>
    <x v="0"/>
    <x v="0"/>
  </r>
  <r>
    <s v="057000034603"/>
    <x v="19"/>
    <s v="Classico - Di Lombardia Rose Pasta Sauce"/>
    <n v="13.863529"/>
    <x v="1"/>
    <d v="2021-10-28T00:00:00"/>
    <d v="2026-02-05T00:00:00"/>
    <s v="instacart"/>
    <s v=""/>
    <n v="261785"/>
    <x v="1"/>
    <s v="Available"/>
    <x v="1"/>
    <x v="0"/>
  </r>
  <r>
    <s v="812603020749"/>
    <x v="35"/>
    <s v="SEGGIANO Organic Puttanesca Pasta Sauce, 24 OZ"/>
    <n v="24"/>
    <x v="0"/>
    <d v="2021-10-31T00:00:00"/>
    <d v="2026-02-06T00:00:00"/>
    <s v="instacart"/>
    <n v="19293749"/>
    <n v="261782"/>
    <x v="0"/>
    <s v="Available"/>
    <x v="0"/>
    <x v="0"/>
  </r>
  <r>
    <s v="051000284327"/>
    <x v="5"/>
    <s v="Prego Spicy Marinara"/>
    <n v="24"/>
    <x v="0"/>
    <d v="2022-02-15T00:00:00"/>
    <d v="2026-02-07T00:00:00"/>
    <s v="instacart"/>
    <n v="27126674"/>
    <n v="266863"/>
    <x v="0"/>
    <s v="Available"/>
    <x v="0"/>
    <x v="0"/>
  </r>
  <r>
    <s v="063211041194"/>
    <x v="5"/>
    <s v="Prego - Pasta Sauce Original"/>
    <n v="59.174500000000002"/>
    <x v="1"/>
    <d v="2021-10-28T00:00:00"/>
    <d v="2026-02-05T00:00:00"/>
    <s v="instacart"/>
    <s v=""/>
    <n v="264031"/>
    <x v="1"/>
    <s v="Available"/>
    <x v="1"/>
    <x v="0"/>
  </r>
  <r>
    <s v="860006000332"/>
    <x v="36"/>
    <s v="Frik &amp; Frak Pasta Sauce K.I.S.S. - 24 Oz"/>
    <n v="24"/>
    <x v="0"/>
    <d v="2021-10-31T00:00:00"/>
    <d v="2026-02-06T00:00:00"/>
    <s v="instacart"/>
    <n v="19415306"/>
    <n v="266361"/>
    <x v="0"/>
    <s v="Available"/>
    <x v="0"/>
    <x v="0"/>
  </r>
  <r>
    <s v="850004639085"/>
    <x v="37"/>
    <s v="Primal Kitchen Vodka Sauce, No Dairy"/>
    <n v="23.5"/>
    <x v="0"/>
    <d v="2021-10-28T00:00:00"/>
    <d v="2026-02-06T00:00:00"/>
    <s v="instacart"/>
    <n v="20218143"/>
    <n v="266868"/>
    <x v="0"/>
    <s v="Available"/>
    <x v="0"/>
    <x v="0"/>
  </r>
  <r>
    <s v="051000270122"/>
    <x v="5"/>
    <s v="Prego Chunky Tomato, Onion &amp; Garlic Pasta Sauce, 45 oz"/>
    <n v="45"/>
    <x v="0"/>
    <d v="2021-10-28T00:00:00"/>
    <d v="2026-02-07T00:00:00"/>
    <s v="instacart"/>
    <n v="20020258"/>
    <n v="261884"/>
    <x v="0"/>
    <s v="Available"/>
    <x v="0"/>
    <x v="0"/>
  </r>
  <r>
    <s v="860002303611"/>
    <x v="36"/>
    <s v="Gino Angelini Foods Organic Pasta Sauce Marinara - 24 Oz"/>
    <n v="24"/>
    <x v="0"/>
    <d v="2021-10-28T00:00:00"/>
    <d v="2026-02-05T00:00:00"/>
    <s v="instacart"/>
    <s v=""/>
    <n v="262068"/>
    <x v="1"/>
    <s v="Available"/>
    <x v="1"/>
    <x v="0"/>
  </r>
  <r>
    <s v="860281001321"/>
    <x v="38"/>
    <s v="Philomenas Homemade Marinara Sauce - 24 Oz"/>
    <n v="24"/>
    <x v="0"/>
    <d v="2021-12-01T00:00:00"/>
    <d v="2024-11-03T00:00:00"/>
    <s v="instacart"/>
    <s v=""/>
    <n v="264699"/>
    <x v="1"/>
    <s v="Missing"/>
    <x v="1"/>
    <x v="1"/>
  </r>
  <r>
    <s v="096906023243"/>
    <x v="39"/>
    <s v="Moms Pasta Sauce Special Marinara Jar - 24 Oz"/>
    <n v="24"/>
    <x v="0"/>
    <d v="2021-10-28T00:00:00"/>
    <d v="2026-02-05T00:00:00"/>
    <s v="instacart"/>
    <n v="218913"/>
    <n v="266880"/>
    <x v="0"/>
    <s v="Available"/>
    <x v="0"/>
    <x v="0"/>
  </r>
  <r>
    <s v="725342114658"/>
    <x v="40"/>
    <s v="Muir Glen Muir Glen Pasta Sauce Spicy Arrabiata"/>
    <n v="23.5"/>
    <x v="0"/>
    <d v="2021-10-28T00:00:00"/>
    <d v="2026-02-05T00:00:00"/>
    <s v="instacart"/>
    <s v=""/>
    <n v="261788"/>
    <x v="1"/>
    <s v="Available"/>
    <x v="1"/>
    <x v="0"/>
  </r>
  <r>
    <s v="710996010036"/>
    <x v="41"/>
    <s v="Nonna Pia's - Basil Marinara Sauce"/>
    <n v="22.3169"/>
    <x v="1"/>
    <d v="2025-10-23T00:00:00"/>
    <d v="2026-02-05T00:00:00"/>
    <s v="instacart"/>
    <s v=""/>
    <n v="261889"/>
    <x v="1"/>
    <s v="Available"/>
    <x v="1"/>
    <x v="0"/>
  </r>
  <r>
    <s v="037363987839"/>
    <x v="42"/>
    <s v="Michael Angelo's Marinara, Vine-Ripened Tomatoes, Slow Simmered, Spicy"/>
    <n v="24"/>
    <x v="0"/>
    <d v="2023-01-11T00:00:00"/>
    <d v="2026-02-07T00:00:00"/>
    <s v="instacart"/>
    <n v="29202912"/>
    <n v="267004"/>
    <x v="0"/>
    <s v="Available"/>
    <x v="0"/>
    <x v="0"/>
  </r>
  <r>
    <s v="041736000230"/>
    <x v="43"/>
    <s v="Filippo Berio Tomato Basil Sauce, 24 oz"/>
    <n v="24"/>
    <x v="0"/>
    <d v="2024-06-16T00:00:00"/>
    <d v="2026-02-06T00:00:00"/>
    <s v="instacart"/>
    <n v="48699362"/>
    <n v="262287"/>
    <x v="0"/>
    <s v="Available"/>
    <x v="0"/>
    <x v="0"/>
  </r>
  <r>
    <s v="051000284334"/>
    <x v="5"/>
    <s v="Prego Sweet Sausage and Roasted Peppers Pasta Sauce - 23.5 Oz"/>
    <n v="23.5"/>
    <x v="0"/>
    <d v="2021-10-28T00:00:00"/>
    <d v="2026-02-06T00:00:00"/>
    <s v="instacart"/>
    <n v="27126599"/>
    <n v="261532"/>
    <x v="0"/>
    <s v="Available"/>
    <x v="0"/>
    <x v="0"/>
  </r>
  <r>
    <s v="810095661686"/>
    <x v="44"/>
    <s v="Organic Tomato Basil Sauce, 24 OZ"/>
    <n v="24"/>
    <x v="0"/>
    <d v="2025-01-29T00:00:00"/>
    <d v="2026-02-06T00:00:00"/>
    <s v="instacart"/>
    <n v="64885851"/>
    <n v="267038"/>
    <x v="0"/>
    <s v="Available"/>
    <x v="0"/>
    <x v="0"/>
  </r>
  <r>
    <s v="051000270139"/>
    <x v="45"/>
    <s v="Prego Italian Pasta Sauce Flavored With Meat, 45 oz Jar"/>
    <n v="45"/>
    <x v="0"/>
    <d v="2021-10-28T00:00:00"/>
    <d v="2026-02-07T00:00:00"/>
    <s v="instacart"/>
    <n v="19950603"/>
    <n v="267072"/>
    <x v="0"/>
    <s v="Available"/>
    <x v="0"/>
    <x v="0"/>
  </r>
  <r>
    <s v="850687400026"/>
    <x v="46"/>
    <s v="California Olive Ranch Sauce, Garden Basil 25 oz"/>
    <n v="25"/>
    <x v="0"/>
    <d v="2022-02-15T00:00:00"/>
    <d v="2026-02-06T00:00:00"/>
    <s v="instacart"/>
    <n v="27582936"/>
    <n v="267036"/>
    <x v="0"/>
    <s v="Available"/>
    <x v="0"/>
    <x v="0"/>
  </r>
  <r>
    <s v="075462042202"/>
    <x v="8"/>
    <s v="Dell Alpe Arrabbita Sauce - 25 Oz"/>
    <n v="25"/>
    <x v="0"/>
    <d v="2021-10-29T00:00:00"/>
    <d v="2026-02-05T00:00:00"/>
    <s v="instacart"/>
    <n v="16511765"/>
    <n v="266462"/>
    <x v="0"/>
    <s v="Available"/>
    <x v="0"/>
    <x v="0"/>
  </r>
  <r>
    <s v="057000330088"/>
    <x v="19"/>
    <s v="Classico - Roasted Garlic &amp; Onion Spaghetti Pasta Sauce"/>
    <n v="21.978764999999999"/>
    <x v="1"/>
    <d v="2021-10-28T00:00:00"/>
    <d v="2025-06-12T00:00:00"/>
    <s v="instacart"/>
    <s v=""/>
    <n v="262043"/>
    <x v="1"/>
    <s v="Available"/>
    <x v="1"/>
    <x v="0"/>
  </r>
  <r>
    <s v="733636330035"/>
    <x v="47"/>
    <s v="Sonoma Gourmet Roasted Veggie"/>
    <n v="25"/>
    <x v="0"/>
    <d v="2021-10-28T00:00:00"/>
    <d v="2026-02-06T00:00:00"/>
    <s v="instacart"/>
    <n v="2219447"/>
    <n v="266548"/>
    <x v="0"/>
    <s v="Available"/>
    <x v="0"/>
    <x v="0"/>
  </r>
  <r>
    <s v="665570999088"/>
    <x v="48"/>
    <s v="Jersey Italian Gravy Sunday Dinner Pasta Sauce - 24 Oz"/>
    <n v="24"/>
    <x v="0"/>
    <d v="2023-09-20T00:00:00"/>
    <d v="2026-02-06T00:00:00"/>
    <s v="instacart"/>
    <n v="30769766"/>
    <n v="264179"/>
    <x v="0"/>
    <s v="Available"/>
    <x v="0"/>
    <x v="0"/>
  </r>
  <r>
    <s v="850017808539"/>
    <x v="44"/>
    <s v="Botticelli Rossa Alfredo Sauce, 14.5 oz"/>
    <n v="14.5"/>
    <x v="0"/>
    <d v="2021-11-01T00:00:00"/>
    <d v="2026-02-06T00:00:00"/>
    <s v="instacart"/>
    <n v="25392842"/>
    <n v="261770"/>
    <x v="0"/>
    <s v="Available"/>
    <x v="0"/>
    <x v="0"/>
  </r>
  <r>
    <s v="747479001052"/>
    <x v="49"/>
    <s v="Rao's Homemade Sauce, Tomato Basil 24 Oz"/>
    <n v="24"/>
    <x v="0"/>
    <d v="2021-10-28T00:00:00"/>
    <d v="2026-02-07T00:00:00"/>
    <s v="instacart"/>
    <n v="16293666"/>
    <n v="267044"/>
    <x v="0"/>
    <s v="Available"/>
    <x v="0"/>
    <x v="0"/>
  </r>
  <r>
    <s v="811497008376"/>
    <x v="50"/>
    <s v="Tantillo Arrabbiata Spicy Pasta Sauce"/>
    <n v="24"/>
    <x v="0"/>
    <d v="2021-11-01T00:00:00"/>
    <d v="2024-02-09T00:00:00"/>
    <s v="instacart"/>
    <s v=""/>
    <n v="262045"/>
    <x v="1"/>
    <s v="Available"/>
    <x v="1"/>
    <x v="0"/>
  </r>
  <r>
    <s v="896859000625"/>
    <x v="51"/>
    <s v="Organicville Pasta Sauce, Organic, Italian Herb"/>
    <n v="24"/>
    <x v="0"/>
    <d v="2021-10-28T00:00:00"/>
    <d v="2024-01-26T00:00:00"/>
    <s v="instacart"/>
    <s v=""/>
    <n v="261487"/>
    <x v="1"/>
    <s v="Available"/>
    <x v="1"/>
    <x v="0"/>
  </r>
  <r>
    <s v="077644816151"/>
    <x v="0"/>
    <s v="Francesco Rinaldi Sauce, Traditional  No Salt Added"/>
    <n v="23.5"/>
    <x v="0"/>
    <d v="2021-10-28T00:00:00"/>
    <d v="2026-02-06T00:00:00"/>
    <s v="instacart"/>
    <n v="36160"/>
    <n v="262522"/>
    <x v="0"/>
    <s v="Available"/>
    <x v="0"/>
    <x v="0"/>
  </r>
  <r>
    <s v="099986000135"/>
    <x v="52"/>
    <s v="P&amp;S Tomato Sauce, 32 oz"/>
    <n v="32"/>
    <x v="0"/>
    <d v="2021-10-28T00:00:00"/>
    <d v="2026-02-04T00:00:00"/>
    <s v="instacart"/>
    <s v=""/>
    <n v="266872"/>
    <x v="1"/>
    <s v="Available"/>
    <x v="1"/>
    <x v="0"/>
  </r>
  <r>
    <s v="057000012496"/>
    <x v="19"/>
    <s v="Classico - Bolognese Pasta Sauce"/>
    <n v="20.288091000000001"/>
    <x v="1"/>
    <d v="2024-12-05T00:00:00"/>
    <d v="2026-02-05T00:00:00"/>
    <s v="instacart"/>
    <s v=""/>
    <n v="261784"/>
    <x v="1"/>
    <s v="Available"/>
    <x v="1"/>
    <x v="0"/>
  </r>
  <r>
    <s v="048176843458"/>
    <x v="38"/>
    <s v="Mantova, Pasta Sauce, Pomodoro Sauce"/>
    <n v="24"/>
    <x v="0"/>
    <d v="2021-12-09T00:00:00"/>
    <d v="2026-02-06T00:00:00"/>
    <s v="instacart"/>
    <n v="23820092"/>
    <n v="263993"/>
    <x v="0"/>
    <s v="Missing"/>
    <x v="0"/>
    <x v="1"/>
  </r>
  <r>
    <s v="677294991071"/>
    <x v="38"/>
    <s v=" Cucina Antica Tomato Basil Cooking Sauce"/>
    <n v="16"/>
    <x v="0"/>
    <d v="2021-10-31T00:00:00"/>
    <d v="2025-03-20T00:00:00"/>
    <s v="instacart"/>
    <s v=""/>
    <n v="266445"/>
    <x v="1"/>
    <s v="Missing"/>
    <x v="1"/>
    <x v="1"/>
  </r>
  <r>
    <s v="073214008476"/>
    <x v="14"/>
    <s v="Mezzetta Parmesan Reggiano Pasta Sauce - 24 Oz"/>
    <n v="24"/>
    <x v="0"/>
    <d v="2021-10-28T00:00:00"/>
    <d v="2026-02-06T00:00:00"/>
    <s v="instacart"/>
    <s v="23897615, 34796892"/>
    <s v="261505, 261504"/>
    <x v="0"/>
    <s v="Available"/>
    <x v="0"/>
    <x v="0"/>
  </r>
  <r>
    <s v="036200430750"/>
    <x v="6"/>
    <s v="Bertolli Sauce, Marinara 23 Oz"/>
    <n v="23"/>
    <x v="0"/>
    <d v="2021-10-28T00:00:00"/>
    <d v="2026-02-06T00:00:00"/>
    <s v="instacart"/>
    <n v="17066490"/>
    <n v="261855"/>
    <x v="0"/>
    <s v="Available"/>
    <x v="0"/>
    <x v="0"/>
  </r>
  <r>
    <s v="852300001559"/>
    <x v="38"/>
    <s v="IL MULINO TOMATO BASIL"/>
    <n v="24"/>
    <x v="0"/>
    <d v="2021-11-02T00:00:00"/>
    <d v="2025-06-25T00:00:00"/>
    <s v="instacart"/>
    <s v=""/>
    <n v="264245"/>
    <x v="1"/>
    <s v="Missing"/>
    <x v="1"/>
    <x v="1"/>
  </r>
  <r>
    <s v="641208990917"/>
    <x v="53"/>
    <s v="Carfagnas Pasta Sauce, Original Family Recipe"/>
    <n v="32"/>
    <x v="0"/>
    <d v="2021-10-28T00:00:00"/>
    <d v="2026-02-06T00:00:00"/>
    <s v="instacart"/>
    <n v="16948683"/>
    <n v="266372"/>
    <x v="0"/>
    <s v="Available"/>
    <x v="0"/>
    <x v="0"/>
  </r>
  <r>
    <s v="076050170833"/>
    <x v="38"/>
    <s v="Paesana - Plant Based Bolognese"/>
    <n v="25"/>
    <x v="0"/>
    <d v="2021-10-31T00:00:00"/>
    <d v="2026-02-06T00:00:00"/>
    <s v="instacart"/>
    <n v="22221627"/>
    <n v="264254"/>
    <x v="0"/>
    <s v="Missing"/>
    <x v="0"/>
    <x v="1"/>
  </r>
  <r>
    <s v="853896007109"/>
    <x v="38"/>
    <s v="Local Folks Foods Mushroom &amp; Garden Vegetable Pasta Sauce"/>
    <n v="24"/>
    <x v="0"/>
    <d v="2021-10-28T00:00:00"/>
    <d v="2026-02-06T00:00:00"/>
    <s v="instacart"/>
    <n v="19630001"/>
    <n v="266332"/>
    <x v="0"/>
    <s v="Missing"/>
    <x v="0"/>
    <x v="1"/>
  </r>
  <r>
    <s v="810177550198"/>
    <x v="54"/>
    <s v="Carbone Fra Diavolo Italian Simmer Sauce"/>
    <n v="24"/>
    <x v="0"/>
    <d v="2025-10-09T00:00:00"/>
    <d v="2026-02-06T00:00:00"/>
    <s v="instacart"/>
    <n v="89942536"/>
    <n v="267003"/>
    <x v="0"/>
    <s v="Available"/>
    <x v="0"/>
    <x v="0"/>
  </r>
  <r>
    <s v="677294991200"/>
    <x v="55"/>
    <s v="Cucina Antica - Tuscany Pumpkin Pasta Sauce - 25oz (Pack of 6) - Gluten Free - Glass Jars"/>
    <n v="25"/>
    <x v="0"/>
    <d v="2021-10-28T00:00:00"/>
    <d v="2026-02-06T00:00:00"/>
    <s v="instacart"/>
    <n v="53393"/>
    <n v="264743"/>
    <x v="0"/>
    <s v="Available"/>
    <x v="0"/>
    <x v="0"/>
  </r>
  <r>
    <s v="760229001003"/>
    <x v="38"/>
    <s v="Rizzo Homemade Pasta Sauce"/>
    <m/>
    <x v="2"/>
    <d v="2025-04-18T00:00:00"/>
    <d v="2026-02-06T00:00:00"/>
    <s v="instacart"/>
    <s v=""/>
    <n v="262136"/>
    <x v="1"/>
    <s v="Missing"/>
    <x v="1"/>
    <x v="1"/>
  </r>
  <r>
    <s v="048176843625"/>
    <x v="38"/>
    <s v="MANTOVA ORG TOM TRUFFLE SAUCE"/>
    <n v="17.600000000000001"/>
    <x v="0"/>
    <d v="2021-10-31T00:00:00"/>
    <d v="2026-02-06T00:00:00"/>
    <s v="instacart"/>
    <s v=""/>
    <n v="264641"/>
    <x v="1"/>
    <s v="Missing"/>
    <x v="1"/>
    <x v="1"/>
  </r>
  <r>
    <s v="036200430774"/>
    <x v="6"/>
    <s v="BertolliÂ® Rustic Cutâ„¢ Sweet Peppers and Portobello Mushrooms Pasta Sauce"/>
    <n v="23"/>
    <x v="0"/>
    <d v="2021-10-28T00:00:00"/>
    <d v="2026-02-05T00:00:00"/>
    <s v="instacart"/>
    <n v="17066489"/>
    <n v="267111"/>
    <x v="0"/>
    <s v="Available"/>
    <x v="0"/>
    <x v="0"/>
  </r>
  <r>
    <s v="611962002003"/>
    <x v="56"/>
    <s v="Monjunis Salsa Di Pomidoro, 32.5 Oz"/>
    <n v="46"/>
    <x v="0"/>
    <d v="2021-10-29T00:00:00"/>
    <d v="2026-02-05T00:00:00"/>
    <s v="instacart"/>
    <n v="17680729"/>
    <n v="262375"/>
    <x v="0"/>
    <s v="Available"/>
    <x v="0"/>
    <x v="0"/>
  </r>
  <r>
    <s v="814343020904"/>
    <x v="57"/>
    <s v="MadeWith Marinara Organic Pasta Sauce - 24 Ounce"/>
    <n v="25"/>
    <x v="0"/>
    <d v="2021-10-29T00:00:00"/>
    <d v="2026-02-06T00:00:00"/>
    <s v="instacart"/>
    <s v=""/>
    <n v="264030"/>
    <x v="1"/>
    <s v="Available"/>
    <x v="1"/>
    <x v="0"/>
  </r>
  <r>
    <s v="850049357029"/>
    <x v="53"/>
    <s v="Graziano Bros. Calabrian Pasta Sauce w/Italian Sausage"/>
    <n v="24"/>
    <x v="0"/>
    <d v="2024-03-07T00:00:00"/>
    <d v="2026-02-04T00:00:00"/>
    <s v="instacart"/>
    <s v=""/>
    <n v="264582"/>
    <x v="1"/>
    <s v="Available"/>
    <x v="1"/>
    <x v="0"/>
  </r>
  <r>
    <s v="628055758075"/>
    <x v="58"/>
    <s v="Fody Arrabbiata Pasta Sauce, No Onion No Garlic"/>
    <n v="19.399999999999999"/>
    <x v="0"/>
    <d v="2021-10-28T00:00:00"/>
    <d v="2026-02-06T00:00:00"/>
    <s v="instacart"/>
    <n v="20111494"/>
    <n v="264139"/>
    <x v="0"/>
    <s v="Available"/>
    <x v="0"/>
    <x v="0"/>
  </r>
  <r>
    <s v="077644303323"/>
    <x v="0"/>
    <s v="Francesco Rinaldi Sauce, Traditional Mushroom"/>
    <n v="24"/>
    <x v="0"/>
    <d v="2021-10-28T00:00:00"/>
    <d v="2026-02-06T00:00:00"/>
    <s v="instacart"/>
    <n v="39371"/>
    <n v="266385"/>
    <x v="0"/>
    <s v="Available"/>
    <x v="0"/>
    <x v="0"/>
  </r>
  <r>
    <s v="049539015833"/>
    <x v="59"/>
    <s v="Cascones Cascone's Original Pasta Sauce 26 Oz"/>
    <n v="26"/>
    <x v="0"/>
    <d v="2021-10-28T00:00:00"/>
    <d v="2026-02-03T00:00:00"/>
    <s v="instacart"/>
    <n v="17616707"/>
    <n v="261824"/>
    <x v="0"/>
    <s v="Available"/>
    <x v="0"/>
    <x v="0"/>
  </r>
  <r>
    <s v="712052333332"/>
    <x v="60"/>
    <s v="Charlie's On 6th - Classic Pasta Sauce (26 Oz)"/>
    <n v="26"/>
    <x v="0"/>
    <d v="2022-12-06T00:00:00"/>
    <d v="2026-02-02T00:00:00"/>
    <s v="instacart"/>
    <s v=""/>
    <n v="261513"/>
    <x v="1"/>
    <s v="Available"/>
    <x v="1"/>
    <x v="0"/>
  </r>
  <r>
    <s v="850022820915"/>
    <x v="61"/>
    <s v="Naturas Tomato Sauce W Cheese - 7.1 OZ"/>
    <n v="7.1"/>
    <x v="0"/>
    <d v="2021-11-09T00:00:00"/>
    <d v="2026-02-06T00:00:00"/>
    <s v="instacart"/>
    <n v="25372760"/>
    <n v="264591"/>
    <x v="0"/>
    <s v="Available"/>
    <x v="0"/>
    <x v="0"/>
  </r>
  <r>
    <s v="710996010012"/>
    <x v="41"/>
    <s v="Nonna Pia's - Arrabiata Pasta Sauce"/>
    <n v="22.3169"/>
    <x v="1"/>
    <d v="2025-04-10T00:00:00"/>
    <d v="2026-02-05T00:00:00"/>
    <s v="instacart"/>
    <s v=""/>
    <n v="266289"/>
    <x v="1"/>
    <s v="Available"/>
    <x v="1"/>
    <x v="0"/>
  </r>
  <r>
    <s v="790302793303"/>
    <x v="38"/>
    <s v="Germano's Pomodoro Classic Tomato Sauce"/>
    <n v="32"/>
    <x v="1"/>
    <d v="2021-11-03T00:00:00"/>
    <d v="2026-02-05T00:00:00"/>
    <s v="instacart"/>
    <n v="17183494"/>
    <n v="261584"/>
    <x v="0"/>
    <s v="Missing"/>
    <x v="0"/>
    <x v="1"/>
  </r>
  <r>
    <s v="024722000100"/>
    <x v="38"/>
    <s v="Annarino's Italian Marinara Sauce"/>
    <n v="32"/>
    <x v="1"/>
    <d v="2021-11-03T00:00:00"/>
    <d v="2026-02-05T00:00:00"/>
    <s v="instacart"/>
    <n v="17183461"/>
    <n v="262233"/>
    <x v="0"/>
    <s v="Missing"/>
    <x v="0"/>
    <x v="1"/>
  </r>
  <r>
    <s v="041129077023"/>
    <x v="19"/>
    <s v="Classico Italian Sausage With Peppers &amp; Onions Pasta Sauce 24 oz"/>
    <n v="24"/>
    <x v="0"/>
    <d v="2021-10-28T00:00:00"/>
    <d v="2026-02-07T00:00:00"/>
    <s v="instacart"/>
    <n v="73903"/>
    <n v="261748"/>
    <x v="0"/>
    <s v="Available"/>
    <x v="0"/>
    <x v="0"/>
  </r>
  <r>
    <s v="850008623196"/>
    <x v="38"/>
    <s v="SIMMER PASTA SAUCE TRUFFLE VODKA"/>
    <n v="16"/>
    <x v="0"/>
    <d v="2023-09-29T00:00:00"/>
    <d v="2025-11-26T00:00:00"/>
    <s v="instacart"/>
    <s v=""/>
    <n v="264213"/>
    <x v="1"/>
    <s v="Missing"/>
    <x v="1"/>
    <x v="1"/>
  </r>
  <r>
    <s v="051000276223"/>
    <x v="45"/>
    <s v="PregoÂ® Plant Protein Traditional Pasta Sauce, 24 oz Jar"/>
    <n v="24"/>
    <x v="0"/>
    <d v="2021-10-28T00:00:00"/>
    <d v="2026-02-06T00:00:00"/>
    <s v="instacart"/>
    <n v="21836235"/>
    <n v="264473"/>
    <x v="0"/>
    <s v="Available"/>
    <x v="0"/>
    <x v="0"/>
  </r>
  <r>
    <s v="070796910005"/>
    <x v="62"/>
    <s v="Bellino Spaghetti Sauce - 26 Oz"/>
    <n v="26"/>
    <x v="0"/>
    <d v="2021-10-30T00:00:00"/>
    <d v="2026-02-05T00:00:00"/>
    <s v="instacart"/>
    <n v="212233"/>
    <n v="262542"/>
    <x v="0"/>
    <s v="Available"/>
    <x v="0"/>
    <x v="0"/>
  </r>
  <r>
    <s v="073214009435"/>
    <x v="14"/>
    <s v="Mezzetta Napa Valley Homemade Sauce Wild Mushroom Jar - 25 Oz"/>
    <n v="25"/>
    <x v="0"/>
    <d v="2021-10-28T00:00:00"/>
    <d v="2026-02-06T00:00:00"/>
    <s v="instacart"/>
    <n v="211562"/>
    <n v="266830"/>
    <x v="0"/>
    <s v="Available"/>
    <x v="0"/>
    <x v="0"/>
  </r>
  <r>
    <s v="070234004150"/>
    <x v="63"/>
    <s v="Victoria Sauce, Marinara 24 Oz"/>
    <n v="24"/>
    <x v="0"/>
    <d v="2021-10-28T00:00:00"/>
    <d v="2026-02-06T00:00:00"/>
    <s v="instacart"/>
    <n v="91462"/>
    <n v="264132"/>
    <x v="0"/>
    <s v="Available"/>
    <x v="0"/>
    <x v="0"/>
  </r>
  <r>
    <s v="857572003553"/>
    <x v="38"/>
    <s v="SAUCE PSTA CHRD TOM BAS"/>
    <n v="24"/>
    <x v="0"/>
    <d v="2023-06-07T00:00:00"/>
    <d v="2025-03-19T00:00:00"/>
    <s v="instacart"/>
    <s v=""/>
    <n v="266439"/>
    <x v="1"/>
    <s v="Missing"/>
    <x v="1"/>
    <x v="1"/>
  </r>
  <r>
    <s v="033954820028"/>
    <x v="64"/>
    <s v="Luigi Bonura's Sicilian Pasta Sauce, 26.0 OZ"/>
    <n v="26"/>
    <x v="0"/>
    <d v="2021-10-28T00:00:00"/>
    <d v="2026-02-03T00:00:00"/>
    <s v="instacart"/>
    <n v="17616183"/>
    <n v="266383"/>
    <x v="0"/>
    <s v="Available"/>
    <x v="0"/>
    <x v="0"/>
  </r>
  <r>
    <s v="747479000215"/>
    <x v="49"/>
    <s v="Rao's Homemade Marinara Sauce, 22 oz., 2 pk."/>
    <n v="22"/>
    <x v="0"/>
    <d v="2021-10-28T00:00:00"/>
    <d v="2026-02-06T00:00:00"/>
    <s v="instacart"/>
    <n v="20753442"/>
    <n v="262367"/>
    <x v="0"/>
    <s v="Available"/>
    <x v="0"/>
    <x v="0"/>
  </r>
  <r>
    <s v="081319819408"/>
    <x v="65"/>
    <s v="Casa Visco Marinara Pasta Sauce"/>
    <n v="32"/>
    <x v="0"/>
    <d v="2021-10-29T00:00:00"/>
    <d v="2025-10-22T00:00:00"/>
    <s v="instacart"/>
    <s v=""/>
    <n v="264246"/>
    <x v="1"/>
    <s v="Available"/>
    <x v="1"/>
    <x v="0"/>
  </r>
  <r>
    <s v="700982133047"/>
    <x v="66"/>
    <s v="Frank's All Natural Original Marinara Pasta Sauce"/>
    <n v="26"/>
    <x v="0"/>
    <d v="2021-10-31T00:00:00"/>
    <d v="2025-03-24T00:00:00"/>
    <s v="instacart"/>
    <s v=""/>
    <n v="264707"/>
    <x v="1"/>
    <s v="Available"/>
    <x v="1"/>
    <x v="0"/>
  </r>
  <r>
    <s v="014886500011"/>
    <x v="67"/>
    <s v="Dell Amore Marinara Sauce Original Recipe Jar - 25 Oz"/>
    <n v="25"/>
    <x v="0"/>
    <d v="2021-10-28T00:00:00"/>
    <d v="2026-02-05T00:00:00"/>
    <s v="instacart"/>
    <n v="73917"/>
    <n v="261567"/>
    <x v="0"/>
    <s v="Available"/>
    <x v="0"/>
    <x v="0"/>
  </r>
  <r>
    <s v="036200430996"/>
    <x v="15"/>
    <s v="Ragu Marinara Sauce, Chunky 24 oz"/>
    <n v="24"/>
    <x v="0"/>
    <d v="2021-10-28T00:00:00"/>
    <d v="2026-02-06T00:00:00"/>
    <s v="instacart"/>
    <n v="19618069"/>
    <n v="262185"/>
    <x v="0"/>
    <s v="Available"/>
    <x v="0"/>
    <x v="0"/>
  </r>
  <r>
    <s v="024842409371"/>
    <x v="68"/>
    <s v="Buitoni Meat Sauce, Refrigerated Pasta Sauce"/>
    <n v="15"/>
    <x v="0"/>
    <d v="2021-10-28T00:00:00"/>
    <d v="2025-11-20T00:00:00"/>
    <s v="instacart"/>
    <n v="25372704"/>
    <n v="266367"/>
    <x v="0"/>
    <s v="Available"/>
    <x v="0"/>
    <x v="0"/>
  </r>
  <r>
    <s v="710069175068"/>
    <x v="69"/>
    <s v="Gefen, Fat Free Marinara Pasta Sauce, Fat Free Classic Marinara Sauce 26oz."/>
    <n v="26"/>
    <x v="0"/>
    <d v="2021-10-28T00:00:00"/>
    <d v="2026-02-06T00:00:00"/>
    <s v="instacart"/>
    <n v="190698"/>
    <n v="264449"/>
    <x v="0"/>
    <s v="Available"/>
    <x v="0"/>
    <x v="0"/>
  </r>
  <r>
    <s v="076050170826"/>
    <x v="13"/>
    <s v="Paesana Beyond Meat Bolognese - 25OZ"/>
    <n v="25"/>
    <x v="0"/>
    <d v="2021-10-28T00:00:00"/>
    <d v="2025-10-31T00:00:00"/>
    <s v="instacart"/>
    <s v=""/>
    <n v="262173"/>
    <x v="1"/>
    <s v="Available"/>
    <x v="1"/>
    <x v="0"/>
  </r>
  <r>
    <s v="860003305881"/>
    <x v="70"/>
    <s v="Livwell Pasta Sauce, Vegetable &amp; Herb"/>
    <n v="16"/>
    <x v="0"/>
    <d v="2023-01-11T00:00:00"/>
    <d v="2026-02-06T00:00:00"/>
    <s v="instacart"/>
    <n v="27261156"/>
    <n v="264347"/>
    <x v="0"/>
    <s v="Available"/>
    <x v="0"/>
    <x v="0"/>
  </r>
  <r>
    <s v="089397111971"/>
    <x v="71"/>
    <s v="Racconto Riserva Plant Based Sausage Marinara Sauce, 24 oz"/>
    <n v="24"/>
    <x v="0"/>
    <d v="2022-07-02T00:00:00"/>
    <d v="2024-07-04T00:00:00"/>
    <s v="instacart"/>
    <s v=""/>
    <n v="264041"/>
    <x v="1"/>
    <s v="Available"/>
    <x v="1"/>
    <x v="0"/>
  </r>
  <r>
    <s v="860010562024"/>
    <x v="53"/>
    <s v="CARINARA Spicy Cracked Pepper Pasta Sauce"/>
    <n v="25"/>
    <x v="0"/>
    <d v="2024-05-30T00:00:00"/>
    <d v="2026-02-04T00:00:00"/>
    <s v="instacart"/>
    <s v=""/>
    <n v="261802"/>
    <x v="1"/>
    <s v="Available"/>
    <x v="1"/>
    <x v="0"/>
  </r>
  <r>
    <s v="688672109025"/>
    <x v="72"/>
    <s v="Scarpetta Tuscan Vodka Sauce, 19.8 oz"/>
    <n v="19.8"/>
    <x v="0"/>
    <d v="2021-10-28T00:00:00"/>
    <d v="2026-01-12T00:00:00"/>
    <s v="instacart"/>
    <s v=""/>
    <n v="264027"/>
    <x v="1"/>
    <s v="Available"/>
    <x v="1"/>
    <x v="0"/>
  </r>
  <r>
    <s v="850004639061"/>
    <x v="37"/>
    <s v="Primal Kitchen Roasted Garlic Marinara Sauce 24 oz"/>
    <n v="24"/>
    <x v="0"/>
    <d v="2021-10-28T00:00:00"/>
    <d v="2026-02-06T00:00:00"/>
    <s v="instacart"/>
    <n v="20218167"/>
    <n v="262281"/>
    <x v="0"/>
    <s v="Available"/>
    <x v="0"/>
    <x v="0"/>
  </r>
  <r>
    <s v="057000330095"/>
    <x v="19"/>
    <s v="Classico - Tomato &amp; Pesto Spaghetti Pasta Sauce"/>
    <n v="21.978764999999999"/>
    <x v="1"/>
    <d v="2021-10-28T00:00:00"/>
    <d v="2025-06-19T00:00:00"/>
    <s v="instacart"/>
    <s v=""/>
    <n v="261486"/>
    <x v="1"/>
    <s v="Available"/>
    <x v="1"/>
    <x v="0"/>
  </r>
  <r>
    <s v="027000500088"/>
    <x v="24"/>
    <s v="Hunt's Pasta Sauce, Premium, Meat Flavored 24 oz"/>
    <n v="24"/>
    <x v="0"/>
    <d v="2021-10-28T00:00:00"/>
    <d v="2026-02-07T00:00:00"/>
    <s v="instacart"/>
    <n v="39387"/>
    <n v="261805"/>
    <x v="0"/>
    <s v="Available"/>
    <x v="0"/>
    <x v="0"/>
  </r>
  <r>
    <s v="073214008599"/>
    <x v="14"/>
    <s v="Mezzetta Family Recipes Sensitive Marinara - 24.5 Oz"/>
    <n v="24.5"/>
    <x v="0"/>
    <d v="2023-07-30T00:00:00"/>
    <d v="2026-02-05T00:00:00"/>
    <s v="instacart"/>
    <n v="31575554"/>
    <n v="264023"/>
    <x v="0"/>
    <s v="Available"/>
    <x v="0"/>
    <x v="0"/>
  </r>
  <r>
    <s v="753469010164"/>
    <x v="73"/>
    <s v="DAVE'S GOURMET Creamy Parmesan Ramano Pasta Sauce"/>
    <n v="25"/>
    <x v="0"/>
    <d v="2021-10-28T00:00:00"/>
    <d v="2026-02-06T00:00:00"/>
    <s v="instacart"/>
    <n v="16270693"/>
    <n v="264174"/>
    <x v="0"/>
    <s v="Available"/>
    <x v="0"/>
    <x v="0"/>
  </r>
  <r>
    <s v="076808008746"/>
    <x v="38"/>
    <s v="Barilla - Vero Gusto Sicilian Oregano"/>
    <n v="20"/>
    <x v="0"/>
    <d v="2021-10-28T00:00:00"/>
    <d v="2026-02-06T00:00:00"/>
    <s v="instacart"/>
    <n v="19831654"/>
    <n v="264084"/>
    <x v="0"/>
    <s v="Missing"/>
    <x v="0"/>
    <x v="1"/>
  </r>
  <r>
    <s v="070234004211"/>
    <x v="63"/>
    <s v="Victoria Marinara Pasta Sauce"/>
    <n v="32"/>
    <x v="0"/>
    <d v="2021-10-28T00:00:00"/>
    <d v="2025-07-21T00:00:00"/>
    <s v="instacart"/>
    <s v=""/>
    <n v="264424"/>
    <x v="1"/>
    <s v="Available"/>
    <x v="1"/>
    <x v="0"/>
  </r>
  <r>
    <s v="020662001665"/>
    <x v="34"/>
    <s v="Newman's Own Pasta Sauce, Organic, Olive Oil, Basil &amp; Garlic 23.5 oz"/>
    <n v="23.5"/>
    <x v="0"/>
    <d v="2021-10-28T00:00:00"/>
    <d v="2026-02-05T00:00:00"/>
    <s v="instacart"/>
    <n v="19645610"/>
    <n v="261781"/>
    <x v="0"/>
    <s v="Available"/>
    <x v="0"/>
    <x v="0"/>
  </r>
  <r>
    <s v="811527000028"/>
    <x v="74"/>
    <s v="Capa Di Roma Fresh Basil Sauce"/>
    <n v="24"/>
    <x v="0"/>
    <d v="2021-10-31T00:00:00"/>
    <d v="2026-02-04T00:00:00"/>
    <s v="instacart"/>
    <n v="110844"/>
    <n v="267035"/>
    <x v="0"/>
    <s v="Available"/>
    <x v="0"/>
    <x v="0"/>
  </r>
  <r>
    <s v="747479101721"/>
    <x v="49"/>
    <s v="Rao's Caramelized Onion Sauce"/>
    <n v="24"/>
    <x v="0"/>
    <d v="2023-06-07T00:00:00"/>
    <d v="2026-02-07T00:00:00"/>
    <s v="instacart"/>
    <n v="30364098"/>
    <n v="261495"/>
    <x v="0"/>
    <s v="Available"/>
    <x v="0"/>
    <x v="0"/>
  </r>
  <r>
    <s v="747479001045"/>
    <x v="49"/>
    <s v="Rao's Homemade Tomato Basil Sauce, 22 oz., 2 pk."/>
    <n v="44"/>
    <x v="0"/>
    <d v="2024-07-04T00:00:00"/>
    <d v="2026-02-05T00:00:00"/>
    <s v="instacart"/>
    <s v=""/>
    <n v="266867"/>
    <x v="1"/>
    <s v="Available"/>
    <x v="1"/>
    <x v="0"/>
  </r>
  <r>
    <s v="051000280107"/>
    <x v="45"/>
    <s v="PregoÂ® Roasted Garlic And Herb Pasta Sauce 45.000 Oz"/>
    <n v="45"/>
    <x v="0"/>
    <d v="2021-10-28T00:00:00"/>
    <d v="2026-02-07T00:00:00"/>
    <s v="instacart"/>
    <n v="24680112"/>
    <n v="266368"/>
    <x v="0"/>
    <s v="Available"/>
    <x v="0"/>
    <x v="0"/>
  </r>
  <r>
    <s v="688672109018"/>
    <x v="72"/>
    <s v="Scarpetta Pasta Sauce, Fresh, Marinara"/>
    <m/>
    <x v="2"/>
    <d v="2021-10-28T00:00:00"/>
    <d v="2024-06-25T00:00:00"/>
    <s v="instacart"/>
    <s v=""/>
    <n v="266441"/>
    <x v="1"/>
    <s v="Available"/>
    <x v="1"/>
    <x v="0"/>
  </r>
  <r>
    <s v="041129000588"/>
    <x v="19"/>
    <s v="Classico Creamy Ricotta Pasta Sauce 24 oz"/>
    <n v="24"/>
    <x v="0"/>
    <d v="2024-05-19T00:00:00"/>
    <d v="2026-02-06T00:00:00"/>
    <s v="instacart"/>
    <n v="43579806"/>
    <n v="264075"/>
    <x v="0"/>
    <s v="Available"/>
    <x v="0"/>
    <x v="0"/>
  </r>
  <r>
    <s v="036200004647"/>
    <x v="15"/>
    <s v="Ragu Cheese Creations Parmesan &amp; Romano Sauce"/>
    <n v="24"/>
    <x v="0"/>
    <d v="2021-10-28T00:00:00"/>
    <d v="2026-02-06T00:00:00"/>
    <s v="instacart"/>
    <n v="77091"/>
    <n v="264133"/>
    <x v="0"/>
    <s v="Available"/>
    <x v="0"/>
    <x v="0"/>
  </r>
  <r>
    <s v="096906002262"/>
    <x v="39"/>
    <s v="MOM's Spag Garlic Basil - 24 Ounce"/>
    <n v="24"/>
    <x v="0"/>
    <d v="2021-10-28T00:00:00"/>
    <d v="2026-02-05T00:00:00"/>
    <s v="instacart"/>
    <n v="24834"/>
    <n v="264108"/>
    <x v="0"/>
    <s v="Available"/>
    <x v="0"/>
    <x v="0"/>
  </r>
  <r>
    <s v="072343000542"/>
    <x v="32"/>
    <s v="Mid's Pasta Sauce, Three Cheese 28 Oz"/>
    <n v="28"/>
    <x v="0"/>
    <d v="2021-10-28T00:00:00"/>
    <d v="2026-02-06T00:00:00"/>
    <s v="instacart"/>
    <n v="29624508"/>
    <n v="266536"/>
    <x v="0"/>
    <s v="Available"/>
    <x v="0"/>
    <x v="0"/>
  </r>
  <r>
    <s v="077644304320"/>
    <x v="0"/>
    <s v="Francesco Rinaldi, Classic Marinara Sauce, 24 Oz, Low Fat, Gluten-Free, No Saturated Fat"/>
    <n v="24"/>
    <x v="0"/>
    <d v="2021-10-28T00:00:00"/>
    <d v="2026-02-06T00:00:00"/>
    <s v="instacart"/>
    <n v="91503"/>
    <n v="264282"/>
    <x v="0"/>
    <s v="Available"/>
    <x v="0"/>
    <x v="0"/>
  </r>
  <r>
    <s v="036200431528"/>
    <x v="26"/>
    <s v="Ragu Old World Style Sauce Flavored with Meat, Made with Olive Oil, Perfect for Italian Style Meals at Home, 4.4 oz, 4 Count"/>
    <n v="17.600000000000001"/>
    <x v="0"/>
    <d v="2021-10-28T00:00:00"/>
    <d v="2026-01-25T00:00:00"/>
    <s v="instacart"/>
    <s v=""/>
    <n v="262237"/>
    <x v="1"/>
    <s v="Available"/>
    <x v="1"/>
    <x v="0"/>
  </r>
  <r>
    <s v="810095661129"/>
    <x v="44"/>
    <s v="Botticelli Pasta Sauce, Caramelized Onion, Premium 24 Oz"/>
    <n v="24"/>
    <x v="0"/>
    <d v="2024-05-19T00:00:00"/>
    <d v="2026-02-06T00:00:00"/>
    <s v="instacart"/>
    <n v="47565125"/>
    <n v="262257"/>
    <x v="0"/>
    <s v="Available"/>
    <x v="0"/>
    <x v="0"/>
  </r>
  <r>
    <s v="863373000134"/>
    <x v="38"/>
    <s v="Luigi Del Conte Spicy Ala Vodka Sauce"/>
    <n v="16"/>
    <x v="0"/>
    <d v="2021-10-29T00:00:00"/>
    <d v="2025-10-31T00:00:00"/>
    <s v="instacart"/>
    <s v=""/>
    <n v="264238"/>
    <x v="1"/>
    <s v="Missing"/>
    <x v="1"/>
    <x v="1"/>
  </r>
  <r>
    <s v="855019000936"/>
    <x v="38"/>
    <s v="Botticelli - Primavera Sauce"/>
    <n v="24"/>
    <x v="0"/>
    <d v="2021-10-28T00:00:00"/>
    <d v="2026-02-06T00:00:00"/>
    <s v="instacart"/>
    <n v="17727700"/>
    <n v="264042"/>
    <x v="0"/>
    <s v="Missing"/>
    <x v="0"/>
    <x v="1"/>
  </r>
  <r>
    <s v="057000037178"/>
    <x v="19"/>
    <s v="Classico - Bolognese Spaghetti Pasta Sauce"/>
    <n v="21.978764999999999"/>
    <x v="1"/>
    <d v="2021-10-28T00:00:00"/>
    <d v="2024-12-12T00:00:00"/>
    <s v="instacart"/>
    <s v=""/>
    <n v="261812"/>
    <x v="1"/>
    <s v="Available"/>
    <x v="1"/>
    <x v="0"/>
  </r>
  <r>
    <s v="086706801714"/>
    <x v="38"/>
    <s v="Giusto Marinara Sauce"/>
    <n v="24"/>
    <x v="0"/>
    <d v="2022-12-03T00:00:00"/>
    <d v="2026-02-06T00:00:00"/>
    <s v="instacart"/>
    <n v="19870427"/>
    <n v="262606"/>
    <x v="0"/>
    <s v="Missing"/>
    <x v="0"/>
    <x v="1"/>
  </r>
  <r>
    <s v="074908360337"/>
    <x v="75"/>
    <s v="La Famiglia DelGrosso Uncle Fred's Fireworks Pasta Sauce"/>
    <n v="26"/>
    <x v="0"/>
    <d v="2021-10-28T00:00:00"/>
    <d v="2026-02-06T00:00:00"/>
    <s v="instacart"/>
    <n v="123505"/>
    <n v="264274"/>
    <x v="0"/>
    <s v="Available"/>
    <x v="0"/>
    <x v="0"/>
  </r>
  <r>
    <s v="071403001970"/>
    <x v="76"/>
    <s v="Ferrara Red Clam Sauce, 15 oz"/>
    <n v="15"/>
    <x v="0"/>
    <d v="2021-10-30T00:00:00"/>
    <d v="2026-02-06T00:00:00"/>
    <s v="instacart"/>
    <n v="3262026"/>
    <n v="261899"/>
    <x v="0"/>
    <s v="Available"/>
    <x v="0"/>
    <x v="0"/>
  </r>
  <r>
    <s v="080602024758"/>
    <x v="77"/>
    <s v="Sclafani All Purpose Marinara Sauce, 16 oz"/>
    <n v="16"/>
    <x v="0"/>
    <d v="2021-10-31T00:00:00"/>
    <d v="2026-02-06T00:00:00"/>
    <s v="instacart"/>
    <n v="228203"/>
    <n v="264371"/>
    <x v="0"/>
    <s v="Available"/>
    <x v="0"/>
    <x v="0"/>
  </r>
  <r>
    <s v="063211060355"/>
    <x v="5"/>
    <s v="PregoÂ® Mushroom &amp; Green Pepper Pasta Sauce"/>
    <m/>
    <x v="2"/>
    <d v="2021-10-28T00:00:00"/>
    <d v="2023-06-08T00:00:00"/>
    <s v="instacart"/>
    <s v=""/>
    <n v="264099"/>
    <x v="1"/>
    <s v="Available"/>
    <x v="1"/>
    <x v="0"/>
  </r>
  <r>
    <s v="089397111902"/>
    <x v="71"/>
    <s v="Racconto Bolognese Pasta Sauce - 24 Oz"/>
    <n v="24"/>
    <x v="0"/>
    <d v="2021-10-28T00:00:00"/>
    <d v="2026-02-05T00:00:00"/>
    <s v="instacart"/>
    <n v="91496"/>
    <n v="264230"/>
    <x v="0"/>
    <s v="Available"/>
    <x v="0"/>
    <x v="0"/>
  </r>
  <r>
    <s v="850004639092"/>
    <x v="37"/>
    <s v="Primal Kitchen Arrabbiata Marinara Sauce"/>
    <n v="23.5"/>
    <x v="0"/>
    <d v="2021-10-28T00:00:00"/>
    <d v="2026-02-06T00:00:00"/>
    <s v="instacart"/>
    <n v="23129319"/>
    <n v="261713"/>
    <x v="0"/>
    <s v="Available"/>
    <x v="0"/>
    <x v="0"/>
  </r>
  <r>
    <s v="779566122197"/>
    <x v="78"/>
    <s v="Osm Romanoff Sauce - 13 Oz"/>
    <n v="13"/>
    <x v="0"/>
    <d v="2021-10-28T00:00:00"/>
    <d v="2026-02-06T00:00:00"/>
    <s v="instacart"/>
    <n v="17554800"/>
    <n v="264655"/>
    <x v="0"/>
    <s v="Available"/>
    <x v="0"/>
    <x v="0"/>
  </r>
  <r>
    <s v="739276000260"/>
    <x v="79"/>
    <s v="Rigazzis - Fine Italian Pasta Sauce (33 Oz)"/>
    <n v="33"/>
    <x v="0"/>
    <d v="2022-12-06T00:00:00"/>
    <d v="2026-02-02T00:00:00"/>
    <s v="instacart"/>
    <s v=""/>
    <n v="261678"/>
    <x v="1"/>
    <s v="Available"/>
    <x v="1"/>
    <x v="0"/>
  </r>
  <r>
    <s v="725342286768"/>
    <x v="80"/>
    <s v="Muir Glen Organic Pasta Sauce, Roasted Garlic, 25.5 oz"/>
    <n v="25.5"/>
    <x v="0"/>
    <d v="2021-10-28T00:00:00"/>
    <d v="2026-02-06T00:00:00"/>
    <s v="instacart"/>
    <n v="16754516"/>
    <n v="266644"/>
    <x v="0"/>
    <s v="Available"/>
    <x v="0"/>
    <x v="0"/>
  </r>
  <r>
    <s v="609231202520"/>
    <x v="81"/>
    <s v="Boves Organic Roasted Garlic Pasta Sauce"/>
    <n v="24"/>
    <x v="0"/>
    <d v="2025-05-28T00:00:00"/>
    <d v="2025-10-22T00:00:00"/>
    <s v="instacart"/>
    <s v=""/>
    <n v="262603"/>
    <x v="1"/>
    <s v="Available"/>
    <x v="1"/>
    <x v="0"/>
  </r>
  <r>
    <s v="077644901413"/>
    <x v="0"/>
    <s v="Francesco Rinaldi Sauce, Tomato, Garlic &amp; Onion 45 oz"/>
    <n v="45"/>
    <x v="0"/>
    <d v="2021-10-28T00:00:00"/>
    <d v="2026-02-05T00:00:00"/>
    <s v="instacart"/>
    <n v="143291"/>
    <n v="264448"/>
    <x v="0"/>
    <s v="Available"/>
    <x v="0"/>
    <x v="0"/>
  </r>
  <r>
    <s v="747479001144"/>
    <x v="7"/>
    <s v="Rao's Homemade Arrabbiata Sauce, 32 oz, Tomato Sauce, All Purpose, Keto Friendly Pasta Sauce, Premium Quality Tomatoes from Italy &amp; Crushed Red Pepper"/>
    <n v="32"/>
    <x v="0"/>
    <d v="2021-10-28T00:00:00"/>
    <d v="2026-02-07T00:00:00"/>
    <s v="instacart"/>
    <s v="18628190, 30585530"/>
    <s v="266870, 266871"/>
    <x v="0"/>
    <s v="Available"/>
    <x v="0"/>
    <x v="0"/>
  </r>
  <r>
    <s v="057000012526"/>
    <x v="19"/>
    <s v="Classico - Florentine Spinach and Cheese Pasta Sauce"/>
    <n v="20.288091000000001"/>
    <x v="1"/>
    <d v="2024-09-27T00:00:00"/>
    <d v="2026-02-05T00:00:00"/>
    <s v="instacart"/>
    <s v=""/>
    <n v="261878"/>
    <x v="1"/>
    <s v="Available"/>
    <x v="1"/>
    <x v="0"/>
  </r>
  <r>
    <s v="072940758082"/>
    <x v="82"/>
    <s v="Tuttorosso Pasta Sauce, Natural, Marinara"/>
    <n v="24"/>
    <x v="0"/>
    <d v="2021-10-28T00:00:00"/>
    <d v="2026-02-06T00:00:00"/>
    <s v="instacart"/>
    <n v="98524"/>
    <n v="264079"/>
    <x v="0"/>
    <s v="Available"/>
    <x v="0"/>
    <x v="0"/>
  </r>
  <r>
    <s v="062639373207"/>
    <x v="83"/>
    <s v="Only Goodness - ONLY GOODNESS Orgnc Arbbta Pasta Sauce"/>
    <n v="22.993169999999999"/>
    <x v="1"/>
    <d v="2023-11-03T00:00:00"/>
    <d v="2025-12-04T00:00:00"/>
    <s v="instacart"/>
    <s v=""/>
    <n v="264369"/>
    <x v="1"/>
    <s v="Available"/>
    <x v="1"/>
    <x v="0"/>
  </r>
  <r>
    <s v="609231000034"/>
    <x v="38"/>
    <s v="All Nat Pasta Sauce Mushroom"/>
    <n v="24"/>
    <x v="0"/>
    <d v="2021-10-28T00:00:00"/>
    <d v="2026-02-06T00:00:00"/>
    <s v="instacart"/>
    <s v=""/>
    <n v="261508"/>
    <x v="1"/>
    <s v="Missing"/>
    <x v="1"/>
    <x v="1"/>
  </r>
  <r>
    <s v="897712001018"/>
    <x v="84"/>
    <s v="Lidias Marinara 25 Oz"/>
    <n v="25"/>
    <x v="0"/>
    <d v="2021-10-28T00:00:00"/>
    <d v="2026-02-06T00:00:00"/>
    <s v="instacart"/>
    <n v="91471"/>
    <n v="264367"/>
    <x v="0"/>
    <s v="Available"/>
    <x v="0"/>
    <x v="0"/>
  </r>
  <r>
    <s v="725342132164"/>
    <x v="80"/>
    <s v="Muir Glen Organic Organic Tomato Basil Pasta Sauce, 23.5 oz"/>
    <n v="23.5"/>
    <x v="0"/>
    <d v="2022-02-20T00:00:00"/>
    <d v="2026-02-06T00:00:00"/>
    <s v="instacart"/>
    <n v="27767012"/>
    <n v="261607"/>
    <x v="0"/>
    <s v="Available"/>
    <x v="0"/>
    <x v="0"/>
  </r>
  <r>
    <s v="072343000191"/>
    <x v="32"/>
    <s v="Mids Pasta Sauce, Garlic &amp; Onion"/>
    <n v="32"/>
    <x v="0"/>
    <d v="2021-10-28T00:00:00"/>
    <d v="2026-02-05T00:00:00"/>
    <s v="instacart"/>
    <s v=""/>
    <n v="264117"/>
    <x v="1"/>
    <s v="Available"/>
    <x v="1"/>
    <x v="0"/>
  </r>
  <r>
    <s v="027000500132"/>
    <x v="24"/>
    <s v="Hunt's Pasta Sauce, Premium, Cheese &amp; Garlic 24 oz"/>
    <n v="24"/>
    <x v="0"/>
    <d v="2021-10-28T00:00:00"/>
    <d v="2026-02-06T00:00:00"/>
    <s v="instacart"/>
    <n v="3168273"/>
    <n v="266985"/>
    <x v="0"/>
    <s v="Available"/>
    <x v="0"/>
    <x v="0"/>
  </r>
  <r>
    <s v="677294991156"/>
    <x v="85"/>
    <s v="Cucina Antica Cooking Sauce,  Spicy Arrabbiata"/>
    <n v="25"/>
    <x v="0"/>
    <d v="2021-10-28T00:00:00"/>
    <d v="2026-02-06T00:00:00"/>
    <s v="instacart"/>
    <n v="53395"/>
    <n v="261727"/>
    <x v="0"/>
    <s v="Available"/>
    <x v="0"/>
    <x v="0"/>
  </r>
  <r>
    <s v="081610602013"/>
    <x v="86"/>
    <s v="Pasta Jays Sauce Pasta Creamy Tomato - 25 Oz"/>
    <n v="25"/>
    <x v="0"/>
    <d v="2021-10-28T00:00:00"/>
    <d v="2025-09-18T00:00:00"/>
    <s v="instacart"/>
    <s v=""/>
    <n v="266845"/>
    <x v="1"/>
    <s v="Available"/>
    <x v="1"/>
    <x v="0"/>
  </r>
  <r>
    <s v="677294998018"/>
    <x v="87"/>
    <s v="Organico BelloÂ® Tomato Basil Pasta Sauce"/>
    <n v="25"/>
    <x v="0"/>
    <d v="2021-10-28T00:00:00"/>
    <d v="2026-02-06T00:00:00"/>
    <s v="instacart"/>
    <n v="175472"/>
    <n v="264047"/>
    <x v="0"/>
    <s v="Available"/>
    <x v="0"/>
    <x v="0"/>
  </r>
  <r>
    <s v="036200431719"/>
    <x v="6"/>
    <s v="Bertolli Vodka Sauce, 24 oz., 3 pk."/>
    <n v="72"/>
    <x v="0"/>
    <d v="2022-10-20T00:00:00"/>
    <d v="2026-02-05T00:00:00"/>
    <s v="instacart"/>
    <s v=""/>
    <n v="266298"/>
    <x v="1"/>
    <s v="Available"/>
    <x v="1"/>
    <x v="0"/>
  </r>
  <r>
    <s v="076050170307"/>
    <x v="13"/>
    <s v="Paesana Tomato Basil Pasta Sauce, 25 oz"/>
    <n v="25"/>
    <x v="0"/>
    <d v="2021-10-28T00:00:00"/>
    <d v="2026-02-06T00:00:00"/>
    <s v="instacart"/>
    <n v="1918135"/>
    <n v="261881"/>
    <x v="0"/>
    <s v="Available"/>
    <x v="0"/>
    <x v="0"/>
  </r>
  <r>
    <s v="074908360511"/>
    <x v="75"/>
    <s v="DelGrosso Pasta Sauce, Three Cheese"/>
    <n v="45"/>
    <x v="0"/>
    <d v="2021-10-28T00:00:00"/>
    <d v="2026-02-06T00:00:00"/>
    <s v="instacart"/>
    <s v=""/>
    <n v="261911"/>
    <x v="1"/>
    <s v="Available"/>
    <x v="1"/>
    <x v="0"/>
  </r>
  <r>
    <s v="753469010027"/>
    <x v="73"/>
    <s v="Daves Gourmet Organic Pasta Sauce Red Heirloom - 25.5 Oz"/>
    <n v="24"/>
    <x v="0"/>
    <d v="2021-10-28T00:00:00"/>
    <d v="2026-02-06T00:00:00"/>
    <s v="instacart"/>
    <n v="24828"/>
    <n v="266322"/>
    <x v="0"/>
    <s v="Available"/>
    <x v="0"/>
    <x v="0"/>
  </r>
  <r>
    <s v="805750937039"/>
    <x v="53"/>
    <s v="Chef Pasquale's &quot;Hometown&quot; Tomato Sauce with Mushrooms"/>
    <n v="24"/>
    <x v="0"/>
    <d v="2022-12-08T00:00:00"/>
    <d v="2025-11-24T00:00:00"/>
    <s v="instacart"/>
    <s v=""/>
    <n v="266914"/>
    <x v="1"/>
    <s v="Available"/>
    <x v="1"/>
    <x v="0"/>
  </r>
  <r>
    <s v="861938000322"/>
    <x v="38"/>
    <s v="Antonia Carlo Handcrafted Tomato Basil Marinara Sauce"/>
    <n v="24"/>
    <x v="0"/>
    <d v="2021-10-28T00:00:00"/>
    <d v="2026-02-05T00:00:00"/>
    <s v="instacart"/>
    <n v="19520086"/>
    <n v="262168"/>
    <x v="0"/>
    <s v="Missing"/>
    <x v="0"/>
    <x v="1"/>
  </r>
  <r>
    <s v="860010086032"/>
    <x v="48"/>
    <s v="Jersey Italian Gravy Arrabiata Sauce, 6 PK"/>
    <m/>
    <x v="2"/>
    <d v="2023-03-24T00:00:00"/>
    <d v="2023-06-22T00:00:00"/>
    <s v="instacart"/>
    <s v=""/>
    <n v="262611"/>
    <x v="1"/>
    <s v="Available"/>
    <x v="1"/>
    <x v="0"/>
  </r>
  <r>
    <s v="852662649017"/>
    <x v="88"/>
    <s v="Pirros Pasta Sauce Rustic Vodka - 24 Oz"/>
    <n v="24"/>
    <x v="0"/>
    <d v="2021-10-28T00:00:00"/>
    <d v="2026-02-05T00:00:00"/>
    <s v="instacart"/>
    <n v="24496159"/>
    <n v="261797"/>
    <x v="0"/>
    <s v="Available"/>
    <x v="0"/>
    <x v="0"/>
  </r>
  <r>
    <s v="871398000022"/>
    <x v="89"/>
    <s v="LaDoriaArrab, PLCHD cont-3rd party agency"/>
    <n v="12.172855"/>
    <x v="1"/>
    <d v="2025-05-20T00:00:00"/>
    <d v="2026-02-05T00:00:00"/>
    <s v="instacart"/>
    <s v=""/>
    <n v="266514"/>
    <x v="1"/>
    <s v="Available"/>
    <x v="1"/>
    <x v="0"/>
  </r>
  <r>
    <s v="027000422403"/>
    <x v="24"/>
    <s v="Huntâ€™s Spaghetti Sauce, Traditional, 26.5 oz Can"/>
    <n v="26.5"/>
    <x v="0"/>
    <d v="2021-10-28T00:00:00"/>
    <d v="2026-02-07T00:00:00"/>
    <s v="instacart"/>
    <s v=""/>
    <n v="266970"/>
    <x v="1"/>
    <s v="Available"/>
    <x v="1"/>
    <x v="0"/>
  </r>
  <r>
    <s v="857572003560"/>
    <x v="38"/>
    <s v="The Sonoma Kitchen Zinfandel Roasted Garlic Sauce"/>
    <n v="24"/>
    <x v="0"/>
    <d v="2023-06-07T00:00:00"/>
    <d v="2025-03-05T00:00:00"/>
    <s v="instacart"/>
    <s v=""/>
    <n v="262042"/>
    <x v="1"/>
    <s v="Missing"/>
    <x v="1"/>
    <x v="1"/>
  </r>
  <r>
    <s v="041129077856"/>
    <x v="38"/>
    <s v="n/a - Classico Portabella Mushroom"/>
    <n v="24"/>
    <x v="0"/>
    <d v="2021-10-28T00:00:00"/>
    <d v="2026-02-06T00:00:00"/>
    <s v="instacart"/>
    <s v=""/>
    <n v="261583"/>
    <x v="1"/>
    <s v="Missing"/>
    <x v="1"/>
    <x v="1"/>
  </r>
  <r>
    <s v="041129088005"/>
    <x v="19"/>
    <s v="Classico Pasta Sauce, Tomato &amp; Basil"/>
    <n v="44"/>
    <x v="0"/>
    <d v="2021-10-28T00:00:00"/>
    <d v="2026-02-06T00:00:00"/>
    <s v="instacart"/>
    <n v="98536"/>
    <n v="266353"/>
    <x v="0"/>
    <s v="Available"/>
    <x v="0"/>
    <x v="0"/>
  </r>
  <r>
    <s v="761956127417"/>
    <x v="90"/>
    <s v="Ginos Spaghetti Sauce"/>
    <n v="24"/>
    <x v="0"/>
    <d v="2021-10-28T00:00:00"/>
    <d v="2026-02-04T00:00:00"/>
    <s v="instacart"/>
    <s v=""/>
    <n v="266304"/>
    <x v="1"/>
    <s v="Available"/>
    <x v="1"/>
    <x v="0"/>
  </r>
  <r>
    <s v="711381317600"/>
    <x v="91"/>
    <s v="Stonewall Kitchen Mom's Meatloaf Sauce"/>
    <n v="20.5"/>
    <x v="0"/>
    <d v="2021-10-28T00:00:00"/>
    <d v="2026-02-06T00:00:00"/>
    <s v="instacart"/>
    <n v="260901"/>
    <n v="264439"/>
    <x v="0"/>
    <s v="Available"/>
    <x v="0"/>
    <x v="0"/>
  </r>
  <r>
    <s v="628110146120"/>
    <x v="9"/>
    <s v="STEFANO Faita - Arrabbiata Tomato Pasta Sauce"/>
    <n v="21.911138000000001"/>
    <x v="1"/>
    <d v="2021-10-28T00:00:00"/>
    <d v="2026-02-05T00:00:00"/>
    <s v="instacart"/>
    <s v=""/>
    <n v="261592"/>
    <x v="1"/>
    <s v="Available"/>
    <x v="1"/>
    <x v="0"/>
  </r>
  <r>
    <s v="741890123508"/>
    <x v="92"/>
    <s v="LaRosa's Original Pasta Sauce- 24oz PET Jar"/>
    <n v="24"/>
    <x v="0"/>
    <d v="2021-10-28T00:00:00"/>
    <d v="2026-02-04T00:00:00"/>
    <s v="instacart"/>
    <n v="27976721"/>
    <n v="264292"/>
    <x v="0"/>
    <s v="Available"/>
    <x v="0"/>
    <x v="0"/>
  </r>
  <r>
    <s v="725342283569"/>
    <x v="40"/>
    <s v="Muir Glen Pasta Sauce, Organic, Tomato Basil 25.5 oz"/>
    <n v="25.5"/>
    <x v="0"/>
    <d v="2021-10-28T00:00:00"/>
    <d v="2026-02-06T00:00:00"/>
    <s v="instacart"/>
    <n v="24836"/>
    <n v="264039"/>
    <x v="0"/>
    <s v="Available"/>
    <x v="0"/>
    <x v="0"/>
  </r>
  <r>
    <s v="884337000007"/>
    <x v="93"/>
    <s v="Sauce Marinara, 16 OZ"/>
    <n v="16"/>
    <x v="0"/>
    <d v="2021-10-28T00:00:00"/>
    <d v="2026-02-04T00:00:00"/>
    <s v="instacart"/>
    <n v="243574"/>
    <n v="264451"/>
    <x v="0"/>
    <s v="Available"/>
    <x v="0"/>
    <x v="0"/>
  </r>
  <r>
    <s v="199590704501"/>
    <x v="53"/>
    <s v="Ponti Tomato &amp; Roasted Garlic Italian Pasta Sauce"/>
    <n v="24.3"/>
    <x v="0"/>
    <d v="2021-10-28T00:00:00"/>
    <d v="2026-02-04T00:00:00"/>
    <s v="instacart"/>
    <s v=""/>
    <n v="266333"/>
    <x v="1"/>
    <s v="Available"/>
    <x v="1"/>
    <x v="0"/>
  </r>
  <r>
    <s v="852082002027"/>
    <x v="94"/>
    <s v="Mia Cucina Marinara Fra Diavolo Tomato Sauce, 24 oz"/>
    <n v="24"/>
    <x v="0"/>
    <d v="2021-10-31T00:00:00"/>
    <d v="2026-02-04T00:00:00"/>
    <s v="instacart"/>
    <n v="19953888"/>
    <n v="261605"/>
    <x v="0"/>
    <s v="Available"/>
    <x v="0"/>
    <x v="0"/>
  </r>
  <r>
    <s v="070234066301"/>
    <x v="63"/>
    <s v="Victoria Organic Toasted Garlic Pasta Sauce 24 oz"/>
    <n v="24"/>
    <x v="0"/>
    <d v="2021-10-28T00:00:00"/>
    <d v="2026-02-06T00:00:00"/>
    <s v="instacart"/>
    <n v="3134590"/>
    <n v="266316"/>
    <x v="0"/>
    <s v="Available"/>
    <x v="0"/>
    <x v="0"/>
  </r>
  <r>
    <s v="080602024703"/>
    <x v="77"/>
    <s v="Sclafani Spaghetti Sauce"/>
    <n v="16"/>
    <x v="0"/>
    <d v="2021-10-31T00:00:00"/>
    <d v="2026-02-06T00:00:00"/>
    <s v="instacart"/>
    <n v="228597"/>
    <n v="264278"/>
    <x v="0"/>
    <s v="Available"/>
    <x v="0"/>
    <x v="0"/>
  </r>
  <r>
    <s v="850022820885"/>
    <x v="61"/>
    <s v="Natura's Creole Style Pasta Sauce With Vegetables 7.1 Oz"/>
    <n v="7.1"/>
    <x v="0"/>
    <d v="2021-11-02T00:00:00"/>
    <d v="2026-02-06T00:00:00"/>
    <s v="instacart"/>
    <n v="25352145"/>
    <n v="262547"/>
    <x v="0"/>
    <s v="Available"/>
    <x v="0"/>
    <x v="0"/>
  </r>
  <r>
    <s v="057000330019"/>
    <x v="19"/>
    <s v="Classico - Fire Roasted Tomato &amp; Garlic Spaghetti Pa"/>
    <n v="21.978764999999999"/>
    <x v="1"/>
    <d v="2021-10-28T00:00:00"/>
    <d v="2025-05-08T00:00:00"/>
    <s v="instacart"/>
    <s v=""/>
    <n v="266345"/>
    <x v="1"/>
    <s v="Available"/>
    <x v="1"/>
    <x v="0"/>
  </r>
  <r>
    <s v="074908324407"/>
    <x v="75"/>
    <s v="DelGrosso All Natural Pasta Sauce Mushroom"/>
    <n v="26"/>
    <x v="0"/>
    <d v="2021-10-28T00:00:00"/>
    <d v="2026-02-06T00:00:00"/>
    <s v="instacart"/>
    <n v="16991191"/>
    <n v="261838"/>
    <x v="0"/>
    <s v="Available"/>
    <x v="0"/>
    <x v="0"/>
  </r>
  <r>
    <s v="051000129109"/>
    <x v="45"/>
    <s v="PregoÂ® Roasted Garlic &amp; Herb Pasta Sauce 24.000 oz"/>
    <n v="24"/>
    <x v="0"/>
    <d v="2021-10-28T00:00:00"/>
    <d v="2026-02-07T00:00:00"/>
    <s v="instacart"/>
    <n v="36251"/>
    <n v="267008"/>
    <x v="0"/>
    <s v="Available"/>
    <x v="0"/>
    <x v="0"/>
  </r>
  <r>
    <s v="039396005092"/>
    <x v="95"/>
    <s v="DeNunzioâ€™s Specialty Foods Jarred Spaghetti Sauce"/>
    <m/>
    <x v="2"/>
    <d v="2021-11-01T00:00:00"/>
    <d v="2026-02-06T00:00:00"/>
    <s v="instacart"/>
    <s v=""/>
    <n v="264064"/>
    <x v="1"/>
    <s v="Available"/>
    <x v="1"/>
    <x v="0"/>
  </r>
  <r>
    <s v="855019004064"/>
    <x v="96"/>
    <s v="Michaels Of Brooklyn Fresh Tomato &amp; Basil 16 oz"/>
    <n v="16"/>
    <x v="0"/>
    <d v="2021-10-28T00:00:00"/>
    <d v="2026-02-06T00:00:00"/>
    <s v="instacart"/>
    <n v="1409099"/>
    <n v="264475"/>
    <x v="0"/>
    <s v="Available"/>
    <x v="0"/>
    <x v="0"/>
  </r>
  <r>
    <s v="195893990337"/>
    <x v="97"/>
    <s v="Classico Marinara Pasta Sauce, 24 OZ"/>
    <n v="24"/>
    <x v="0"/>
    <d v="2025-01-23T00:00:00"/>
    <d v="2026-02-04T00:00:00"/>
    <s v="instacart"/>
    <n v="28235195"/>
    <n v="266876"/>
    <x v="0"/>
    <s v="Available"/>
    <x v="0"/>
    <x v="0"/>
  </r>
  <r>
    <s v="648505540487"/>
    <x v="98"/>
    <s v="Lucini Organic Oil-Free Tuscan Tomato Marinara, 16.5 Oz"/>
    <n v="16.5"/>
    <x v="0"/>
    <d v="2023-08-03T00:00:00"/>
    <d v="2026-02-06T00:00:00"/>
    <s v="instacart"/>
    <s v=""/>
    <n v="266423"/>
    <x v="1"/>
    <s v="Available"/>
    <x v="1"/>
    <x v="0"/>
  </r>
  <r>
    <s v="072368420417"/>
    <x v="99"/>
    <s v="Delallo Pasta Sauce, Roasted Garlic"/>
    <n v="24"/>
    <x v="0"/>
    <d v="2021-10-28T00:00:00"/>
    <d v="2026-02-06T00:00:00"/>
    <s v="instacart"/>
    <s v=""/>
    <n v="264419"/>
    <x v="1"/>
    <s v="Available"/>
    <x v="1"/>
    <x v="0"/>
  </r>
  <r>
    <s v="036200219331"/>
    <x v="6"/>
    <s v="Bertolli Sauce, Olive Oil &amp; Garlic 24 Oz"/>
    <n v="24"/>
    <x v="0"/>
    <d v="2021-10-28T00:00:00"/>
    <d v="2026-02-07T00:00:00"/>
    <s v="instacart"/>
    <n v="16409122"/>
    <n v="264087"/>
    <x v="0"/>
    <s v="Available"/>
    <x v="0"/>
    <x v="0"/>
  </r>
  <r>
    <s v="098836100063"/>
    <x v="53"/>
    <s v="Scimeca's Famous Home Made Recipe Marinara Sauce"/>
    <n v="26"/>
    <x v="0"/>
    <d v="2021-10-28T00:00:00"/>
    <d v="2026-02-04T00:00:00"/>
    <s v="instacart"/>
    <n v="17617978"/>
    <n v="261840"/>
    <x v="0"/>
    <s v="Available"/>
    <x v="0"/>
    <x v="0"/>
  </r>
  <r>
    <s v="057000330002"/>
    <x v="19"/>
    <s v="CLASSICO - Italian Sausage, Peppers &amp; Onions Spaghetti Sauce."/>
    <n v="21.978764999999999"/>
    <x v="1"/>
    <d v="2021-10-28T00:00:00"/>
    <d v="2024-11-17T00:00:00"/>
    <s v="instacart"/>
    <s v=""/>
    <n v="264703"/>
    <x v="1"/>
    <s v="Available"/>
    <x v="1"/>
    <x v="0"/>
  </r>
  <r>
    <s v="811527000011"/>
    <x v="74"/>
    <s v="Capa Di Roma Marinara Sauce"/>
    <n v="24"/>
    <x v="0"/>
    <d v="2021-10-31T00:00:00"/>
    <d v="2026-02-01T00:00:00"/>
    <s v="instacart"/>
    <n v="110845"/>
    <n v="264336"/>
    <x v="0"/>
    <s v="Available"/>
    <x v="0"/>
    <x v="0"/>
  </r>
  <r>
    <s v="073214008988"/>
    <x v="14"/>
    <s v="Mezzetta Family Recipes Marinara Family Size - 32 Fl. Oz."/>
    <n v="32"/>
    <x v="1"/>
    <d v="2023-08-21T00:00:00"/>
    <d v="2026-02-06T00:00:00"/>
    <s v="instacart"/>
    <n v="31577329"/>
    <n v="266286"/>
    <x v="0"/>
    <s v="Available"/>
    <x v="0"/>
    <x v="0"/>
  </r>
  <r>
    <s v="860003305812"/>
    <x v="70"/>
    <s v="LIVWELL Calabrian Chili Pepper Romesco Sauce - 16 Oz"/>
    <n v="16"/>
    <x v="0"/>
    <d v="2023-01-18T00:00:00"/>
    <d v="2026-02-06T00:00:00"/>
    <s v="instacart"/>
    <n v="26633780"/>
    <n v="261734"/>
    <x v="0"/>
    <s v="Available"/>
    <x v="0"/>
    <x v="0"/>
  </r>
  <r>
    <s v="070900501211"/>
    <x v="30"/>
    <s v="Dei Fratelli Italian Sauce, All Purpose 28 oz"/>
    <n v="28"/>
    <x v="0"/>
    <d v="2021-10-28T00:00:00"/>
    <d v="2026-02-07T00:00:00"/>
    <s v="instacart"/>
    <n v="70095"/>
    <n v="262642"/>
    <x v="0"/>
    <s v="Available"/>
    <x v="0"/>
    <x v="0"/>
  </r>
  <r>
    <s v="072343000146"/>
    <x v="32"/>
    <s v="Generic Mid's Sausage Pasta Sauce"/>
    <n v="32"/>
    <x v="0"/>
    <d v="2021-10-28T00:00:00"/>
    <d v="2026-02-04T00:00:00"/>
    <s v="instacart"/>
    <s v=""/>
    <n v="264356"/>
    <x v="1"/>
    <s v="Available"/>
    <x v="1"/>
    <x v="0"/>
  </r>
  <r>
    <s v="811497008482"/>
    <x v="50"/>
    <s v="TantilloÂ® Reserve Porcini &amp; Black Truffle Pasta Sauce"/>
    <n v="21.2"/>
    <x v="0"/>
    <d v="2021-12-08T00:00:00"/>
    <d v="2026-02-05T00:00:00"/>
    <s v="instacart"/>
    <n v="26251381"/>
    <n v="264129"/>
    <x v="0"/>
    <s v="Available"/>
    <x v="0"/>
    <x v="0"/>
  </r>
  <r>
    <s v="710996009030"/>
    <x v="100"/>
    <s v="NONNA PIAS Puttanesca Pasta Sauce, 19.4 OZ"/>
    <n v="19.399999999999999"/>
    <x v="0"/>
    <d v="2025-01-22T00:00:00"/>
    <d v="2026-02-06T00:00:00"/>
    <s v="instacart"/>
    <n v="59114020"/>
    <n v="266931"/>
    <x v="0"/>
    <s v="Available"/>
    <x v="0"/>
    <x v="0"/>
  </r>
  <r>
    <s v="855019000318"/>
    <x v="44"/>
    <s v="Botticelli Pasta Sauce, Premium, Marinara 24 oz"/>
    <n v="24"/>
    <x v="0"/>
    <d v="2021-10-28T00:00:00"/>
    <d v="2026-02-06T00:00:00"/>
    <s v="instacart"/>
    <n v="2003474"/>
    <n v="267028"/>
    <x v="0"/>
    <s v="Available"/>
    <x v="0"/>
    <x v="0"/>
  </r>
  <r>
    <s v="074908370015"/>
    <x v="75"/>
    <s v="Delgrosso Organic Sauce Pasta Tmo Bsl - 24 Oz"/>
    <n v="24"/>
    <x v="0"/>
    <d v="2021-10-28T00:00:00"/>
    <d v="2026-02-06T00:00:00"/>
    <s v="instacart"/>
    <n v="16246254"/>
    <n v="264225"/>
    <x v="0"/>
    <s v="Available"/>
    <x v="0"/>
    <x v="0"/>
  </r>
  <r>
    <s v="728119198738"/>
    <x v="101"/>
    <s v="Cucina &amp; Amore Arrabbiata Pasta Sauce"/>
    <n v="16.8"/>
    <x v="0"/>
    <d v="2021-10-28T00:00:00"/>
    <d v="2026-02-06T00:00:00"/>
    <s v="instacart"/>
    <n v="137063"/>
    <n v="264690"/>
    <x v="0"/>
    <s v="Available"/>
    <x v="0"/>
    <x v="0"/>
  </r>
  <r>
    <s v="897712001087"/>
    <x v="84"/>
    <s v="Lidias Pasta Sauce Vodka Jar - 25 Oz"/>
    <n v="25"/>
    <x v="0"/>
    <d v="2021-10-28T00:00:00"/>
    <d v="2026-02-06T00:00:00"/>
    <s v="instacart"/>
    <n v="98545"/>
    <n v="266380"/>
    <x v="0"/>
    <s v="Available"/>
    <x v="0"/>
    <x v="0"/>
  </r>
  <r>
    <s v="036200431795"/>
    <x v="102"/>
    <s v="Cucina Moderna Fire Roasted Vodka Sauce Pasta - 20 Oz"/>
    <n v="20"/>
    <x v="0"/>
    <d v="2023-06-25T00:00:00"/>
    <d v="2026-02-05T00:00:00"/>
    <s v="instacart"/>
    <n v="31998848"/>
    <n v="261527"/>
    <x v="0"/>
    <s v="Available"/>
    <x v="0"/>
    <x v="0"/>
  </r>
  <r>
    <s v="036200013649"/>
    <x v="15"/>
    <s v="Ragu Sauce, Mama's Special Garden, Chunky 24 oz"/>
    <n v="24"/>
    <x v="0"/>
    <d v="2021-10-28T00:00:00"/>
    <d v="2026-02-07T00:00:00"/>
    <s v="instacart"/>
    <n v="123550"/>
    <n v="266430"/>
    <x v="0"/>
    <s v="Available"/>
    <x v="0"/>
    <x v="0"/>
  </r>
  <r>
    <s v="073214008490"/>
    <x v="14"/>
    <s v="Mezzetta Marinara, Truffle, Porcini &amp; Cream 24 oz"/>
    <n v="24"/>
    <x v="0"/>
    <d v="2021-10-28T00:00:00"/>
    <d v="2026-02-06T00:00:00"/>
    <s v="instacart"/>
    <n v="23898034"/>
    <n v="261888"/>
    <x v="0"/>
    <s v="Available"/>
    <x v="0"/>
    <x v="0"/>
  </r>
  <r>
    <s v="761956127806"/>
    <x v="90"/>
    <s v="Ginos Marinara Sauce With Mushrooms"/>
    <n v="24"/>
    <x v="0"/>
    <d v="2021-10-28T00:00:00"/>
    <d v="2026-02-04T00:00:00"/>
    <s v="instacart"/>
    <s v=""/>
    <n v="262032"/>
    <x v="1"/>
    <s v="Available"/>
    <x v="1"/>
    <x v="0"/>
  </r>
  <r>
    <s v="759110325939"/>
    <x v="38"/>
    <s v="GERARDOS MARINA"/>
    <n v="32"/>
    <x v="0"/>
    <d v="2021-10-31T00:00:00"/>
    <d v="2026-02-04T00:00:00"/>
    <s v="instacart"/>
    <s v=""/>
    <n v="266640"/>
    <x v="1"/>
    <s v="Missing"/>
    <x v="1"/>
    <x v="1"/>
  </r>
  <r>
    <s v="070796900143"/>
    <x v="10"/>
    <s v="Cento Pasta Sauce Marinara Passata - 25 Oz"/>
    <n v="26"/>
    <x v="0"/>
    <d v="2021-10-28T00:00:00"/>
    <d v="2026-02-06T00:00:00"/>
    <s v="instacart"/>
    <n v="73868"/>
    <n v="262213"/>
    <x v="0"/>
    <s v="Available"/>
    <x v="0"/>
    <x v="0"/>
  </r>
  <r>
    <s v="780961206245"/>
    <x v="38"/>
    <s v="Isola Marinara Pasta Sauce"/>
    <n v="25"/>
    <x v="0"/>
    <d v="2021-10-31T00:00:00"/>
    <d v="2026-02-03T00:00:00"/>
    <s v="instacart"/>
    <n v="2586915"/>
    <n v="264049"/>
    <x v="0"/>
    <s v="Missing"/>
    <x v="0"/>
    <x v="1"/>
  </r>
  <r>
    <s v="033157500024"/>
    <x v="103"/>
    <s v="Don Pomodoro Sauce Arrabbiata Jar - 24.3 Oz"/>
    <n v="24.3"/>
    <x v="0"/>
    <d v="2021-10-28T00:00:00"/>
    <d v="2026-02-06T00:00:00"/>
    <s v="instacart"/>
    <n v="80798"/>
    <n v="266290"/>
    <x v="0"/>
    <s v="Available"/>
    <x v="0"/>
    <x v="0"/>
  </r>
  <r>
    <s v="036200014110"/>
    <x v="15"/>
    <s v="RAGU SPAGHETTI SAUCE MEAT"/>
    <n v="45"/>
    <x v="0"/>
    <d v="2021-10-28T00:00:00"/>
    <d v="2026-02-07T00:00:00"/>
    <s v="instacart"/>
    <n v="16408773"/>
    <n v="264045"/>
    <x v="0"/>
    <s v="Available"/>
    <x v="0"/>
    <x v="0"/>
  </r>
  <r>
    <s v="868391000357"/>
    <x v="20"/>
    <s v="Yo Mamas Foods Tomato Sauce Bellisima Basil - 25 Oz"/>
    <n v="25"/>
    <x v="0"/>
    <d v="2021-10-28T00:00:00"/>
    <d v="2026-02-06T00:00:00"/>
    <s v="instacart"/>
    <n v="18688750"/>
    <n v="266317"/>
    <x v="0"/>
    <s v="Available"/>
    <x v="0"/>
    <x v="0"/>
  </r>
  <r>
    <s v="057000330125"/>
    <x v="19"/>
    <s v="Classico - Di Firenze Florentine Spinach &amp; Cheese Pasta Sauce"/>
    <n v="21.978764999999999"/>
    <x v="1"/>
    <d v="2021-10-28T00:00:00"/>
    <d v="2025-06-05T00:00:00"/>
    <s v="instacart"/>
    <s v=""/>
    <n v="264436"/>
    <x v="1"/>
    <s v="Available"/>
    <x v="1"/>
    <x v="0"/>
  </r>
  <r>
    <s v="041129631102"/>
    <x v="19"/>
    <s v="Classico Spicy Tomato &amp; Basil Pasta Sauce - 24 Oz"/>
    <n v="24"/>
    <x v="0"/>
    <d v="2021-10-28T00:00:00"/>
    <d v="2026-02-06T00:00:00"/>
    <s v="instacart"/>
    <n v="73915"/>
    <n v="266356"/>
    <x v="0"/>
    <s v="Available"/>
    <x v="0"/>
    <x v="0"/>
  </r>
  <r>
    <s v="860006342326"/>
    <x v="53"/>
    <s v="Fontecchio's Gourmet Marinara Sauce"/>
    <n v="25"/>
    <x v="1"/>
    <d v="2021-11-07T00:00:00"/>
    <d v="2026-02-03T00:00:00"/>
    <s v="instacart"/>
    <n v="26025551"/>
    <n v="267045"/>
    <x v="0"/>
    <s v="Available"/>
    <x v="0"/>
    <x v="0"/>
  </r>
  <r>
    <s v="747479001076"/>
    <x v="2"/>
    <s v="Rao's Homemade Roasted Garlic Sauce, 2 pk./22 oz."/>
    <n v="9.0909000000000004E-2"/>
    <x v="0"/>
    <d v="2024-09-26T00:00:00"/>
    <d v="2026-01-23T00:00:00"/>
    <s v="instacart"/>
    <s v=""/>
    <n v="266801"/>
    <x v="1"/>
    <s v="Available"/>
    <x v="1"/>
    <x v="0"/>
  </r>
  <r>
    <s v="861938000339"/>
    <x v="38"/>
    <s v="Antonio Carlo Gourmet Sauce, Roasted Garlic, 24 oz"/>
    <n v="24"/>
    <x v="0"/>
    <d v="2022-11-27T00:00:00"/>
    <d v="2026-02-05T00:00:00"/>
    <s v="instacart"/>
    <n v="19516364"/>
    <n v="266417"/>
    <x v="0"/>
    <s v="Missing"/>
    <x v="0"/>
    <x v="1"/>
  </r>
  <r>
    <s v="747479101905"/>
    <x v="49"/>
    <s v="Rao's Homemade Roasted Red Pepper Sauce, Red Pepper Pasta Sauce, 24 Oz"/>
    <n v="24"/>
    <x v="0"/>
    <d v="2024-01-31T00:00:00"/>
    <d v="2026-02-06T00:00:00"/>
    <s v="instacart"/>
    <n v="36930214"/>
    <n v="266581"/>
    <x v="0"/>
    <s v="Available"/>
    <x v="0"/>
    <x v="0"/>
  </r>
  <r>
    <s v="400021776241"/>
    <x v="5"/>
    <s v="Prego Traditional Italian Sauce 24 oz (1 lb 8 oz) 680 g"/>
    <n v="24"/>
    <x v="0"/>
    <d v="2021-10-28T00:00:00"/>
    <d v="2026-02-07T00:00:00"/>
    <s v="instacart"/>
    <n v="39349"/>
    <n v="266411"/>
    <x v="0"/>
    <s v="Available"/>
    <x v="0"/>
    <x v="0"/>
  </r>
  <r>
    <s v="041129077696"/>
    <x v="19"/>
    <s v="Classico Sun-Dried Tomato Alfredo Spaghetti Pasta Sauce, 15 oz. Jar"/>
    <n v="15"/>
    <x v="0"/>
    <d v="2021-10-28T00:00:00"/>
    <d v="2026-02-06T00:00:00"/>
    <s v="instacart"/>
    <n v="143282"/>
    <n v="262286"/>
    <x v="0"/>
    <s v="Available"/>
    <x v="0"/>
    <x v="0"/>
  </r>
  <r>
    <s v="036200431009"/>
    <x v="15"/>
    <s v="Ragu Sauce, Chunky Garden Vegetable 24 oz"/>
    <n v="24"/>
    <x v="0"/>
    <d v="2021-10-28T00:00:00"/>
    <d v="2026-02-06T00:00:00"/>
    <s v="instacart"/>
    <n v="18581123"/>
    <n v="266915"/>
    <x v="0"/>
    <s v="Available"/>
    <x v="0"/>
    <x v="0"/>
  </r>
  <r>
    <s v="036200004685"/>
    <x v="15"/>
    <s v="Ragu Chunky Sauteed Onion and Garlic Pasta Sauce - 24 Oz"/>
    <n v="24"/>
    <x v="0"/>
    <d v="2021-10-28T00:00:00"/>
    <d v="2026-02-07T00:00:00"/>
    <s v="instacart"/>
    <n v="39214"/>
    <n v="261680"/>
    <x v="0"/>
    <s v="Available"/>
    <x v="0"/>
    <x v="0"/>
  </r>
  <r>
    <s v="816106020190"/>
    <x v="5"/>
    <s v="Prego Sweet Sausage and Roasted Peppers Pasta Sauce - 23.5 Oz"/>
    <n v="23.5"/>
    <x v="0"/>
    <d v="2021-10-28T00:00:00"/>
    <d v="2026-02-06T00:00:00"/>
    <s v="instacart"/>
    <n v="27126599"/>
    <n v="261766"/>
    <x v="0"/>
    <s v="Available"/>
    <x v="0"/>
    <x v="0"/>
  </r>
  <r>
    <s v="810095661877"/>
    <x v="104"/>
    <s v="Botticelli, Sauce Vodka Creamy Organic, 24 Ounce"/>
    <n v="24"/>
    <x v="0"/>
    <d v="2025-01-30T00:00:00"/>
    <d v="2026-02-06T00:00:00"/>
    <s v="instacart"/>
    <n v="66368531"/>
    <n v="267066"/>
    <x v="0"/>
    <s v="Available"/>
    <x v="0"/>
    <x v="0"/>
  </r>
  <r>
    <s v="779566121794"/>
    <x v="105"/>
    <s v="O' SOLE MIO Marinara Sauce"/>
    <n v="13"/>
    <x v="0"/>
    <d v="2021-10-28T00:00:00"/>
    <d v="2026-02-05T00:00:00"/>
    <s v="instacart"/>
    <n v="17554703"/>
    <n v="266641"/>
    <x v="0"/>
    <s v="Available"/>
    <x v="0"/>
    <x v="0"/>
  </r>
  <r>
    <s v="085917230528"/>
    <x v="106"/>
    <s v="Butternut Squash Pasta Sauce, 14.5 oz"/>
    <n v="15"/>
    <x v="0"/>
    <d v="2023-10-11T00:00:00"/>
    <d v="2025-10-31T00:00:00"/>
    <s v="instacart"/>
    <s v=""/>
    <n v="261758"/>
    <x v="1"/>
    <s v="Available"/>
    <x v="1"/>
    <x v="0"/>
  </r>
  <r>
    <s v="036200004449"/>
    <x v="15"/>
    <s v="Ragu Sauce, Garden Combination, Chunky 24 Oz"/>
    <n v="24"/>
    <x v="0"/>
    <d v="2021-10-28T00:00:00"/>
    <d v="2026-02-07T00:00:00"/>
    <s v="instacart"/>
    <n v="77103"/>
    <n v="264273"/>
    <x v="0"/>
    <s v="Available"/>
    <x v="0"/>
    <x v="0"/>
  </r>
  <r>
    <s v="073214008452"/>
    <x v="38"/>
    <s v="mezzetta pasta sauce caramelized onion marinara"/>
    <n v="24"/>
    <x v="0"/>
    <d v="2021-10-28T00:00:00"/>
    <d v="2026-02-05T00:00:00"/>
    <s v="instacart"/>
    <n v="16792964"/>
    <n v="266431"/>
    <x v="0"/>
    <s v="Missing"/>
    <x v="0"/>
    <x v="1"/>
  </r>
  <r>
    <s v="855019004286"/>
    <x v="96"/>
    <s v="Michaels Of Brooklyn Vodka Sauce - 15 Oz"/>
    <n v="15"/>
    <x v="0"/>
    <d v="2023-11-08T00:00:00"/>
    <d v="2026-02-06T00:00:00"/>
    <s v="instacart"/>
    <n v="33264218"/>
    <n v="264109"/>
    <x v="0"/>
    <s v="Available"/>
    <x v="0"/>
    <x v="0"/>
  </r>
  <r>
    <s v="850016688033"/>
    <x v="107"/>
    <s v="Fra Diavolo Sauce, 25 OZ"/>
    <n v="25"/>
    <x v="0"/>
    <d v="2023-02-12T00:00:00"/>
    <d v="2026-02-03T00:00:00"/>
    <s v="instacart"/>
    <s v=""/>
    <n v="267013"/>
    <x v="1"/>
    <s v="Available"/>
    <x v="1"/>
    <x v="0"/>
  </r>
  <r>
    <s v="065302300036"/>
    <x v="108"/>
    <s v="Authentica - World Cuisine Puttanesca Sauce"/>
    <n v="17.921147000000001"/>
    <x v="1"/>
    <d v="2021-10-28T00:00:00"/>
    <d v="2025-06-22T00:00:00"/>
    <s v="instacart"/>
    <s v=""/>
    <n v="266342"/>
    <x v="1"/>
    <s v="Available"/>
    <x v="1"/>
    <x v="0"/>
  </r>
  <r>
    <s v="852662649031"/>
    <x v="88"/>
    <s v="Kissino All Natural Original Marinara Pasta Sauce - 25 Oz"/>
    <n v="25"/>
    <x v="0"/>
    <d v="2021-10-28T00:00:00"/>
    <d v="2026-02-05T00:00:00"/>
    <s v="instacart"/>
    <s v=""/>
    <n v="266293"/>
    <x v="1"/>
    <s v="Available"/>
    <x v="1"/>
    <x v="0"/>
  </r>
  <r>
    <s v="020662006134"/>
    <x v="34"/>
    <s v="Newmans Own Marinara Pasta Sauce - 24 Oz"/>
    <n v="24"/>
    <x v="0"/>
    <d v="2021-10-28T00:00:00"/>
    <d v="2026-02-07T00:00:00"/>
    <s v="instacart"/>
    <n v="19974011"/>
    <n v="264558"/>
    <x v="0"/>
    <s v="Available"/>
    <x v="0"/>
    <x v="0"/>
  </r>
  <r>
    <s v="641208990931"/>
    <x v="1"/>
    <s v="Carfagna's Pasta Sauce, The Sicilian 1 qt"/>
    <n v="32"/>
    <x v="0"/>
    <d v="2021-10-28T00:00:00"/>
    <d v="2026-02-06T00:00:00"/>
    <s v="instacart"/>
    <n v="16948718"/>
    <n v="266362"/>
    <x v="0"/>
    <s v="Available"/>
    <x v="0"/>
    <x v="0"/>
  </r>
  <r>
    <s v="710069705074"/>
    <x v="69"/>
    <s v="Gefen Pasta Sauce Classic Marinara - 26 Oz"/>
    <n v="26"/>
    <x v="0"/>
    <d v="2021-10-28T00:00:00"/>
    <d v="2026-02-06T00:00:00"/>
    <s v="instacart"/>
    <n v="1389848"/>
    <n v="262583"/>
    <x v="0"/>
    <s v="Available"/>
    <x v="0"/>
    <x v="0"/>
  </r>
  <r>
    <s v="897383001034"/>
    <x v="109"/>
    <s v="Spinellis Sauce Co Classic Marinara Sauce, 26 Oz"/>
    <n v="26"/>
    <x v="0"/>
    <d v="2021-10-28T00:00:00"/>
    <d v="2026-02-06T00:00:00"/>
    <s v="instacart"/>
    <n v="232483"/>
    <n v="266828"/>
    <x v="0"/>
    <s v="Available"/>
    <x v="0"/>
    <x v="0"/>
  </r>
  <r>
    <s v="015229411599"/>
    <x v="110"/>
    <s v="Sacla' Tomato &amp; Roasted Garlic Pasta Sauce, 24.0 oz"/>
    <n v="24"/>
    <x v="0"/>
    <d v="2021-10-28T00:00:00"/>
    <d v="2026-02-06T00:00:00"/>
    <s v="instacart"/>
    <n v="18283099"/>
    <n v="264297"/>
    <x v="0"/>
    <s v="Available"/>
    <x v="0"/>
    <x v="0"/>
  </r>
  <r>
    <s v="198715839708"/>
    <x v="97"/>
    <s v="Creamy Calabrian Marinara Pasta Sauce, 24 OZ"/>
    <n v="24"/>
    <x v="0"/>
    <d v="2025-01-23T00:00:00"/>
    <d v="2026-02-04T00:00:00"/>
    <s v="instacart"/>
    <n v="64188277"/>
    <n v="266305"/>
    <x v="0"/>
    <s v="Available"/>
    <x v="0"/>
    <x v="0"/>
  </r>
  <r>
    <s v="859210004021"/>
    <x v="111"/>
    <s v="Classic Spicy Tomato Sauce, 16 OZ"/>
    <n v="16"/>
    <x v="0"/>
    <d v="2021-10-31T00:00:00"/>
    <d v="2026-02-04T00:00:00"/>
    <s v="instacart"/>
    <s v=""/>
    <n v="261736"/>
    <x v="1"/>
    <s v="Available"/>
    <x v="1"/>
    <x v="0"/>
  </r>
  <r>
    <s v="811497008468"/>
    <x v="50"/>
    <s v="TantilloÂ® Reserve Tomato &amp; Basil Pasta Sauce"/>
    <n v="21.2"/>
    <x v="0"/>
    <d v="2021-12-08T00:00:00"/>
    <d v="2026-02-05T00:00:00"/>
    <s v="instacart"/>
    <n v="26251302"/>
    <n v="264746"/>
    <x v="0"/>
    <s v="Available"/>
    <x v="0"/>
    <x v="0"/>
  </r>
  <r>
    <s v="863957000215"/>
    <x v="112"/>
    <s v="Sauce Spicy Tomato, 24 OZ"/>
    <n v="24"/>
    <x v="0"/>
    <d v="2021-10-31T00:00:00"/>
    <d v="2026-02-04T00:00:00"/>
    <s v="instacart"/>
    <s v=""/>
    <n v="261531"/>
    <x v="1"/>
    <s v="Available"/>
    <x v="1"/>
    <x v="0"/>
  </r>
  <r>
    <s v="648505540517"/>
    <x v="113"/>
    <s v="Organic Rustic Tomato Basil Pasta Sauce, 16.5 OZ"/>
    <n v="16.5"/>
    <x v="0"/>
    <d v="2023-08-03T00:00:00"/>
    <d v="2026-02-04T00:00:00"/>
    <s v="instacart"/>
    <s v=""/>
    <n v="266564"/>
    <x v="1"/>
    <s v="Available"/>
    <x v="1"/>
    <x v="0"/>
  </r>
  <r>
    <s v="863996000221"/>
    <x v="114"/>
    <s v="Hoboken Farms Basil Marinara Sauce 25 oz"/>
    <n v="25"/>
    <x v="0"/>
    <d v="2021-10-28T00:00:00"/>
    <d v="2026-02-06T00:00:00"/>
    <s v="instacart"/>
    <n v="16400724"/>
    <n v="264029"/>
    <x v="0"/>
    <s v="Available"/>
    <x v="0"/>
    <x v="0"/>
  </r>
  <r>
    <s v="051000284310"/>
    <x v="5"/>
    <s v="Prego Cremini Pomodoro with Roasted Garlic Italian Sauce 23.5 oz (1 lb 7.5 oz) 666 g"/>
    <n v="24"/>
    <x v="0"/>
    <d v="2022-06-15T00:00:00"/>
    <d v="2026-02-06T00:00:00"/>
    <s v="instacart"/>
    <n v="27126675"/>
    <n v="266409"/>
    <x v="0"/>
    <s v="Available"/>
    <x v="0"/>
    <x v="0"/>
  </r>
  <r>
    <s v="747479001038"/>
    <x v="49"/>
    <s v="Rao's Homemade Vodka Sauce, 22 oz., 2 pk."/>
    <n v="44"/>
    <x v="0"/>
    <d v="2024-08-22T00:00:00"/>
    <d v="2026-02-05T00:00:00"/>
    <s v="instacart"/>
    <n v="56218215"/>
    <n v="262647"/>
    <x v="0"/>
    <s v="Available"/>
    <x v="0"/>
    <x v="0"/>
  </r>
  <r>
    <s v="853507008945"/>
    <x v="38"/>
    <s v="wise pies classic marinara"/>
    <n v="24"/>
    <x v="0"/>
    <d v="2023-12-17T00:00:00"/>
    <d v="2026-02-01T00:00:00"/>
    <s v="instacart"/>
    <s v=""/>
    <n v="266650"/>
    <x v="1"/>
    <s v="Missing"/>
    <x v="1"/>
    <x v="1"/>
  </r>
  <r>
    <s v="074908360597"/>
    <x v="75"/>
    <s v="DelGrosso Aunt Cindy's Roasted Garlic Pasta Sauce, 26 oz"/>
    <n v="26"/>
    <x v="0"/>
    <d v="2021-10-28T00:00:00"/>
    <d v="2026-02-06T00:00:00"/>
    <s v="instacart"/>
    <n v="196353"/>
    <n v="264190"/>
    <x v="0"/>
    <s v="Available"/>
    <x v="0"/>
    <x v="0"/>
  </r>
  <r>
    <s v="861938000315"/>
    <x v="38"/>
    <s v="Antonio Carlo Handcrafted Original Recipe Marinara Sauce"/>
    <n v="24"/>
    <x v="0"/>
    <d v="2021-10-28T00:00:00"/>
    <d v="2026-02-05T00:00:00"/>
    <s v="instacart"/>
    <n v="19536888"/>
    <n v="264227"/>
    <x v="0"/>
    <s v="Missing"/>
    <x v="0"/>
    <x v="1"/>
  </r>
  <r>
    <s v="850016688002"/>
    <x v="107"/>
    <s v="Marinara Sauce, 25 OZ"/>
    <n v="25"/>
    <x v="0"/>
    <d v="2022-07-10T00:00:00"/>
    <d v="2026-02-04T00:00:00"/>
    <s v="instacart"/>
    <n v="26604723"/>
    <n v="264568"/>
    <x v="0"/>
    <s v="Available"/>
    <x v="0"/>
    <x v="0"/>
  </r>
  <r>
    <s v="850041276137"/>
    <x v="115"/>
    <s v="Sauz Vodka Sauce Creamy Calabrian - 25 OZ"/>
    <n v="25"/>
    <x v="0"/>
    <d v="2024-05-23T00:00:00"/>
    <d v="2026-02-06T00:00:00"/>
    <s v="instacart"/>
    <n v="41164273"/>
    <n v="261599"/>
    <x v="0"/>
    <s v="Available"/>
    <x v="0"/>
    <x v="0"/>
  </r>
  <r>
    <s v="026825008939"/>
    <x v="116"/>
    <s v="Gia Russa Pasta Sauce, Select, Marinara 24 Oz"/>
    <n v="24"/>
    <x v="0"/>
    <d v="2021-10-28T00:00:00"/>
    <d v="2026-02-06T00:00:00"/>
    <s v="instacart"/>
    <n v="73928"/>
    <n v="261519"/>
    <x v="0"/>
    <s v="Available"/>
    <x v="0"/>
    <x v="0"/>
  </r>
  <r>
    <s v="036200038307"/>
    <x v="15"/>
    <s v="Ragu Old World Style Traditional Sauce 24 oz"/>
    <n v="24"/>
    <x v="0"/>
    <d v="2021-10-28T00:00:00"/>
    <d v="2026-02-07T00:00:00"/>
    <s v="instacart"/>
    <n v="143265"/>
    <n v="264159"/>
    <x v="0"/>
    <s v="Available"/>
    <x v="0"/>
    <x v="0"/>
  </r>
  <r>
    <s v="846558000006"/>
    <x v="117"/>
    <s v="Pomi Marinara Sauce 26.46 Oz"/>
    <n v="26.46"/>
    <x v="0"/>
    <d v="2021-10-28T00:00:00"/>
    <d v="2026-02-06T00:00:00"/>
    <s v="instacart"/>
    <n v="24802"/>
    <n v="266977"/>
    <x v="0"/>
    <s v="Available"/>
    <x v="0"/>
    <x v="0"/>
  </r>
  <r>
    <s v="086706801721"/>
    <x v="38"/>
    <s v="Giusto Sapore Tomato and Basil Sauce"/>
    <n v="24"/>
    <x v="0"/>
    <d v="2022-12-03T00:00:00"/>
    <d v="2026-02-06T00:00:00"/>
    <s v="instacart"/>
    <n v="19870284"/>
    <n v="264734"/>
    <x v="0"/>
    <s v="Missing"/>
    <x v="0"/>
    <x v="1"/>
  </r>
  <r>
    <s v="076050800266"/>
    <x v="13"/>
    <s v="Paesana Organic Sicilian Gravy Sauce - 25OZ"/>
    <n v="25"/>
    <x v="0"/>
    <d v="2021-10-28T00:00:00"/>
    <d v="2026-02-06T00:00:00"/>
    <s v="instacart"/>
    <n v="17525660"/>
    <n v="267014"/>
    <x v="0"/>
    <s v="Available"/>
    <x v="0"/>
    <x v="0"/>
  </r>
  <r>
    <s v="089397111841"/>
    <x v="71"/>
    <s v="Raccnto Riserva Marinara - 24 Oz"/>
    <n v="24"/>
    <x v="0"/>
    <d v="2021-10-28T00:00:00"/>
    <d v="2025-10-31T00:00:00"/>
    <s v="instacart"/>
    <n v="19764867"/>
    <n v="264339"/>
    <x v="0"/>
    <s v="Available"/>
    <x v="0"/>
    <x v="0"/>
  </r>
  <r>
    <s v="711381321072"/>
    <x v="91"/>
    <s v="Stonewall Kitchen Butternut Squash Pasta Sauce, 18.5 oz"/>
    <n v="1"/>
    <x v="0"/>
    <d v="2021-10-29T00:00:00"/>
    <d v="2026-02-06T00:00:00"/>
    <s v="instacart"/>
    <n v="2358220"/>
    <n v="264043"/>
    <x v="0"/>
    <s v="Available"/>
    <x v="0"/>
    <x v="0"/>
  </r>
  <r>
    <s v="812334030000"/>
    <x v="118"/>
    <s v="Campo Doro Pasta Sauce Sicilian Cherry Tomatoes - 6.35 OZ"/>
    <n v="6.3"/>
    <x v="0"/>
    <d v="2023-10-08T00:00:00"/>
    <d v="2026-02-06T00:00:00"/>
    <s v="instacart"/>
    <n v="34962112"/>
    <n v="266370"/>
    <x v="0"/>
    <s v="Available"/>
    <x v="0"/>
    <x v="0"/>
  </r>
  <r>
    <s v="085917230603"/>
    <x v="119"/>
    <s v="BELLA ITALIA Organic Tomato &amp; Basil Pasta Sauce, 13.9 OZ"/>
    <n v="13.9"/>
    <x v="0"/>
    <d v="2025-05-21T00:00:00"/>
    <d v="2026-02-06T00:00:00"/>
    <s v="instacart"/>
    <n v="80078914"/>
    <n v="264026"/>
    <x v="0"/>
    <s v="Available"/>
    <x v="0"/>
    <x v="0"/>
  </r>
  <r>
    <s v="098836100056"/>
    <x v="53"/>
    <s v="Scimeca's Famous Home Made Recipe Spaghetti Sauce"/>
    <n v="26"/>
    <x v="0"/>
    <d v="2021-10-28T00:00:00"/>
    <d v="2026-02-04T00:00:00"/>
    <s v="instacart"/>
    <n v="17617977"/>
    <n v="262253"/>
    <x v="0"/>
    <s v="Available"/>
    <x v="0"/>
    <x v="0"/>
  </r>
  <r>
    <s v="860009228962"/>
    <x v="48"/>
    <s v="Jersey Italian Gravy Clasic Marinara, 12 PK"/>
    <m/>
    <x v="2"/>
    <d v="2023-03-24T00:00:00"/>
    <d v="2023-06-22T00:00:00"/>
    <s v="instacart"/>
    <s v=""/>
    <n v="266447"/>
    <x v="1"/>
    <s v="Available"/>
    <x v="1"/>
    <x v="0"/>
  </r>
  <r>
    <s v="036200219225"/>
    <x v="6"/>
    <s v="Bertolli Sauce, Five Cheese 24 oz"/>
    <n v="24"/>
    <x v="0"/>
    <d v="2021-10-28T00:00:00"/>
    <d v="2026-02-07T00:00:00"/>
    <s v="instacart"/>
    <n v="123498"/>
    <n v="267069"/>
    <x v="0"/>
    <s v="Available"/>
    <x v="0"/>
    <x v="0"/>
  </r>
  <r>
    <s v="072368420424"/>
    <x v="99"/>
    <s v="Delallo Pasta Sauce, Premium, Tomato Basil"/>
    <n v="24"/>
    <x v="0"/>
    <d v="2021-10-28T00:00:00"/>
    <d v="2026-02-06T00:00:00"/>
    <s v="instacart"/>
    <n v="2870612"/>
    <n v="264755"/>
    <x v="0"/>
    <s v="Available"/>
    <x v="0"/>
    <x v="0"/>
  </r>
  <r>
    <s v="609231000027"/>
    <x v="81"/>
    <s v="Boves Pasta Sauce Roasted Garlic - 24 Oz"/>
    <n v="24"/>
    <x v="0"/>
    <d v="2021-10-28T00:00:00"/>
    <d v="2026-02-06T00:00:00"/>
    <s v="instacart"/>
    <n v="53392"/>
    <n v="266328"/>
    <x v="0"/>
    <s v="Available"/>
    <x v="0"/>
    <x v="0"/>
  </r>
  <r>
    <s v="745051931919"/>
    <x v="120"/>
    <s v="Yo Mama's Foods Spicy Marinara Sauce"/>
    <m/>
    <x v="2"/>
    <d v="2022-11-01T00:00:00"/>
    <d v="2023-06-22T00:00:00"/>
    <s v="instacart"/>
    <s v=""/>
    <n v="266446"/>
    <x v="1"/>
    <s v="Available"/>
    <x v="1"/>
    <x v="0"/>
  </r>
  <r>
    <s v="856781008328"/>
    <x v="121"/>
    <s v="Le Sauce &amp; Co. Classic Marinara Gourmet Pasta Sauce, 8.8 oz, 2 Serving Pouch"/>
    <n v="8.8000000000000007"/>
    <x v="0"/>
    <d v="2024-12-12T00:00:00"/>
    <d v="2026-02-06T00:00:00"/>
    <s v="instacart"/>
    <n v="53639591"/>
    <n v="264123"/>
    <x v="0"/>
    <s v="Available"/>
    <x v="0"/>
    <x v="0"/>
  </r>
  <r>
    <s v="036200914984"/>
    <x v="15"/>
    <s v="Ragu Chunky Garden Combination Pasta Sauce"/>
    <n v="45"/>
    <x v="0"/>
    <d v="2021-11-01T00:00:00"/>
    <d v="2025-03-28T00:00:00"/>
    <s v="instacart"/>
    <s v=""/>
    <n v="261650"/>
    <x v="1"/>
    <s v="Available"/>
    <x v="1"/>
    <x v="0"/>
  </r>
  <r>
    <s v="036200431511"/>
    <x v="15"/>
    <s v="Ragu Sauce, Traditional, Old World Style 4 Ea"/>
    <n v="17.600000000000001"/>
    <x v="0"/>
    <d v="2021-10-28T00:00:00"/>
    <d v="2025-08-31T00:00:00"/>
    <s v="instacart"/>
    <s v=""/>
    <n v="266452"/>
    <x v="1"/>
    <s v="Available"/>
    <x v="1"/>
    <x v="0"/>
  </r>
  <r>
    <s v="747479500432"/>
    <x v="7"/>
    <s v="Rao's, Reserve Balsamic Marinara Pasta Sauce, 19 Oz"/>
    <n v="19"/>
    <x v="0"/>
    <d v="2023-11-02T00:00:00"/>
    <d v="2026-02-06T00:00:00"/>
    <s v="instacart"/>
    <n v="35599661"/>
    <n v="261494"/>
    <x v="0"/>
    <s v="Available"/>
    <x v="0"/>
    <x v="0"/>
  </r>
  <r>
    <s v="850017990029"/>
    <x v="122"/>
    <s v="Carmine's Homemade Classic Italian Fra Diavolo Sauce, 32 oz"/>
    <n v="32"/>
    <x v="0"/>
    <d v="2023-01-22T00:00:00"/>
    <d v="2026-02-04T00:00:00"/>
    <s v="instacart"/>
    <n v="27721530"/>
    <n v="267090"/>
    <x v="0"/>
    <s v="Available"/>
    <x v="0"/>
    <x v="0"/>
  </r>
  <r>
    <s v="070796900136"/>
    <x v="10"/>
    <s v="CENTO Hot Spicy Arrabbiata Pasta Sauce, 25.5 oz"/>
    <n v="24"/>
    <x v="0"/>
    <d v="2021-10-31T00:00:00"/>
    <d v="2026-02-06T00:00:00"/>
    <s v="instacart"/>
    <n v="73898"/>
    <n v="261869"/>
    <x v="0"/>
    <s v="Available"/>
    <x v="0"/>
    <x v="0"/>
  </r>
  <r>
    <s v="027000500149"/>
    <x v="24"/>
    <s v="Huntâ€™s Roasted Garlic &amp; Onion Pasta Sauce, 24 oz. Can"/>
    <n v="24"/>
    <x v="0"/>
    <d v="2021-10-28T00:00:00"/>
    <d v="2026-02-07T00:00:00"/>
    <s v="instacart"/>
    <n v="36101"/>
    <n v="262290"/>
    <x v="0"/>
    <s v="Available"/>
    <x v="0"/>
    <x v="0"/>
  </r>
  <r>
    <s v="024722000032"/>
    <x v="38"/>
    <s v="Annarino's Meat Italian Sauce"/>
    <n v="32"/>
    <x v="1"/>
    <d v="2021-11-03T00:00:00"/>
    <d v="2026-02-05T00:00:00"/>
    <s v="instacart"/>
    <n v="17183054"/>
    <n v="262622"/>
    <x v="0"/>
    <s v="Missing"/>
    <x v="0"/>
    <x v="1"/>
  </r>
  <r>
    <s v="745051931926"/>
    <x v="120"/>
    <s v="Yo Mama's Foods Spicy Marinara Sauce, 2 PK"/>
    <m/>
    <x v="2"/>
    <d v="2022-11-01T00:00:00"/>
    <d v="2023-06-22T00:00:00"/>
    <s v="instacart"/>
    <s v=""/>
    <n v="262602"/>
    <x v="1"/>
    <s v="Available"/>
    <x v="1"/>
    <x v="0"/>
  </r>
  <r>
    <s v="872408004214"/>
    <x v="123"/>
    <s v="Mama Mancini's Spaghetti Sauce &amp; Beef Meatballs"/>
    <m/>
    <x v="2"/>
    <d v="2022-07-27T00:00:00"/>
    <d v="2023-09-13T00:00:00"/>
    <s v="instacart"/>
    <s v=""/>
    <n v="262610"/>
    <x v="1"/>
    <s v="Available"/>
    <x v="1"/>
    <x v="0"/>
  </r>
  <r>
    <s v="856781008373"/>
    <x v="121"/>
    <s v="Le Sauce &amp; Co. Spicy Pomodoro Gourmet Pasta Sauce, 8.8 oz, 2 Serving Pouch"/>
    <n v="8.8000000000000007"/>
    <x v="0"/>
    <d v="2025-06-15T00:00:00"/>
    <d v="2026-02-03T00:00:00"/>
    <s v="instacart"/>
    <n v="53639549"/>
    <n v="267074"/>
    <x v="0"/>
    <s v="Available"/>
    <x v="0"/>
    <x v="0"/>
  </r>
  <r>
    <s v="057000330163"/>
    <x v="19"/>
    <s v="Classico - Vodka Sauce Spaghetti Pasta Sauce"/>
    <n v="21.978764999999999"/>
    <x v="1"/>
    <d v="2021-10-28T00:00:00"/>
    <d v="2025-03-09T00:00:00"/>
    <s v="instacart"/>
    <s v=""/>
    <n v="262609"/>
    <x v="1"/>
    <s v="Available"/>
    <x v="1"/>
    <x v="0"/>
  </r>
  <r>
    <s v="020662000224"/>
    <x v="34"/>
    <s v="Newman's Own: Sockarooni Pasta Sauce, 24 Oz"/>
    <n v="24"/>
    <x v="0"/>
    <d v="2021-10-28T00:00:00"/>
    <d v="2026-02-07T00:00:00"/>
    <s v="instacart"/>
    <n v="77115"/>
    <n v="264718"/>
    <x v="0"/>
    <s v="Available"/>
    <x v="0"/>
    <x v="0"/>
  </r>
  <r>
    <s v="074908360115"/>
    <x v="75"/>
    <s v="Delgrosso Pasta Sauce, Pure Olive Oil &amp; Herbs"/>
    <n v="24"/>
    <x v="0"/>
    <d v="2021-10-28T00:00:00"/>
    <d v="2026-02-06T00:00:00"/>
    <s v="instacart"/>
    <n v="3363864"/>
    <n v="264745"/>
    <x v="0"/>
    <s v="Available"/>
    <x v="0"/>
    <x v="0"/>
  </r>
  <r>
    <s v="710996009016"/>
    <x v="100"/>
    <s v="NONNA PIAS Siciliana Pasta Sauce, 19.4 OZ"/>
    <n v="19.399999999999999"/>
    <x v="0"/>
    <d v="2025-01-22T00:00:00"/>
    <d v="2026-02-06T00:00:00"/>
    <s v="instacart"/>
    <n v="58276339"/>
    <n v="261502"/>
    <x v="0"/>
    <s v="Available"/>
    <x v="0"/>
    <x v="0"/>
  </r>
  <r>
    <s v="057000012458"/>
    <x v="19"/>
    <s v="Classico Four Cheese Pasta Sauce, Classico Tomato &amp; Four Cheese 600ML"/>
    <n v="20.288091000000001"/>
    <x v="1"/>
    <d v="2024-09-27T00:00:00"/>
    <d v="2026-02-05T00:00:00"/>
    <s v="instacart"/>
    <s v=""/>
    <n v="264214"/>
    <x v="1"/>
    <s v="Available"/>
    <x v="1"/>
    <x v="0"/>
  </r>
  <r>
    <s v="070234003801"/>
    <x v="38"/>
    <s v="Victoria - Cacciatore Simmer Sauce"/>
    <n v="16"/>
    <x v="0"/>
    <d v="2021-10-28T00:00:00"/>
    <d v="2026-02-06T00:00:00"/>
    <s v="instacart"/>
    <s v=""/>
    <n v="261522"/>
    <x v="1"/>
    <s v="Missing"/>
    <x v="1"/>
    <x v="1"/>
  </r>
  <r>
    <s v="072343000221"/>
    <x v="32"/>
    <s v="Mids Pasta Sauce"/>
    <n v="32"/>
    <x v="0"/>
    <d v="2021-10-28T00:00:00"/>
    <d v="2026-02-04T00:00:00"/>
    <s v="instacart"/>
    <s v=""/>
    <n v="266904"/>
    <x v="1"/>
    <s v="Available"/>
    <x v="1"/>
    <x v="0"/>
  </r>
  <r>
    <s v="066086090182"/>
    <x v="124"/>
    <s v="Pastene Sauce Tomato Basil - 24 Oz"/>
    <n v="24"/>
    <x v="0"/>
    <d v="2021-10-28T00:00:00"/>
    <d v="2026-02-06T00:00:00"/>
    <s v="instacart"/>
    <n v="3340288"/>
    <n v="261789"/>
    <x v="0"/>
    <s v="Available"/>
    <x v="0"/>
    <x v="0"/>
  </r>
  <r>
    <s v="747479500449"/>
    <x v="2"/>
    <s v="RAO'S Red Wine Marinara Limited Reserve"/>
    <n v="19"/>
    <x v="0"/>
    <d v="2024-09-01T00:00:00"/>
    <d v="2026-02-06T00:00:00"/>
    <s v="instacart"/>
    <n v="33264269"/>
    <n v="264135"/>
    <x v="0"/>
    <s v="Available"/>
    <x v="0"/>
    <x v="0"/>
  </r>
  <r>
    <s v="041498181550"/>
    <x v="125"/>
    <s v="Meat Pasta Sauce, 24 oz"/>
    <n v="24"/>
    <x v="0"/>
    <d v="2024-01-04T00:00:00"/>
    <d v="2026-02-07T00:00:00"/>
    <s v="instacart"/>
    <n v="18649449"/>
    <n v="261509"/>
    <x v="0"/>
    <s v="Available"/>
    <x v="0"/>
    <x v="0"/>
  </r>
  <r>
    <s v="481769439537"/>
    <x v="126"/>
    <s v="Mantova Italian Traditional Tomato Roasted Garlic Sauce"/>
    <m/>
    <x v="2"/>
    <d v="2022-11-01T00:00:00"/>
    <d v="2023-06-22T00:00:00"/>
    <s v="instacart"/>
    <s v=""/>
    <n v="266448"/>
    <x v="1"/>
    <s v="Available"/>
    <x v="1"/>
    <x v="0"/>
  </r>
  <r>
    <s v="086341604169"/>
    <x v="127"/>
    <s v="The Silver Palate San Marzano Pasta Sauce Marinara Jar - 25 Oz"/>
    <n v="25"/>
    <x v="0"/>
    <d v="2021-10-28T00:00:00"/>
    <d v="2026-02-06T00:00:00"/>
    <s v="instacart"/>
    <n v="77095"/>
    <n v="264337"/>
    <x v="0"/>
    <s v="Available"/>
    <x v="0"/>
    <x v="0"/>
  </r>
  <r>
    <s v="854796008012"/>
    <x v="128"/>
    <s v="ITS A UTICA THING ! Sauce, for Chicken Riggie, Classic"/>
    <n v="24"/>
    <x v="0"/>
    <d v="2021-10-29T00:00:00"/>
    <d v="2026-02-06T00:00:00"/>
    <s v="instacart"/>
    <s v=""/>
    <n v="266541"/>
    <x v="1"/>
    <s v="Available"/>
    <x v="1"/>
    <x v="0"/>
  </r>
  <r>
    <s v="066086090021"/>
    <x v="124"/>
    <s v="Pastene Vodka Pasta Sauce"/>
    <n v="16"/>
    <x v="1"/>
    <d v="2023-04-16T00:00:00"/>
    <d v="2026-02-05T00:00:00"/>
    <s v="instacart"/>
    <n v="27878096"/>
    <n v="266980"/>
    <x v="0"/>
    <s v="Available"/>
    <x v="0"/>
    <x v="0"/>
  </r>
  <r>
    <s v="854796008036"/>
    <x v="129"/>
    <s v="IT S A UTICA THING! Riggie Sauce, Roasted Garlic"/>
    <n v="24"/>
    <x v="0"/>
    <d v="2021-10-29T00:00:00"/>
    <d v="2026-01-23T00:00:00"/>
    <s v="instacart"/>
    <n v="18628384"/>
    <n v="266910"/>
    <x v="0"/>
    <s v="Available"/>
    <x v="0"/>
    <x v="0"/>
  </r>
  <r>
    <s v="020662004611"/>
    <x v="34"/>
    <s v="Newman's Own Fire Roasted Tomato &amp; Garlic Pasta Sauce, 24 oz"/>
    <n v="24"/>
    <x v="0"/>
    <d v="2021-11-02T00:00:00"/>
    <d v="2024-12-09T00:00:00"/>
    <s v="instacart"/>
    <s v=""/>
    <n v="267057"/>
    <x v="1"/>
    <s v="Available"/>
    <x v="1"/>
    <x v="0"/>
  </r>
  <r>
    <s v="812603021173"/>
    <x v="130"/>
    <s v="Organic Eggplant Sauce, 24 oz"/>
    <m/>
    <x v="2"/>
    <d v="2021-11-01T00:00:00"/>
    <d v="2023-12-27T00:00:00"/>
    <s v="instacart"/>
    <s v=""/>
    <n v="266340"/>
    <x v="1"/>
    <s v="Available"/>
    <x v="1"/>
    <x v="0"/>
  </r>
  <r>
    <s v="628693199049"/>
    <x v="131"/>
    <s v="ANDUCCI - Asiago &amp; Roasted Garlic Sauce"/>
    <n v="16.906742000000001"/>
    <x v="1"/>
    <d v="2023-06-22T00:00:00"/>
    <d v="2026-02-05T00:00:00"/>
    <s v="instacart"/>
    <s v=""/>
    <n v="266408"/>
    <x v="1"/>
    <s v="Available"/>
    <x v="1"/>
    <x v="0"/>
  </r>
  <r>
    <s v="731338962332"/>
    <x v="132"/>
    <s v="Michael's of Brooklyn Pasta Sauce, Putanesca gluten free, 32 oz"/>
    <n v="32.304347999999997"/>
    <x v="0"/>
    <d v="2021-11-07T00:00:00"/>
    <d v="2026-02-03T00:00:00"/>
    <s v="instacart"/>
    <n v="110868"/>
    <n v="262204"/>
    <x v="0"/>
    <s v="Available"/>
    <x v="0"/>
    <x v="0"/>
  </r>
  <r>
    <s v="041129077627"/>
    <x v="19"/>
    <s v="Classico Four Cheese Pasta Sauce, 24 oz Jar"/>
    <n v="24"/>
    <x v="0"/>
    <d v="2021-10-28T00:00:00"/>
    <d v="2026-02-07T00:00:00"/>
    <s v="instacart"/>
    <n v="39352"/>
    <n v="262020"/>
    <x v="0"/>
    <s v="Available"/>
    <x v="0"/>
    <x v="0"/>
  </r>
  <r>
    <s v="057000012540"/>
    <x v="19"/>
    <s v="Classico Vodka Sauce Pasta Sauce, Classico Vodka Sauce 600ML"/>
    <n v="20.288091000000001"/>
    <x v="1"/>
    <d v="2025-10-19T00:00:00"/>
    <d v="2026-02-05T00:00:00"/>
    <s v="instacart"/>
    <s v=""/>
    <n v="261783"/>
    <x v="1"/>
    <s v="Available"/>
    <x v="1"/>
    <x v="0"/>
  </r>
  <r>
    <s v="036200219348"/>
    <x v="6"/>
    <s v="Bertolli Pasta Sauce, Vodka"/>
    <n v="24"/>
    <x v="0"/>
    <d v="2021-10-28T00:00:00"/>
    <d v="2026-02-07T00:00:00"/>
    <s v="instacart"/>
    <n v="91515"/>
    <n v="261859"/>
    <x v="0"/>
    <s v="Available"/>
    <x v="0"/>
    <x v="0"/>
  </r>
  <r>
    <s v="799210900018"/>
    <x v="133"/>
    <s v="Organic Tomato Basil Pasta Sauce, 24 OZ"/>
    <n v="24"/>
    <x v="0"/>
    <d v="2025-01-22T00:00:00"/>
    <d v="2026-02-06T00:00:00"/>
    <s v="instacart"/>
    <n v="64419193"/>
    <n v="261762"/>
    <x v="0"/>
    <s v="Available"/>
    <x v="0"/>
    <x v="0"/>
  </r>
  <r>
    <s v="024000523635"/>
    <x v="134"/>
    <s v="Del Monte Pasta Sauce, Traditional"/>
    <n v="24"/>
    <x v="0"/>
    <d v="2021-10-28T00:00:00"/>
    <d v="2026-02-06T00:00:00"/>
    <s v="instacart"/>
    <n v="252547"/>
    <n v="266386"/>
    <x v="0"/>
    <s v="Available"/>
    <x v="0"/>
    <x v="0"/>
  </r>
  <r>
    <s v="711667000196"/>
    <x v="135"/>
    <s v="Scardigno's Marinara Sauce, 28 oz"/>
    <n v="28"/>
    <x v="0"/>
    <d v="2021-10-31T00:00:00"/>
    <d v="2026-02-04T00:00:00"/>
    <s v="instacart"/>
    <s v=""/>
    <n v="264068"/>
    <x v="1"/>
    <s v="Available"/>
    <x v="1"/>
    <x v="0"/>
  </r>
  <r>
    <s v="854796008043"/>
    <x v="128"/>
    <s v="ITS A UTICA THING ! Sauce, Vodka Riggie"/>
    <n v="24"/>
    <x v="0"/>
    <d v="2021-10-29T00:00:00"/>
    <d v="2026-02-06T00:00:00"/>
    <s v="instacart"/>
    <n v="19793112"/>
    <n v="261880"/>
    <x v="0"/>
    <s v="Available"/>
    <x v="0"/>
    <x v="0"/>
  </r>
  <r>
    <s v="036200013816"/>
    <x v="15"/>
    <s v="Ragu Old World Style Traditional Sauce, 3 pk./45 oz."/>
    <n v="135"/>
    <x v="0"/>
    <d v="2021-10-28T00:00:00"/>
    <d v="2026-02-05T00:00:00"/>
    <s v="instacart"/>
    <s v=""/>
    <n v="262051"/>
    <x v="1"/>
    <s v="Available"/>
    <x v="1"/>
    <x v="0"/>
  </r>
  <r>
    <s v="051000269775"/>
    <x v="45"/>
    <s v="Prego 100% Natural Italian Pasta Sauce, Traditional"/>
    <n v="45"/>
    <x v="0"/>
    <d v="2021-10-28T00:00:00"/>
    <d v="2026-02-07T00:00:00"/>
    <s v="instacart"/>
    <n v="36161"/>
    <n v="264446"/>
    <x v="0"/>
    <s v="Available"/>
    <x v="0"/>
    <x v="0"/>
  </r>
  <r>
    <s v="854693000843"/>
    <x v="136"/>
    <s v="Mutti Tomato &amp; Basil Pasta Sauce - 24 Oz."/>
    <n v="24"/>
    <x v="0"/>
    <d v="2022-04-14T00:00:00"/>
    <d v="2026-02-06T00:00:00"/>
    <s v="instacart"/>
    <n v="26979968"/>
    <n v="264312"/>
    <x v="0"/>
    <s v="Available"/>
    <x v="0"/>
    <x v="0"/>
  </r>
  <r>
    <s v="850015101045"/>
    <x v="137"/>
    <s v="Just Like Home Sauce Bolognese Chicago-Style"/>
    <n v="25"/>
    <x v="0"/>
    <d v="2021-10-28T00:00:00"/>
    <d v="2026-02-05T00:00:00"/>
    <s v="instacart"/>
    <n v="23525742"/>
    <n v="266291"/>
    <x v="0"/>
    <s v="Available"/>
    <x v="0"/>
    <x v="0"/>
  </r>
  <r>
    <s v="628693199056"/>
    <x v="131"/>
    <s v="Anducci - Anducci 3 Cheese Marinara Sauce"/>
    <n v="16.906742000000001"/>
    <x v="1"/>
    <d v="2023-06-22T00:00:00"/>
    <d v="2026-02-05T00:00:00"/>
    <s v="instacart"/>
    <s v=""/>
    <n v="266318"/>
    <x v="1"/>
    <s v="Available"/>
    <x v="1"/>
    <x v="0"/>
  </r>
  <r>
    <s v="048176843250"/>
    <x v="113"/>
    <s v="Lucini Sauce Tomato Artichoke Tomato Hearty Bottle - 25.5 Oz"/>
    <n v="24"/>
    <x v="0"/>
    <d v="2021-10-31T00:00:00"/>
    <d v="2026-02-06T00:00:00"/>
    <s v="instacart"/>
    <s v=""/>
    <n v="262141"/>
    <x v="1"/>
    <s v="Available"/>
    <x v="1"/>
    <x v="0"/>
  </r>
  <r>
    <s v="076937001120"/>
    <x v="138"/>
    <s v="Osem Pasta Sauce - 17 OZ"/>
    <n v="17"/>
    <x v="0"/>
    <d v="2022-06-26T00:00:00"/>
    <d v="2026-02-05T00:00:00"/>
    <s v="instacart"/>
    <n v="26992768"/>
    <n v="264143"/>
    <x v="0"/>
    <s v="Available"/>
    <x v="0"/>
    <x v="0"/>
  </r>
  <r>
    <s v="085678100832"/>
    <x v="139"/>
    <s v="Le Sauce &amp; Co Pasta Sauce Classic Marinara - 8.8 OZ"/>
    <n v="8.8000000000000007"/>
    <x v="0"/>
    <d v="2024-08-20T00:00:00"/>
    <d v="2026-02-05T00:00:00"/>
    <s v="instacart"/>
    <n v="53639591"/>
    <n v="266810"/>
    <x v="0"/>
    <s v="Available"/>
    <x v="0"/>
    <x v="0"/>
  </r>
  <r>
    <s v="869081000411"/>
    <x v="140"/>
    <s v="SIMMER Organic Basil Tomato Pasta Sauce, 8 OZ"/>
    <m/>
    <x v="2"/>
    <d v="2021-10-31T00:00:00"/>
    <d v="2023-07-09T00:00:00"/>
    <s v="instacart"/>
    <s v=""/>
    <n v="267058"/>
    <x v="1"/>
    <s v="Available"/>
    <x v="1"/>
    <x v="0"/>
  </r>
  <r>
    <s v="609231202551"/>
    <x v="81"/>
    <s v="Boves Organic Spicy Marinara Pasta Sauce"/>
    <n v="24"/>
    <x v="0"/>
    <d v="2025-06-25T00:00:00"/>
    <d v="2025-10-22T00:00:00"/>
    <s v="instacart"/>
    <s v=""/>
    <n v="264103"/>
    <x v="1"/>
    <s v="Available"/>
    <x v="1"/>
    <x v="0"/>
  </r>
  <r>
    <s v="850148004183"/>
    <x v="141"/>
    <s v="VESPER BROTHERS Sauce Tomato Signature Spicy, 24 OZ"/>
    <n v="24"/>
    <x v="0"/>
    <d v="2021-10-31T00:00:00"/>
    <d v="2026-02-06T00:00:00"/>
    <s v="instacart"/>
    <n v="577680"/>
    <n v="266285"/>
    <x v="0"/>
    <s v="Available"/>
    <x v="0"/>
    <x v="0"/>
  </r>
  <r>
    <s v="853896007093"/>
    <x v="38"/>
    <s v="Local Folks Foods Tomato &amp; Herb Marinara Sauce"/>
    <n v="24"/>
    <x v="0"/>
    <d v="2021-10-28T00:00:00"/>
    <d v="2026-02-06T00:00:00"/>
    <s v="instacart"/>
    <n v="19624852"/>
    <n v="264561"/>
    <x v="0"/>
    <s v="Missing"/>
    <x v="0"/>
    <x v="1"/>
  </r>
  <r>
    <s v="783860700012"/>
    <x v="38"/>
    <s v="Giannotti Marinara Sauce"/>
    <n v="26"/>
    <x v="0"/>
    <d v="2021-10-29T00:00:00"/>
    <d v="2026-02-03T00:00:00"/>
    <s v="instacart"/>
    <n v="73929"/>
    <n v="262566"/>
    <x v="0"/>
    <s v="Missing"/>
    <x v="0"/>
    <x v="1"/>
  </r>
  <r>
    <s v="850024735040"/>
    <x v="54"/>
    <s v="Carbone Arrabbiata Pasta Sauce"/>
    <n v="24"/>
    <x v="0"/>
    <d v="2021-10-28T00:00:00"/>
    <d v="2026-02-07T00:00:00"/>
    <s v="instacart"/>
    <n v="25652103"/>
    <n v="266424"/>
    <x v="0"/>
    <s v="Available"/>
    <x v="0"/>
    <x v="0"/>
  </r>
  <r>
    <s v="812603020756"/>
    <x v="35"/>
    <s v="SEGGIANO Organic Garlic Marinara Pasta Sauce, 24 OZ"/>
    <n v="24"/>
    <x v="0"/>
    <d v="2021-10-28T00:00:00"/>
    <d v="2026-02-06T00:00:00"/>
    <s v="instacart"/>
    <n v="19280366"/>
    <n v="266461"/>
    <x v="0"/>
    <s v="Available"/>
    <x v="0"/>
    <x v="0"/>
  </r>
  <r>
    <s v="015229411582"/>
    <x v="21"/>
    <s v="Sacla Tomato Cherry &amp; Basil"/>
    <n v="24"/>
    <x v="0"/>
    <d v="2021-10-28T00:00:00"/>
    <d v="2026-02-06T00:00:00"/>
    <s v="instacart"/>
    <n v="18412565"/>
    <n v="261800"/>
    <x v="0"/>
    <s v="Available"/>
    <x v="0"/>
    <x v="0"/>
  </r>
  <r>
    <s v="051000270580"/>
    <x v="38"/>
    <s v="Prego Italian Tomato Pasta Sauce Flavored With Meat, Value Size Jar, 38 oz"/>
    <n v="38"/>
    <x v="0"/>
    <d v="2023-01-03T00:00:00"/>
    <d v="2026-02-07T00:00:00"/>
    <s v="instacart"/>
    <n v="20680338"/>
    <n v="267067"/>
    <x v="0"/>
    <s v="Missing"/>
    <x v="0"/>
    <x v="1"/>
  </r>
  <r>
    <s v="026825008908"/>
    <x v="116"/>
    <s v="Gia Russa Pasta Sauce, Select, Tomato Basil"/>
    <n v="24"/>
    <x v="0"/>
    <d v="2021-10-28T00:00:00"/>
    <d v="2026-02-06T00:00:00"/>
    <s v="instacart"/>
    <n v="91489"/>
    <n v="264455"/>
    <x v="0"/>
    <s v="Available"/>
    <x v="0"/>
    <x v="0"/>
  </r>
  <r>
    <s v="793232516578"/>
    <x v="142"/>
    <s v="Rustichella D Abruzzo Tomato Sauce Arrabbiata Jar - 23.9 Oz"/>
    <n v="23.9"/>
    <x v="0"/>
    <d v="2021-10-28T00:00:00"/>
    <d v="2026-02-06T00:00:00"/>
    <s v="instacart"/>
    <n v="232513"/>
    <n v="261695"/>
    <x v="0"/>
    <s v="Available"/>
    <x v="0"/>
    <x v="0"/>
  </r>
  <r>
    <s v="076050170215"/>
    <x v="13"/>
    <s v="Paesana Marinara Traditional Pasta Sauce, 25 oz"/>
    <n v="25"/>
    <x v="0"/>
    <d v="2021-10-28T00:00:00"/>
    <d v="2026-02-06T00:00:00"/>
    <s v="instacart"/>
    <n v="95028"/>
    <n v="264071"/>
    <x v="0"/>
    <s v="Available"/>
    <x v="0"/>
    <x v="0"/>
  </r>
  <r>
    <s v="070234064161"/>
    <x v="63"/>
    <s v="Victoria Avocado Oil Marinara Sauce 24 oz"/>
    <n v="24"/>
    <x v="0"/>
    <d v="2021-10-28T00:00:00"/>
    <d v="2026-02-06T00:00:00"/>
    <s v="instacart"/>
    <n v="3406177"/>
    <n v="264160"/>
    <x v="0"/>
    <s v="Available"/>
    <x v="0"/>
    <x v="0"/>
  </r>
  <r>
    <s v="051000286901"/>
    <x v="45"/>
    <s v="PregoÂ® Parmesan Basil Pasta Sauce 24.000 Oz"/>
    <n v="23.75"/>
    <x v="0"/>
    <d v="2023-03-09T00:00:00"/>
    <d v="2026-02-06T00:00:00"/>
    <s v="instacart"/>
    <n v="29627781"/>
    <n v="266377"/>
    <x v="0"/>
    <s v="Available"/>
    <x v="0"/>
    <x v="0"/>
  </r>
  <r>
    <s v="092474181293"/>
    <x v="11"/>
    <s v="Calandra's Marinara Sauce, 32 oz"/>
    <n v="32"/>
    <x v="0"/>
    <d v="2021-11-02T00:00:00"/>
    <d v="2026-02-06T00:00:00"/>
    <s v="instacart"/>
    <n v="17671849"/>
    <n v="264523"/>
    <x v="0"/>
    <s v="Available"/>
    <x v="0"/>
    <x v="0"/>
  </r>
  <r>
    <s v="747479001564"/>
    <x v="143"/>
    <s v="Rao's Homemade Pasta Sauce, Roasted Garlic"/>
    <n v="32"/>
    <x v="0"/>
    <d v="2021-10-28T00:00:00"/>
    <d v="2026-02-07T00:00:00"/>
    <s v="instacart"/>
    <n v="20128017"/>
    <n v="262282"/>
    <x v="0"/>
    <s v="Available"/>
    <x v="0"/>
    <x v="0"/>
  </r>
  <r>
    <s v="677294998094"/>
    <x v="87"/>
    <s v="Organico BelloÂ® Delicate Recipeâ„¢ Organic Pasta Sauce"/>
    <n v="25"/>
    <x v="0"/>
    <d v="2021-10-30T00:00:00"/>
    <d v="2026-02-06T00:00:00"/>
    <s v="instacart"/>
    <n v="21354357"/>
    <n v="264061"/>
    <x v="0"/>
    <s v="Available"/>
    <x v="0"/>
    <x v="0"/>
  </r>
  <r>
    <s v="072117000051"/>
    <x v="38"/>
    <s v="Schiavone's All Purpose Italian Sauce"/>
    <n v="28"/>
    <x v="0"/>
    <d v="2021-11-03T00:00:00"/>
    <d v="2026-02-05T00:00:00"/>
    <s v="instacart"/>
    <n v="1556232"/>
    <n v="264162"/>
    <x v="0"/>
    <s v="Missing"/>
    <x v="0"/>
    <x v="1"/>
  </r>
  <r>
    <s v="749569272854"/>
    <x v="120"/>
    <s v="Yo Mama's Foods No Sugar Added, Low Carb, Marinara Sauce"/>
    <m/>
    <x v="2"/>
    <d v="2023-04-03T00:00:00"/>
    <d v="2023-06-22T00:00:00"/>
    <s v="instacart"/>
    <s v=""/>
    <n v="261482"/>
    <x v="1"/>
    <s v="Available"/>
    <x v="1"/>
    <x v="0"/>
  </r>
  <r>
    <s v="073567000059"/>
    <x v="38"/>
    <s v="Villa Valenti Traditional Pasta Sauce"/>
    <n v="26"/>
    <x v="0"/>
    <d v="2021-10-29T00:00:00"/>
    <d v="2025-10-22T00:00:00"/>
    <s v="instacart"/>
    <s v=""/>
    <n v="261652"/>
    <x v="1"/>
    <s v="Missing"/>
    <x v="1"/>
    <x v="1"/>
  </r>
  <r>
    <s v="854693000065"/>
    <x v="144"/>
    <s v="Mutti Tomato Sauce, With Basil &amp; Oregano 14 Oz"/>
    <n v="14"/>
    <x v="0"/>
    <d v="2021-10-28T00:00:00"/>
    <d v="2026-02-06T00:00:00"/>
    <s v="instacart"/>
    <n v="2725311"/>
    <n v="262034"/>
    <x v="0"/>
    <s v="Available"/>
    <x v="0"/>
    <x v="0"/>
  </r>
  <r>
    <s v="085000883334"/>
    <x v="20"/>
    <s v="Yo Mama's Sensitive Marinara Tomato Sauce, 25 oz"/>
    <n v="25"/>
    <x v="0"/>
    <d v="2024-02-13T00:00:00"/>
    <d v="2026-02-05T00:00:00"/>
    <s v="instacart"/>
    <n v="42368658"/>
    <n v="264458"/>
    <x v="0"/>
    <s v="Available"/>
    <x v="0"/>
    <x v="0"/>
  </r>
  <r>
    <s v="798235693868"/>
    <x v="145"/>
    <s v="MEZZETTA SAUCE PSTA TOM SWT BASL N"/>
    <n v="25"/>
    <x v="0"/>
    <d v="2021-11-09T00:00:00"/>
    <d v="2026-02-04T00:00:00"/>
    <s v="instacart"/>
    <n v="16698389"/>
    <n v="261606"/>
    <x v="0"/>
    <s v="Available"/>
    <x v="0"/>
    <x v="0"/>
  </r>
  <r>
    <s v="710069127357"/>
    <x v="69"/>
    <s v="Gefen Sauce Pasta Spicy - 26 Oz"/>
    <n v="26"/>
    <x v="0"/>
    <d v="2021-10-28T00:00:00"/>
    <d v="2026-02-06T00:00:00"/>
    <s v="instacart"/>
    <n v="1387358"/>
    <n v="264116"/>
    <x v="0"/>
    <s v="Available"/>
    <x v="0"/>
    <x v="0"/>
  </r>
  <r>
    <s v="036921192210"/>
    <x v="146"/>
    <s v="Cajun Power Pasta Sauce, Marinara 32 oz"/>
    <n v="32"/>
    <x v="0"/>
    <d v="2021-10-28T00:00:00"/>
    <d v="2026-02-05T00:00:00"/>
    <s v="instacart"/>
    <n v="20211116"/>
    <n v="264556"/>
    <x v="0"/>
    <s v="Available"/>
    <x v="0"/>
    <x v="0"/>
  </r>
  <r>
    <s v="628055758013"/>
    <x v="58"/>
    <s v="Fody Tomato &amp; Basil Pasta Sauce"/>
    <n v="19.399999999999999"/>
    <x v="0"/>
    <d v="2021-10-28T00:00:00"/>
    <d v="2026-02-06T00:00:00"/>
    <s v="instacart"/>
    <n v="19044988"/>
    <n v="264144"/>
    <x v="0"/>
    <s v="Available"/>
    <x v="0"/>
    <x v="0"/>
  </r>
  <r>
    <s v="753469010041"/>
    <x v="73"/>
    <s v="DAVE's Gourmet Pasta Sauce Organic Roasted Garlic &amp; Sweet Basil - 25.5 Ounce - 1 Count"/>
    <n v="24"/>
    <x v="0"/>
    <d v="2021-10-28T00:00:00"/>
    <d v="2026-02-06T00:00:00"/>
    <s v="instacart"/>
    <n v="9993"/>
    <n v="266308"/>
    <x v="0"/>
    <s v="Available"/>
    <x v="0"/>
    <x v="0"/>
  </r>
  <r>
    <s v="753469010140"/>
    <x v="73"/>
    <s v="Dave's Gourmet Pasta Sauce, Hearty Marinara, Organic 25.5 Oz"/>
    <n v="25.5"/>
    <x v="0"/>
    <d v="2021-10-28T00:00:00"/>
    <d v="2026-02-06T00:00:00"/>
    <s v="instacart"/>
    <n v="2778610"/>
    <n v="264115"/>
    <x v="0"/>
    <s v="Available"/>
    <x v="0"/>
    <x v="0"/>
  </r>
  <r>
    <s v="077644826228"/>
    <x v="0"/>
    <s v="Francesco Rinaldi Sauce, Tomato &amp; Basil 24 oz"/>
    <n v="24"/>
    <x v="0"/>
    <d v="2021-10-28T00:00:00"/>
    <d v="2026-02-06T00:00:00"/>
    <s v="instacart"/>
    <n v="73923"/>
    <n v="264107"/>
    <x v="0"/>
    <s v="Available"/>
    <x v="0"/>
    <x v="0"/>
  </r>
  <r>
    <s v="637405889901"/>
    <x v="147"/>
    <s v="Terlato Kitchen Sauce Tomato Basil - 24 Oz"/>
    <n v="24"/>
    <x v="0"/>
    <d v="2021-10-28T00:00:00"/>
    <d v="2026-02-05T00:00:00"/>
    <s v="instacart"/>
    <n v="19226244"/>
    <n v="267108"/>
    <x v="0"/>
    <s v="Available"/>
    <x v="0"/>
    <x v="0"/>
  </r>
  <r>
    <s v="854160002004"/>
    <x v="148"/>
    <s v="Ooma Tesoros Marinara Sauce, 26 Oz"/>
    <n v="26"/>
    <x v="0"/>
    <d v="2021-10-31T00:00:00"/>
    <d v="2026-02-06T00:00:00"/>
    <s v="instacart"/>
    <n v="110850"/>
    <n v="262621"/>
    <x v="0"/>
    <s v="Available"/>
    <x v="0"/>
    <x v="0"/>
  </r>
  <r>
    <s v="811497008451"/>
    <x v="50"/>
    <s v="TantilloÂ® Reserve Pomodoro Marinara Pasta Sauce"/>
    <n v="21.2"/>
    <x v="0"/>
    <d v="2021-12-08T00:00:00"/>
    <d v="2026-02-05T00:00:00"/>
    <s v="instacart"/>
    <n v="26250896"/>
    <n v="262264"/>
    <x v="0"/>
    <s v="Available"/>
    <x v="0"/>
    <x v="0"/>
  </r>
  <r>
    <s v="076195672001"/>
    <x v="53"/>
    <s v="Gino's Spicy Diavolo Marinara"/>
    <n v="24"/>
    <x v="0"/>
    <d v="2021-10-28T00:00:00"/>
    <d v="2026-02-04T00:00:00"/>
    <s v="instacart"/>
    <s v=""/>
    <n v="264236"/>
    <x v="1"/>
    <s v="Available"/>
    <x v="1"/>
    <x v="0"/>
  </r>
  <r>
    <s v="037363987808"/>
    <x v="42"/>
    <s v="Michael Angelo's Secret Marinara Pasta Sauce - 24 Oz"/>
    <n v="24"/>
    <x v="0"/>
    <d v="2023-01-09T00:00:00"/>
    <d v="2026-02-06T00:00:00"/>
    <s v="instacart"/>
    <n v="29203222"/>
    <n v="261582"/>
    <x v="0"/>
    <s v="Available"/>
    <x v="0"/>
    <x v="0"/>
  </r>
  <r>
    <s v="725342132249"/>
    <x v="149"/>
    <s v="Muir Glen Organic Italian Herb Pasta Sauce, No Sugar Added, 23.5 oz."/>
    <n v="23.5"/>
    <x v="0"/>
    <d v="2022-02-20T00:00:00"/>
    <d v="2026-02-06T00:00:00"/>
    <s v="instacart"/>
    <n v="27993124"/>
    <n v="264373"/>
    <x v="0"/>
    <s v="Available"/>
    <x v="0"/>
    <x v="0"/>
  </r>
  <r>
    <s v="863373000127"/>
    <x v="38"/>
    <s v="Luigi Del Conte Country-Style Marinara Sauce"/>
    <n v="16"/>
    <x v="0"/>
    <d v="2021-10-29T00:00:00"/>
    <d v="2025-10-22T00:00:00"/>
    <s v="instacart"/>
    <s v=""/>
    <n v="261484"/>
    <x v="1"/>
    <s v="Missing"/>
    <x v="1"/>
    <x v="1"/>
  </r>
  <r>
    <s v="688672109124"/>
    <x v="72"/>
    <s v="Scarpetta Cherry Tomato Sauce, 19.8 oz"/>
    <n v="19.8"/>
    <x v="0"/>
    <d v="2021-11-02T00:00:00"/>
    <d v="2026-01-19T00:00:00"/>
    <s v="instacart"/>
    <s v=""/>
    <n v="264059"/>
    <x v="1"/>
    <s v="Available"/>
    <x v="1"/>
    <x v="0"/>
  </r>
  <r>
    <s v="076050800259"/>
    <x v="13"/>
    <s v="Paesana Pasta Sauce Organic Marinara - 25 Oz"/>
    <n v="25"/>
    <x v="0"/>
    <d v="2021-10-28T00:00:00"/>
    <d v="2026-02-06T00:00:00"/>
    <s v="instacart"/>
    <n v="3122953"/>
    <n v="264063"/>
    <x v="0"/>
    <s v="Available"/>
    <x v="0"/>
    <x v="0"/>
  </r>
  <r>
    <s v="725342132270"/>
    <x v="80"/>
    <s v="Muir Glen Organic No Sugar Added Garden Vegetable Pasta Sauce 23.5 oz"/>
    <n v="23.5"/>
    <x v="0"/>
    <d v="2022-09-18T00:00:00"/>
    <d v="2026-02-06T00:00:00"/>
    <s v="instacart"/>
    <n v="27740612"/>
    <n v="264751"/>
    <x v="0"/>
    <s v="Available"/>
    <x v="0"/>
    <x v="0"/>
  </r>
  <r>
    <s v="073214008469"/>
    <x v="14"/>
    <s v="Mezzetta Marinara, Whole Garlic &amp; Sweet Basil 24 oz"/>
    <n v="24"/>
    <x v="0"/>
    <d v="2021-10-28T00:00:00"/>
    <d v="2026-02-06T00:00:00"/>
    <s v="instacart"/>
    <n v="23897341"/>
    <n v="266547"/>
    <x v="0"/>
    <s v="Available"/>
    <x v="0"/>
    <x v="0"/>
  </r>
  <r>
    <s v="022099699002"/>
    <x v="150"/>
    <s v="Cortazzo Marinara Sauce, Pomodoro"/>
    <n v="24"/>
    <x v="0"/>
    <d v="2021-10-28T00:00:00"/>
    <d v="2025-05-23T00:00:00"/>
    <s v="instacart"/>
    <s v=""/>
    <n v="261480"/>
    <x v="1"/>
    <s v="Available"/>
    <x v="1"/>
    <x v="0"/>
  </r>
  <r>
    <s v="036200914014"/>
    <x v="26"/>
    <s v="Ragu Traditional Spaghetti Sauce, 3 Ct./45 oz.- Pasta Sauces"/>
    <n v="45"/>
    <x v="0"/>
    <d v="2021-11-01T00:00:00"/>
    <d v="2026-02-07T00:00:00"/>
    <s v="instacart"/>
    <n v="77085"/>
    <n v="264441"/>
    <x v="0"/>
    <s v="Available"/>
    <x v="0"/>
    <x v="0"/>
  </r>
  <r>
    <s v="860000631808"/>
    <x v="151"/>
    <s v="Pomodoro Sauce, 24 oz"/>
    <n v="24"/>
    <x v="0"/>
    <d v="2021-11-01T00:00:00"/>
    <d v="2024-02-21T00:00:00"/>
    <s v="instacart"/>
    <s v=""/>
    <n v="262615"/>
    <x v="1"/>
    <s v="Available"/>
    <x v="1"/>
    <x v="0"/>
  </r>
  <r>
    <s v="861938000346"/>
    <x v="38"/>
    <s v="Antonio Carlo Gourmet Sauce, Arrabbiata, 24 oz"/>
    <n v="24"/>
    <x v="0"/>
    <d v="2021-10-28T00:00:00"/>
    <d v="2026-02-05T00:00:00"/>
    <s v="instacart"/>
    <n v="19516349"/>
    <n v="261572"/>
    <x v="0"/>
    <s v="Missing"/>
    <x v="0"/>
    <x v="1"/>
  </r>
  <r>
    <s v="070796900167"/>
    <x v="10"/>
    <s v="Cento San Marzano Tomato Sauce, Vodka"/>
    <n v="26"/>
    <x v="0"/>
    <d v="2021-10-30T00:00:00"/>
    <d v="2026-02-06T00:00:00"/>
    <s v="instacart"/>
    <s v=""/>
    <n v="266301"/>
    <x v="1"/>
    <s v="Available"/>
    <x v="1"/>
    <x v="0"/>
  </r>
  <r>
    <s v="051000050441"/>
    <x v="5"/>
    <s v="Prego Chunky Garden Combo Italian Sauce, 23.75 oz"/>
    <n v="23.75"/>
    <x v="0"/>
    <d v="2021-10-28T00:00:00"/>
    <d v="2026-02-07T00:00:00"/>
    <s v="instacart"/>
    <n v="77109"/>
    <n v="261791"/>
    <x v="0"/>
    <s v="Available"/>
    <x v="0"/>
    <x v="0"/>
  </r>
  <r>
    <s v="761956127400"/>
    <x v="90"/>
    <s v="Ginos Marinara Sauce"/>
    <n v="24"/>
    <x v="0"/>
    <d v="2021-10-28T00:00:00"/>
    <d v="2026-02-04T00:00:00"/>
    <s v="instacart"/>
    <s v=""/>
    <n v="264372"/>
    <x v="1"/>
    <s v="Available"/>
    <x v="1"/>
    <x v="0"/>
  </r>
  <r>
    <s v="677294991187"/>
    <x v="55"/>
    <s v="Cucina Antica - Tomato Basil Pasta Sauce - 32oz (Pack of 6) - Non GMO, Whole 30 Approved, Gluten Free"/>
    <n v="32"/>
    <x v="0"/>
    <d v="2021-10-28T00:00:00"/>
    <d v="2025-11-18T00:00:00"/>
    <s v="instacart"/>
    <s v=""/>
    <n v="264359"/>
    <x v="1"/>
    <s v="Available"/>
    <x v="1"/>
    <x v="0"/>
  </r>
  <r>
    <s v="020662006189"/>
    <x v="34"/>
    <s v="Newman's Own Pasta Sauce, Sockarooni 24 oz"/>
    <n v="24"/>
    <x v="0"/>
    <d v="2021-10-28T00:00:00"/>
    <d v="2026-02-07T00:00:00"/>
    <s v="instacart"/>
    <s v="19977941, 77115"/>
    <s v="261525, 261526"/>
    <x v="0"/>
    <s v="Available"/>
    <x v="0"/>
    <x v="0"/>
  </r>
  <r>
    <s v="051000223913"/>
    <x v="5"/>
    <s v="Prego Pasta Sauce, Tomato Sauce with Italian Sausage &amp; Garlic, 44 Ounce Jar"/>
    <n v="44"/>
    <x v="0"/>
    <d v="2021-10-28T00:00:00"/>
    <d v="2026-02-07T00:00:00"/>
    <s v="instacart"/>
    <n v="20021629"/>
    <n v="266312"/>
    <x v="0"/>
    <s v="Available"/>
    <x v="0"/>
    <x v="0"/>
  </r>
  <r>
    <s v="609231000058"/>
    <x v="81"/>
    <s v="Boves Pasta Sauce Roasted Vodka - 24 Oz"/>
    <n v="24"/>
    <x v="0"/>
    <d v="2021-10-28T00:00:00"/>
    <d v="2026-02-06T00:00:00"/>
    <s v="instacart"/>
    <n v="53390"/>
    <n v="264562"/>
    <x v="0"/>
    <s v="Available"/>
    <x v="0"/>
    <x v="0"/>
  </r>
  <r>
    <s v="718661100150"/>
    <x v="38"/>
    <s v="Mamma DiSalvo's Authentic Original Recipe Italian Sauce"/>
    <n v="32"/>
    <x v="1"/>
    <d v="2021-11-03T00:00:00"/>
    <d v="2026-02-05T00:00:00"/>
    <s v="instacart"/>
    <n v="2385620"/>
    <n v="264559"/>
    <x v="0"/>
    <s v="Missing"/>
    <x v="0"/>
    <x v="1"/>
  </r>
  <r>
    <s v="074908324384"/>
    <x v="75"/>
    <s v="Delgrosso Pasta Sauce, Meat Flavored"/>
    <n v="24"/>
    <x v="0"/>
    <d v="2021-10-28T00:00:00"/>
    <d v="2026-02-06T00:00:00"/>
    <s v="instacart"/>
    <n v="3363866"/>
    <n v="264453"/>
    <x v="0"/>
    <s v="Available"/>
    <x v="0"/>
    <x v="0"/>
  </r>
  <r>
    <s v="863996000238"/>
    <x v="114"/>
    <s v="Hoboken Farms Low Sodium Marinara Sauce, 25 oz"/>
    <n v="25"/>
    <x v="0"/>
    <d v="2021-10-31T00:00:00"/>
    <d v="2026-02-06T00:00:00"/>
    <s v="instacart"/>
    <n v="17867975"/>
    <n v="261801"/>
    <x v="0"/>
    <s v="Available"/>
    <x v="0"/>
    <x v="0"/>
  </r>
  <r>
    <s v="877448006815"/>
    <x v="152"/>
    <s v="Giovanni Rana Homestyle Sauce Meat Lovers Premium Pasta Topping Jar (Share Size, 11oz)"/>
    <n v="11"/>
    <x v="0"/>
    <d v="2021-10-28T00:00:00"/>
    <d v="2024-03-21T00:00:00"/>
    <s v="instacart"/>
    <s v=""/>
    <n v="266440"/>
    <x v="1"/>
    <s v="Available"/>
    <x v="1"/>
    <x v="0"/>
  </r>
  <r>
    <s v="850148004008"/>
    <x v="141"/>
    <s v="Vesper Brothers, Sauce Tomato Signature, 24 Ounce-Best of America"/>
    <n v="24"/>
    <x v="0"/>
    <d v="2021-10-31T00:00:00"/>
    <d v="2026-02-06T00:00:00"/>
    <s v="instacart"/>
    <n v="3203826"/>
    <n v="262247"/>
    <x v="0"/>
    <s v="Available"/>
    <x v="0"/>
    <x v="0"/>
  </r>
  <r>
    <s v="077644301329"/>
    <x v="0"/>
    <s v="Francesco Rinaldi Pasta Sauce, Original Recipe 24 oz"/>
    <n v="24"/>
    <x v="0"/>
    <d v="2021-10-28T00:00:00"/>
    <d v="2026-02-06T00:00:00"/>
    <s v="instacart"/>
    <n v="39359"/>
    <n v="266373"/>
    <x v="0"/>
    <s v="Available"/>
    <x v="0"/>
    <x v="0"/>
  </r>
  <r>
    <s v="041129274705"/>
    <x v="153"/>
    <s v="Classico Tomato and Basil Pasta Sauce (32 oz., 3 pk.)"/>
    <m/>
    <x v="2"/>
    <d v="2021-10-28T00:00:00"/>
    <d v="2024-02-08T00:00:00"/>
    <s v="instacart"/>
    <s v=""/>
    <n v="261651"/>
    <x v="1"/>
    <s v="Available"/>
    <x v="1"/>
    <x v="0"/>
  </r>
  <r>
    <s v="027000500071"/>
    <x v="24"/>
    <s v="Hunt's Pasta Sauce, Mushroom 24 oz"/>
    <n v="24"/>
    <x v="0"/>
    <d v="2021-10-28T00:00:00"/>
    <d v="2026-02-06T00:00:00"/>
    <s v="instacart"/>
    <n v="43574"/>
    <n v="262283"/>
    <x v="0"/>
    <s v="Available"/>
    <x v="0"/>
    <x v="0"/>
  </r>
  <r>
    <s v="072940758037"/>
    <x v="82"/>
    <s v="TUTTOROSSO TRADITIONAL PASTA SAUCE"/>
    <n v="24"/>
    <x v="0"/>
    <d v="2021-10-28T00:00:00"/>
    <d v="2026-02-06T00:00:00"/>
    <s v="instacart"/>
    <n v="98525"/>
    <n v="264761"/>
    <x v="0"/>
    <s v="Available"/>
    <x v="0"/>
    <x v="0"/>
  </r>
  <r>
    <s v="850024735033"/>
    <x v="54"/>
    <s v="Carbone World Famous Spicy Vodka Sauce, 24 oz"/>
    <n v="24"/>
    <x v="0"/>
    <d v="2023-06-21T00:00:00"/>
    <d v="2026-02-07T00:00:00"/>
    <s v="instacart"/>
    <n v="31793735"/>
    <n v="261677"/>
    <x v="0"/>
    <s v="Available"/>
    <x v="0"/>
    <x v="0"/>
  </r>
  <r>
    <s v="063211026566"/>
    <x v="5"/>
    <s v="Prego - Pasta Sauce - Mushroom &amp; Herb"/>
    <n v="21.809698000000001"/>
    <x v="1"/>
    <d v="2021-10-28T00:00:00"/>
    <d v="2026-02-05T00:00:00"/>
    <s v="instacart"/>
    <s v=""/>
    <n v="261872"/>
    <x v="1"/>
    <s v="Available"/>
    <x v="1"/>
    <x v="0"/>
  </r>
  <r>
    <s v="850041276052"/>
    <x v="115"/>
    <s v="Sauz Marinara Sauce Summer Lemon - 25 OZ"/>
    <n v="25"/>
    <x v="0"/>
    <d v="2024-03-07T00:00:00"/>
    <d v="2026-02-06T00:00:00"/>
    <s v="instacart"/>
    <n v="32557993"/>
    <n v="261598"/>
    <x v="0"/>
    <s v="Available"/>
    <x v="0"/>
    <x v="0"/>
  </r>
  <r>
    <s v="810048160198"/>
    <x v="154"/>
    <s v="Di Bruno Bros. Arrabbiata Spicy Tomato Sauce, 24 oz"/>
    <n v="24"/>
    <x v="0"/>
    <d v="2024-10-09T00:00:00"/>
    <d v="2026-02-04T00:00:00"/>
    <s v="instacart"/>
    <n v="56744665"/>
    <n v="261864"/>
    <x v="0"/>
    <s v="Available"/>
    <x v="0"/>
    <x v="0"/>
  </r>
  <r>
    <s v="855019004040"/>
    <x v="96"/>
    <s v="Michaels Of Brooklyn Sauce Arrabbiata Jar - 32 Oz"/>
    <n v="32"/>
    <x v="0"/>
    <d v="2021-10-28T00:00:00"/>
    <d v="2026-02-06T00:00:00"/>
    <s v="instacart"/>
    <n v="17330579"/>
    <n v="261860"/>
    <x v="0"/>
    <s v="Available"/>
    <x v="0"/>
    <x v="0"/>
  </r>
  <r>
    <s v="072457980778"/>
    <x v="155"/>
    <s v="WALDEN FARMS TOMATO BASIL PASTA SAUCE"/>
    <n v="12"/>
    <x v="0"/>
    <d v="2021-10-28T00:00:00"/>
    <d v="2026-02-05T00:00:00"/>
    <s v="instacart"/>
    <n v="511281"/>
    <n v="266323"/>
    <x v="0"/>
    <s v="Available"/>
    <x v="0"/>
    <x v="0"/>
  </r>
  <r>
    <s v="896175002013"/>
    <x v="156"/>
    <s v="Ethnic Cottage Marinara Jersey Tomato Sauce, 25 oz"/>
    <n v="25"/>
    <x v="0"/>
    <d v="2021-10-31T00:00:00"/>
    <d v="2026-02-06T00:00:00"/>
    <s v="instacart"/>
    <n v="138168"/>
    <n v="264565"/>
    <x v="0"/>
    <s v="Available"/>
    <x v="0"/>
    <x v="0"/>
  </r>
  <r>
    <s v="725342132232"/>
    <x v="40"/>
    <s v="Muir Glen Organic Classic Marinara Pasta Sauce, No Sugar Added, 23.5 oz."/>
    <n v="23.5"/>
    <x v="0"/>
    <d v="2021-10-28T00:00:00"/>
    <d v="2026-02-06T00:00:00"/>
    <s v="instacart"/>
    <n v="27744073"/>
    <n v="266297"/>
    <x v="0"/>
    <s v="Available"/>
    <x v="0"/>
    <x v="0"/>
  </r>
  <r>
    <s v="850024735576"/>
    <x v="54"/>
    <s v="Carbone Classic Vodka Sauce, 24 oz"/>
    <n v="24"/>
    <x v="0"/>
    <d v="2024-05-01T00:00:00"/>
    <d v="2026-02-07T00:00:00"/>
    <s v="instacart"/>
    <n v="42699552"/>
    <n v="266374"/>
    <x v="0"/>
    <s v="Available"/>
    <x v="0"/>
    <x v="0"/>
  </r>
  <r>
    <s v="086341603162"/>
    <x v="127"/>
    <s v="Silver Palate Roasted Garlic Pasta Sauce - 25 OZ"/>
    <n v="25"/>
    <x v="0"/>
    <d v="2021-10-28T00:00:00"/>
    <d v="2026-02-06T00:00:00"/>
    <s v="instacart"/>
    <n v="226683"/>
    <n v="264082"/>
    <x v="0"/>
    <s v="Available"/>
    <x v="0"/>
    <x v="0"/>
  </r>
  <r>
    <s v="628055758358"/>
    <x v="58"/>
    <s v="Fody Plant-Based Bolognese Sensitive Pasta Sauce 19.4 oz"/>
    <n v="19.399999999999999"/>
    <x v="0"/>
    <d v="2021-10-28T00:00:00"/>
    <d v="2026-02-06T00:00:00"/>
    <s v="instacart"/>
    <n v="24837786"/>
    <n v="266450"/>
    <x v="0"/>
    <s v="Available"/>
    <x v="0"/>
    <x v="0"/>
  </r>
  <r>
    <s v="048176843526"/>
    <x v="157"/>
    <s v="Montova Pasta Sauce Organic Tomato Basil"/>
    <n v="17"/>
    <x v="0"/>
    <d v="2021-10-31T00:00:00"/>
    <d v="2025-10-03T00:00:00"/>
    <s v="instacart"/>
    <s v=""/>
    <n v="264239"/>
    <x v="1"/>
    <s v="Available"/>
    <x v="1"/>
    <x v="0"/>
  </r>
  <r>
    <s v="072368424415"/>
    <x v="99"/>
    <s v="DeLallo Pomodoro Fresco, Spicy Vodka"/>
    <n v="25.25"/>
    <x v="0"/>
    <d v="2022-06-20T00:00:00"/>
    <d v="2026-02-06T00:00:00"/>
    <s v="instacart"/>
    <n v="25900539"/>
    <n v="264470"/>
    <x v="0"/>
    <s v="Available"/>
    <x v="0"/>
    <x v="0"/>
  </r>
  <r>
    <s v="077028870403"/>
    <x v="158"/>
    <s v="Tonelli Marinara Sauce Original - 25 Oz"/>
    <n v="24"/>
    <x v="0"/>
    <d v="2021-10-28T00:00:00"/>
    <d v="2026-02-06T00:00:00"/>
    <s v="instacart"/>
    <n v="307956"/>
    <n v="266381"/>
    <x v="0"/>
    <s v="Available"/>
    <x v="0"/>
    <x v="0"/>
  </r>
  <r>
    <s v="072343000603"/>
    <x v="32"/>
    <s v="Mid's Pasta Sauce, Marinara, Spicy"/>
    <n v="28"/>
    <x v="0"/>
    <d v="2025-07-16T00:00:00"/>
    <d v="2026-02-06T00:00:00"/>
    <s v="instacart"/>
    <s v=""/>
    <n v="262125"/>
    <x v="1"/>
    <s v="Available"/>
    <x v="1"/>
    <x v="0"/>
  </r>
  <r>
    <s v="072940110118"/>
    <x v="38"/>
    <s v="Red Gold Spaghetti Sauce"/>
    <n v="106"/>
    <x v="0"/>
    <d v="2022-06-22T00:00:00"/>
    <d v="2025-12-08T00:00:00"/>
    <s v="instacart"/>
    <s v=""/>
    <n v="266421"/>
    <x v="1"/>
    <s v="Missing"/>
    <x v="1"/>
    <x v="1"/>
  </r>
  <r>
    <s v="749569272960"/>
    <x v="120"/>
    <s v="Yo Mama's Foods Keto Marinara Pasta Sauce, 12 PK"/>
    <m/>
    <x v="2"/>
    <d v="2023-04-03T00:00:00"/>
    <d v="2023-06-22T00:00:00"/>
    <s v="instacart"/>
    <s v=""/>
    <n v="266437"/>
    <x v="1"/>
    <s v="Available"/>
    <x v="1"/>
    <x v="0"/>
  </r>
  <r>
    <s v="036200219324"/>
    <x v="6"/>
    <s v="Bertolli Vineyard Marinara Sauce, 24 oz"/>
    <n v="24"/>
    <x v="0"/>
    <d v="2021-10-28T00:00:00"/>
    <d v="2026-02-06T00:00:00"/>
    <s v="instacart"/>
    <n v="73887"/>
    <n v="264311"/>
    <x v="0"/>
    <s v="Available"/>
    <x v="0"/>
    <x v="0"/>
  </r>
  <r>
    <s v="036200144299"/>
    <x v="6"/>
    <s v="Bertolli Pasta Sauce Variety Pack, Tomato &amp; Basil and Olive Oil &amp; Garlic, 3 pk./24 oz."/>
    <n v="0.125"/>
    <x v="0"/>
    <d v="2025-02-21T00:00:00"/>
    <d v="2026-01-23T00:00:00"/>
    <s v="instacart"/>
    <s v=""/>
    <n v="266488"/>
    <x v="1"/>
    <s v="Available"/>
    <x v="1"/>
    <x v="0"/>
  </r>
  <r>
    <s v="036200018026"/>
    <x v="15"/>
    <s v="Ragu Sauce, Flavored with Meat"/>
    <n v="66"/>
    <x v="0"/>
    <d v="2021-10-28T00:00:00"/>
    <d v="2026-02-07T00:00:00"/>
    <s v="instacart"/>
    <n v="196359"/>
    <n v="264202"/>
    <x v="0"/>
    <s v="Available"/>
    <x v="0"/>
    <x v="0"/>
  </r>
  <r>
    <s v="070796900266"/>
    <x v="10"/>
    <s v="Cento Marinara Pasta Sauce, 18 oz"/>
    <m/>
    <x v="2"/>
    <d v="2022-04-17T00:00:00"/>
    <d v="2023-11-01T00:00:00"/>
    <s v="instacart"/>
    <s v=""/>
    <n v="266852"/>
    <x v="1"/>
    <s v="Available"/>
    <x v="1"/>
    <x v="0"/>
  </r>
  <r>
    <s v="731338928772"/>
    <x v="7"/>
    <s v="Rao's Homemade Bolognese Sauce 24 oz, Tomato Sauce, All Purpose, Keto Friendly Pasta Sauce, Premium Quality Tomatoes from Italy, Beef, Pork &amp; Pancetta"/>
    <n v="24"/>
    <x v="0"/>
    <d v="2021-11-01T00:00:00"/>
    <d v="2026-02-04T00:00:00"/>
    <s v="instacart"/>
    <n v="18957838"/>
    <n v="264104"/>
    <x v="0"/>
    <s v="Available"/>
    <x v="0"/>
    <x v="0"/>
  </r>
  <r>
    <s v="015532000114"/>
    <x v="159"/>
    <s v="Montebello Sauce Pasta Basil Marnra - 19.75 Oz"/>
    <n v="19.75"/>
    <x v="0"/>
    <d v="2021-10-28T00:00:00"/>
    <d v="2025-09-03T00:00:00"/>
    <s v="instacart"/>
    <n v="21195755"/>
    <n v="264551"/>
    <x v="0"/>
    <s v="Available"/>
    <x v="0"/>
    <x v="0"/>
  </r>
  <r>
    <s v="036200431757"/>
    <x v="15"/>
    <s v="Ragu Kettle Cooked Roasted Garlic Pasta - 24 Oz"/>
    <n v="24"/>
    <x v="0"/>
    <d v="2023-03-28T00:00:00"/>
    <d v="2026-02-07T00:00:00"/>
    <s v="instacart"/>
    <n v="29391546"/>
    <n v="264304"/>
    <x v="0"/>
    <s v="Available"/>
    <x v="0"/>
    <x v="0"/>
  </r>
  <r>
    <s v="863850000121"/>
    <x v="160"/>
    <s v="Pasta Too Sauce, Meat Flavored, with Pork"/>
    <n v="26"/>
    <x v="0"/>
    <d v="2021-10-28T00:00:00"/>
    <d v="2026-02-06T00:00:00"/>
    <s v="instacart"/>
    <n v="18683588"/>
    <n v="261843"/>
    <x v="0"/>
    <s v="Available"/>
    <x v="0"/>
    <x v="0"/>
  </r>
  <r>
    <s v="072343000573"/>
    <x v="32"/>
    <s v="Mid's Pasta Sauce, Hearty Vegetable 28 Oz"/>
    <n v="28"/>
    <x v="0"/>
    <d v="2021-10-28T00:00:00"/>
    <d v="2026-02-06T00:00:00"/>
    <s v="instacart"/>
    <n v="30200841"/>
    <n v="261570"/>
    <x v="0"/>
    <s v="Available"/>
    <x v="0"/>
    <x v="0"/>
  </r>
  <r>
    <s v="085757200354"/>
    <x v="161"/>
    <s v="The Sonoma Kitchen Cabernet Marinara Sauce"/>
    <n v="24"/>
    <x v="0"/>
    <d v="2023-06-21T00:00:00"/>
    <d v="2025-03-05T00:00:00"/>
    <s v="instacart"/>
    <s v=""/>
    <n v="264697"/>
    <x v="1"/>
    <s v="Available"/>
    <x v="1"/>
    <x v="0"/>
  </r>
  <r>
    <s v="855425003002"/>
    <x v="162"/>
    <s v="Mimi's Gourmet Pasta Sauce"/>
    <n v="26"/>
    <x v="0"/>
    <d v="2021-10-28T00:00:00"/>
    <d v="2026-02-05T00:00:00"/>
    <s v="instacart"/>
    <n v="16939205"/>
    <n v="261596"/>
    <x v="0"/>
    <s v="Available"/>
    <x v="0"/>
    <x v="0"/>
  </r>
  <r>
    <s v="051000027979"/>
    <x v="5"/>
    <s v="Prego Pasta Sauce, Italian Tomato Sauce with Fresh Mushrooms, 45 Ounce Jar"/>
    <n v="45"/>
    <x v="0"/>
    <d v="2021-10-28T00:00:00"/>
    <d v="2026-02-07T00:00:00"/>
    <s v="instacart"/>
    <n v="39366"/>
    <n v="261829"/>
    <x v="0"/>
    <s v="Available"/>
    <x v="0"/>
    <x v="0"/>
  </r>
  <r>
    <s v="767563068150"/>
    <x v="7"/>
    <s v="Rao's Homemade, Marinara Sauce, 15.5 oz"/>
    <n v="15.5"/>
    <x v="0"/>
    <d v="2021-10-28T00:00:00"/>
    <d v="2026-02-04T00:00:00"/>
    <s v="instacart"/>
    <n v="98551"/>
    <n v="264211"/>
    <x v="0"/>
    <s v="Available"/>
    <x v="0"/>
    <x v="0"/>
  </r>
  <r>
    <s v="070234007458"/>
    <x v="63"/>
    <s v="Victoria Sauce Marinara Low Sodium Jar - 24 Oz"/>
    <n v="24"/>
    <x v="0"/>
    <d v="2021-10-28T00:00:00"/>
    <d v="2026-02-06T00:00:00"/>
    <s v="instacart"/>
    <n v="98564"/>
    <n v="266648"/>
    <x v="0"/>
    <s v="Available"/>
    <x v="0"/>
    <x v="0"/>
  </r>
  <r>
    <s v="718661100501"/>
    <x v="38"/>
    <s v="Mamma DiSalvo's Authentic Original Recipe Marinara Sauce"/>
    <n v="32"/>
    <x v="1"/>
    <d v="2021-11-03T00:00:00"/>
    <d v="2026-02-05T00:00:00"/>
    <s v="instacart"/>
    <n v="16314288"/>
    <n v="264046"/>
    <x v="0"/>
    <s v="Missing"/>
    <x v="0"/>
    <x v="1"/>
  </r>
  <r>
    <s v="648505507237"/>
    <x v="163"/>
    <s v="Lucini Italia Roasted Garlic Marinara Organic Sauce"/>
    <n v="25.5"/>
    <x v="0"/>
    <d v="2021-10-28T00:00:00"/>
    <d v="2026-02-06T00:00:00"/>
    <s v="instacart"/>
    <n v="53405"/>
    <n v="264545"/>
    <x v="0"/>
    <s v="Available"/>
    <x v="0"/>
    <x v="0"/>
  </r>
  <r>
    <s v="041129000526"/>
    <x v="19"/>
    <s v="Classico Four Cheese Pasta Sauce, 3 pk./32 oz."/>
    <n v="96"/>
    <x v="0"/>
    <d v="2023-09-28T00:00:00"/>
    <d v="2026-01-23T00:00:00"/>
    <s v="instacart"/>
    <s v=""/>
    <n v="261887"/>
    <x v="1"/>
    <s v="Available"/>
    <x v="1"/>
    <x v="0"/>
  </r>
  <r>
    <s v="749569272878"/>
    <x v="120"/>
    <s v="Yo Mama's Foods Keto Tomato Basil Pasta And Spaghetti Sauce, 3 PK"/>
    <m/>
    <x v="2"/>
    <d v="2023-04-03T00:00:00"/>
    <d v="2023-04-07T00:00:00"/>
    <s v="instacart"/>
    <s v=""/>
    <n v="261655"/>
    <x v="1"/>
    <s v="Available"/>
    <x v="1"/>
    <x v="0"/>
  </r>
  <r>
    <s v="051000250322"/>
    <x v="45"/>
    <s v="PregoÂ® Traditional Sensitive Recipe Low Fodmap Pasta Sauce 23.750 oz"/>
    <n v="23.75"/>
    <x v="0"/>
    <d v="2021-10-28T00:00:00"/>
    <d v="2026-02-07T00:00:00"/>
    <s v="instacart"/>
    <n v="18508239"/>
    <n v="264263"/>
    <x v="0"/>
    <s v="Available"/>
    <x v="0"/>
    <x v="0"/>
  </r>
  <r>
    <s v="728119198721"/>
    <x v="101"/>
    <s v="Cucina &amp; Amore Pasta Sauce Italian Basilico Tomato Basil &amp; Garlic Jar - 16.8 Oz"/>
    <n v="16.8"/>
    <x v="0"/>
    <d v="2021-10-28T00:00:00"/>
    <d v="2026-02-06T00:00:00"/>
    <s v="instacart"/>
    <n v="80809"/>
    <n v="266334"/>
    <x v="0"/>
    <s v="Available"/>
    <x v="0"/>
    <x v="0"/>
  </r>
  <r>
    <s v="860006000301"/>
    <x v="164"/>
    <s v="Frik &amp; Frak Sauce, Classic Marinara"/>
    <n v="24"/>
    <x v="0"/>
    <d v="2021-10-31T00:00:00"/>
    <d v="2026-02-06T00:00:00"/>
    <s v="instacart"/>
    <n v="19403194"/>
    <n v="261523"/>
    <x v="0"/>
    <s v="Available"/>
    <x v="0"/>
    <x v="0"/>
  </r>
  <r>
    <s v="677294998520"/>
    <x v="165"/>
    <s v="ORGANICO BELLO Organic Mama's Recipe Pasta Sauce, 25 OZ"/>
    <n v="25"/>
    <x v="0"/>
    <d v="2023-11-16T00:00:00"/>
    <d v="2026-02-06T00:00:00"/>
    <s v="instacart"/>
    <s v=""/>
    <n v="261564"/>
    <x v="1"/>
    <s v="Available"/>
    <x v="1"/>
    <x v="0"/>
  </r>
  <r>
    <s v="020662003904"/>
    <x v="34"/>
    <s v="Newman's Own Organic Pasta Sauce, Marinara"/>
    <n v="23.5"/>
    <x v="0"/>
    <d v="2021-10-28T00:00:00"/>
    <d v="2026-02-06T00:00:00"/>
    <s v="instacart"/>
    <n v="16754079"/>
    <n v="261879"/>
    <x v="0"/>
    <s v="Available"/>
    <x v="0"/>
    <x v="0"/>
  </r>
  <r>
    <s v="073872746246"/>
    <x v="166"/>
    <s v="Heirloom Tomato Sauce, 15 OZ"/>
    <n v="15"/>
    <x v="0"/>
    <d v="2021-10-31T00:00:00"/>
    <d v="2026-02-04T00:00:00"/>
    <s v="instacart"/>
    <s v="20955125, 3352252"/>
    <s v="266398, 266397"/>
    <x v="0"/>
    <s v="Available"/>
    <x v="0"/>
    <x v="0"/>
  </r>
  <r>
    <s v="072343000580"/>
    <x v="32"/>
    <s v="Mid's Pasta Sauce, Tomato &amp; Roasted Garlic 28 Oz"/>
    <n v="28"/>
    <x v="0"/>
    <d v="2024-05-19T00:00:00"/>
    <d v="2026-02-06T00:00:00"/>
    <s v="instacart"/>
    <n v="45792140"/>
    <n v="261556"/>
    <x v="0"/>
    <s v="Available"/>
    <x v="0"/>
    <x v="0"/>
  </r>
  <r>
    <s v="798235702744"/>
    <x v="7"/>
    <s v="Rao's Homemade Marinara Sauce, 24 oz, All Purpose Tomato Sauce, Pasta Sauce, Carb Conscious, Keto Friendly, All Natural, Premium Quality, With Italian Tomatoes &amp; Olive Oil"/>
    <n v="24"/>
    <x v="0"/>
    <d v="2021-10-28T00:00:00"/>
    <d v="2026-02-04T00:00:00"/>
    <s v="instacart"/>
    <n v="24808"/>
    <n v="266907"/>
    <x v="0"/>
    <s v="Available"/>
    <x v="0"/>
    <x v="0"/>
  </r>
  <r>
    <s v="033157000128"/>
    <x v="12"/>
    <s v="Orti Di Calabria Butternut Squash Pasta Sauce, 24.3 oz"/>
    <n v="24.3"/>
    <x v="0"/>
    <d v="2021-10-28T00:00:00"/>
    <d v="2026-02-05T00:00:00"/>
    <s v="instacart"/>
    <n v="19337574"/>
    <n v="264122"/>
    <x v="0"/>
    <s v="Available"/>
    <x v="0"/>
    <x v="0"/>
  </r>
  <r>
    <s v="860004856016"/>
    <x v="23"/>
    <s v="Gino Angelini Foods Pasta Sauce Pomodorini - 24 Oz"/>
    <n v="25"/>
    <x v="0"/>
    <d v="2022-10-27T00:00:00"/>
    <d v="2026-02-06T00:00:00"/>
    <s v="instacart"/>
    <n v="26221407"/>
    <n v="266422"/>
    <x v="0"/>
    <s v="Available"/>
    <x v="0"/>
    <x v="0"/>
  </r>
  <r>
    <s v="879026010153"/>
    <x v="167"/>
    <s v="Bono Pasta Sauce, Roasted Garlic 24 oz"/>
    <n v="24"/>
    <x v="0"/>
    <d v="2021-10-28T00:00:00"/>
    <d v="2026-02-05T00:00:00"/>
    <s v="instacart"/>
    <n v="21551676"/>
    <n v="264638"/>
    <x v="0"/>
    <s v="Available"/>
    <x v="0"/>
    <x v="0"/>
  </r>
  <r>
    <s v="896859000601"/>
    <x v="51"/>
    <s v="Organicville Organic Pasta Sauce Tomato Basil"/>
    <n v="24"/>
    <x v="0"/>
    <d v="2021-10-28T00:00:00"/>
    <d v="2025-10-23T00:00:00"/>
    <s v="instacart"/>
    <s v=""/>
    <n v="264708"/>
    <x v="1"/>
    <s v="Available"/>
    <x v="1"/>
    <x v="0"/>
  </r>
  <r>
    <s v="710996010029"/>
    <x v="41"/>
    <s v="Nonna Pia's - Puttansca Pasta Sauce"/>
    <n v="22.3169"/>
    <x v="1"/>
    <d v="2025-04-10T00:00:00"/>
    <d v="2025-10-16T00:00:00"/>
    <s v="instacart"/>
    <s v=""/>
    <n v="266459"/>
    <x v="1"/>
    <s v="Available"/>
    <x v="1"/>
    <x v="0"/>
  </r>
  <r>
    <s v="749569272922"/>
    <x v="120"/>
    <s v="Yo Mama's Foods Keto Tomato Basil Pasta And Spaghetti Sauce, 6 PK"/>
    <m/>
    <x v="2"/>
    <d v="2023-04-03T00:00:00"/>
    <d v="2023-04-07T00:00:00"/>
    <s v="instacart"/>
    <s v=""/>
    <n v="264100"/>
    <x v="1"/>
    <s v="Available"/>
    <x v="1"/>
    <x v="0"/>
  </r>
  <r>
    <s v="036200430767"/>
    <x v="6"/>
    <s v="Bertolli Sauce, Roasted Garlic 23 oz"/>
    <n v="23"/>
    <x v="0"/>
    <d v="2021-10-28T00:00:00"/>
    <d v="2026-02-06T00:00:00"/>
    <s v="instacart"/>
    <n v="17066472"/>
    <n v="264477"/>
    <x v="0"/>
    <s v="Available"/>
    <x v="0"/>
    <x v="0"/>
  </r>
  <r>
    <s v="027000500101"/>
    <x v="24"/>
    <s v="Hunt's Premium Four Cheese Pasta Sauce"/>
    <n v="24"/>
    <x v="0"/>
    <d v="2021-10-28T00:00:00"/>
    <d v="2026-02-07T00:00:00"/>
    <s v="instacart"/>
    <n v="39390"/>
    <n v="264289"/>
    <x v="0"/>
    <s v="Available"/>
    <x v="0"/>
    <x v="0"/>
  </r>
  <r>
    <s v="051000027924"/>
    <x v="5"/>
    <s v="Prego Pasta Sauce, Italian Tomato Sauce with Meat, 45 Ounce Jar"/>
    <n v="45"/>
    <x v="0"/>
    <d v="2021-10-28T00:00:00"/>
    <d v="2026-02-07T00:00:00"/>
    <s v="instacart"/>
    <n v="39361"/>
    <n v="264476"/>
    <x v="0"/>
    <s v="Available"/>
    <x v="0"/>
    <x v="0"/>
  </r>
  <r>
    <s v="033698815021"/>
    <x v="168"/>
    <s v="Sun of Italy Marinara Pasta Sauce"/>
    <n v="24"/>
    <x v="0"/>
    <d v="2021-10-31T00:00:00"/>
    <d v="2026-02-04T00:00:00"/>
    <s v="instacart"/>
    <s v=""/>
    <n v="266279"/>
    <x v="1"/>
    <s v="Available"/>
    <x v="1"/>
    <x v="0"/>
  </r>
  <r>
    <s v="000204693206"/>
    <x v="38"/>
    <s v="Italiamo cherry tomato sauce"/>
    <n v="11.6"/>
    <x v="0"/>
    <d v="2023-04-17T00:00:00"/>
    <d v="2026-02-06T00:00:00"/>
    <s v="instacart"/>
    <s v=""/>
    <n v="261493"/>
    <x v="1"/>
    <s v="Missing"/>
    <x v="1"/>
    <x v="1"/>
  </r>
  <r>
    <s v="710069175051"/>
    <x v="69"/>
    <s v="Gefn Ns Pasta Sauce - 25 Oz"/>
    <n v="25"/>
    <x v="0"/>
    <d v="2021-10-28T00:00:00"/>
    <d v="2026-02-06T00:00:00"/>
    <s v="instacart"/>
    <s v=""/>
    <n v="262059"/>
    <x v="1"/>
    <s v="Available"/>
    <x v="1"/>
    <x v="0"/>
  </r>
  <r>
    <s v="036200229316"/>
    <x v="6"/>
    <s v="Bertolli Organic Olive Oil, Basil and Garlic Sauce, 3 pk./24 oz."/>
    <n v="3"/>
    <x v="3"/>
    <d v="2021-10-28T00:00:00"/>
    <d v="2026-01-23T00:00:00"/>
    <s v="instacart"/>
    <s v=""/>
    <n v="261657"/>
    <x v="1"/>
    <s v="Available"/>
    <x v="1"/>
    <x v="0"/>
  </r>
  <r>
    <s v="613960103669"/>
    <x v="169"/>
    <s v="Pinton Salas para Pastas"/>
    <n v="14"/>
    <x v="0"/>
    <d v="2023-08-16T00:00:00"/>
    <d v="2026-02-06T00:00:00"/>
    <s v="instacart"/>
    <s v=""/>
    <n v="264124"/>
    <x v="1"/>
    <s v="Available"/>
    <x v="1"/>
    <x v="0"/>
  </r>
  <r>
    <s v="046212517844"/>
    <x v="170"/>
    <s v="Sal Judy Hs Chunky Sauce"/>
    <n v="25"/>
    <x v="0"/>
    <d v="2021-10-28T00:00:00"/>
    <d v="2026-02-04T00:00:00"/>
    <s v="instacart"/>
    <n v="18520527"/>
    <n v="261704"/>
    <x v="0"/>
    <s v="Available"/>
    <x v="0"/>
    <x v="0"/>
  </r>
  <r>
    <s v="077644901383"/>
    <x v="0"/>
    <s v="Francesco Rinaldi Pasta Sauce, Traditional"/>
    <n v="45"/>
    <x v="0"/>
    <d v="2021-10-28T00:00:00"/>
    <d v="2026-02-06T00:00:00"/>
    <s v="instacart"/>
    <n v="73926"/>
    <n v="261900"/>
    <x v="0"/>
    <s v="Available"/>
    <x v="0"/>
    <x v="0"/>
  </r>
  <r>
    <s v="811497008338"/>
    <x v="50"/>
    <s v="TantilloÂ® Reserve Pomodoro Sauce"/>
    <m/>
    <x v="2"/>
    <d v="2021-11-01T00:00:00"/>
    <d v="2023-06-11T00:00:00"/>
    <s v="instacart"/>
    <s v=""/>
    <n v="266858"/>
    <x v="1"/>
    <s v="Available"/>
    <x v="1"/>
    <x v="0"/>
  </r>
  <r>
    <s v="072343000184"/>
    <x v="32"/>
    <s v="Mids Pasta Sauces Mids Pasta Sauce, 32 oz"/>
    <n v="32"/>
    <x v="0"/>
    <d v="2021-10-28T00:00:00"/>
    <d v="2026-02-04T00:00:00"/>
    <s v="instacart"/>
    <s v=""/>
    <n v="264201"/>
    <x v="1"/>
    <s v="Available"/>
    <x v="1"/>
    <x v="0"/>
  </r>
  <r>
    <s v="747479101875"/>
    <x v="7"/>
    <s v="Rao's, Arrabbiata Sauce, 15.5 OZ"/>
    <n v="15.5"/>
    <x v="0"/>
    <d v="2024-01-31T00:00:00"/>
    <d v="2026-02-04T00:00:00"/>
    <s v="instacart"/>
    <s v=""/>
    <n v="266302"/>
    <x v="1"/>
    <s v="Available"/>
    <x v="1"/>
    <x v="0"/>
  </r>
  <r>
    <s v="688672103023"/>
    <x v="171"/>
    <s v="Sauces n Love Pasta Sauces, Arrabbiata"/>
    <n v="15.3"/>
    <x v="0"/>
    <d v="2021-10-28T00:00:00"/>
    <d v="2026-02-06T00:00:00"/>
    <s v="instacart"/>
    <s v=""/>
    <n v="264366"/>
    <x v="1"/>
    <s v="Available"/>
    <x v="1"/>
    <x v="0"/>
  </r>
  <r>
    <s v="027000422731"/>
    <x v="24"/>
    <s v="ConAgra Foods Hunts Pasta Sauce 26 oz"/>
    <n v="26"/>
    <x v="0"/>
    <d v="2021-10-28T00:00:00"/>
    <d v="2026-02-07T00:00:00"/>
    <s v="instacart"/>
    <s v=""/>
    <n v="262246"/>
    <x v="1"/>
    <s v="Available"/>
    <x v="1"/>
    <x v="0"/>
  </r>
  <r>
    <s v="085917230511"/>
    <x v="172"/>
    <s v="BELLA ITALIA Calabrian Chile Arrabbiata Pasta Sauce, 15 OZ"/>
    <n v="15"/>
    <x v="0"/>
    <d v="2023-10-11T00:00:00"/>
    <d v="2026-02-06T00:00:00"/>
    <s v="instacart"/>
    <n v="33208880"/>
    <n v="262548"/>
    <x v="0"/>
    <s v="Available"/>
    <x v="0"/>
    <x v="0"/>
  </r>
  <r>
    <s v="868391000395"/>
    <x v="20"/>
    <s v="Yo Mama's Vodka Tomato Sauce 25 Oz"/>
    <n v="25"/>
    <x v="0"/>
    <d v="2021-10-28T00:00:00"/>
    <d v="2026-02-06T00:00:00"/>
    <s v="instacart"/>
    <n v="19634980"/>
    <n v="264206"/>
    <x v="0"/>
    <s v="Available"/>
    <x v="0"/>
    <x v="0"/>
  </r>
  <r>
    <s v="677294991262"/>
    <x v="85"/>
    <s v="Cucina Antica - Tomato Basil Sauce"/>
    <n v="22.655035000000002"/>
    <x v="1"/>
    <d v="2021-10-28T00:00:00"/>
    <d v="2025-06-01T00:00:00"/>
    <s v="instacart"/>
    <s v=""/>
    <n v="266337"/>
    <x v="1"/>
    <s v="Available"/>
    <x v="1"/>
    <x v="0"/>
  </r>
  <r>
    <s v="076050170284"/>
    <x v="13"/>
    <s v="Paesana Pasta Sauce Roasted Garlic - 25 Oz"/>
    <n v="25"/>
    <x v="0"/>
    <d v="2021-10-28T00:00:00"/>
    <d v="2026-02-06T00:00:00"/>
    <s v="instacart"/>
    <n v="387001"/>
    <n v="261533"/>
    <x v="0"/>
    <s v="Available"/>
    <x v="0"/>
    <x v="0"/>
  </r>
  <r>
    <s v="748252561541"/>
    <x v="147"/>
    <s v="Terlato Kitchen Sauce Pomodoro Jar - 24 Oz"/>
    <n v="24"/>
    <x v="0"/>
    <d v="2021-10-28T00:00:00"/>
    <d v="2026-02-05T00:00:00"/>
    <s v="instacart"/>
    <n v="3242671"/>
    <n v="266982"/>
    <x v="0"/>
    <s v="Available"/>
    <x v="0"/>
    <x v="0"/>
  </r>
  <r>
    <s v="850687400019"/>
    <x v="46"/>
    <s v="California Olive Ranch Marinara Sauce, California Style 25 oz"/>
    <n v="25"/>
    <x v="0"/>
    <d v="2022-02-15T00:00:00"/>
    <d v="2026-02-06T00:00:00"/>
    <s v="instacart"/>
    <n v="27583107"/>
    <n v="264112"/>
    <x v="0"/>
    <s v="Available"/>
    <x v="0"/>
    <x v="0"/>
  </r>
  <r>
    <s v="041736000315"/>
    <x v="43"/>
    <s v="Filippo Berio Traditional Pasta Sauce"/>
    <n v="24"/>
    <x v="0"/>
    <d v="2024-06-30T00:00:00"/>
    <d v="2026-02-06T00:00:00"/>
    <s v="instacart"/>
    <n v="48715862"/>
    <n v="264286"/>
    <x v="0"/>
    <s v="Available"/>
    <x v="0"/>
    <x v="0"/>
  </r>
  <r>
    <s v="711381321065"/>
    <x v="91"/>
    <s v="Stonewall Kitchen Sauce Traditional Marinara Jar - 18.5 Oz"/>
    <n v="18.5"/>
    <x v="0"/>
    <d v="2021-10-28T00:00:00"/>
    <d v="2026-02-06T00:00:00"/>
    <s v="instacart"/>
    <s v=""/>
    <n v="266352"/>
    <x v="1"/>
    <s v="Available"/>
    <x v="1"/>
    <x v="0"/>
  </r>
  <r>
    <s v="860010086001"/>
    <x v="48"/>
    <s v="Jersey Italian Gravy Clasic Marinara, 6 PK"/>
    <m/>
    <x v="2"/>
    <d v="2023-03-24T00:00:00"/>
    <d v="2023-06-22T00:00:00"/>
    <s v="instacart"/>
    <s v=""/>
    <n v="266851"/>
    <x v="1"/>
    <s v="Available"/>
    <x v="1"/>
    <x v="0"/>
  </r>
  <r>
    <s v="741890123751"/>
    <x v="38"/>
    <s v="LaRosa Pasta Sauce 16oz"/>
    <n v="16"/>
    <x v="0"/>
    <d v="2022-05-18T00:00:00"/>
    <d v="2026-02-04T00:00:00"/>
    <s v="instacart"/>
    <n v="27420926"/>
    <n v="264462"/>
    <x v="0"/>
    <s v="Missing"/>
    <x v="0"/>
    <x v="1"/>
  </r>
  <r>
    <s v="648505507213"/>
    <x v="113"/>
    <s v="Lucini Sauce, Organic, Spicy Tuscan Tomato 25.5 Oz"/>
    <n v="25.5"/>
    <x v="0"/>
    <d v="2021-10-28T00:00:00"/>
    <d v="2026-02-06T00:00:00"/>
    <s v="instacart"/>
    <s v=""/>
    <n v="267046"/>
    <x v="1"/>
    <s v="Available"/>
    <x v="1"/>
    <x v="0"/>
  </r>
  <r>
    <s v="736211338754"/>
    <x v="173"/>
    <s v="Mama Valerios Marinara Pasta Sauce"/>
    <n v="24"/>
    <x v="0"/>
    <d v="2021-11-01T00:00:00"/>
    <d v="2025-03-23T00:00:00"/>
    <s v="instacart"/>
    <s v=""/>
    <n v="262600"/>
    <x v="1"/>
    <s v="Available"/>
    <x v="1"/>
    <x v="0"/>
  </r>
  <r>
    <s v="041129077115"/>
    <x v="19"/>
    <s v="Classico Tomato and Basil Pasta Sauce"/>
    <n v="14"/>
    <x v="0"/>
    <d v="2021-10-28T00:00:00"/>
    <d v="2026-02-06T00:00:00"/>
    <s v="instacart"/>
    <n v="80810"/>
    <n v="266280"/>
    <x v="0"/>
    <s v="Available"/>
    <x v="0"/>
    <x v="0"/>
  </r>
  <r>
    <s v="076808008722"/>
    <x v="174"/>
    <s v="BarillaÂ® Vero Gustoâ„¢ Heritage Marinara Non-GMO Verified Pasta Sauce"/>
    <n v="20"/>
    <x v="0"/>
    <d v="2021-10-28T00:00:00"/>
    <d v="2026-02-06T00:00:00"/>
    <s v="instacart"/>
    <s v=""/>
    <n v="266325"/>
    <x v="1"/>
    <s v="Available"/>
    <x v="1"/>
    <x v="0"/>
  </r>
  <r>
    <s v="036200199091"/>
    <x v="6"/>
    <s v="Bertolli Pasta Sauce Variety Pack, Tomato &amp; Basil and Olive Oil &amp; Garlic, 3 pk./24 oz."/>
    <n v="0.125"/>
    <x v="0"/>
    <d v="2021-10-28T00:00:00"/>
    <d v="2026-01-23T00:00:00"/>
    <s v="instacart"/>
    <s v=""/>
    <n v="261573"/>
    <x v="1"/>
    <s v="Available"/>
    <x v="1"/>
    <x v="0"/>
  </r>
  <r>
    <s v="891752001007"/>
    <x v="4"/>
    <s v="Pasta Sauce Vodka Premium Quality Gourmet"/>
    <m/>
    <x v="2"/>
    <d v="2021-10-31T00:00:00"/>
    <d v="2023-07-26T00:00:00"/>
    <s v="instacart"/>
    <s v=""/>
    <n v="262047"/>
    <x v="1"/>
    <s v="Available"/>
    <x v="1"/>
    <x v="0"/>
  </r>
  <r>
    <s v="860002303604"/>
    <x v="38"/>
    <s v="Gino Angelini Amatriciana Pasta Sauce GF, 24 oz"/>
    <m/>
    <x v="2"/>
    <d v="2021-11-02T00:00:00"/>
    <d v="2023-06-11T00:00:00"/>
    <s v="instacart"/>
    <s v=""/>
    <n v="261817"/>
    <x v="1"/>
    <s v="Missing"/>
    <x v="1"/>
    <x v="1"/>
  </r>
  <r>
    <s v="748252561640"/>
    <x v="147"/>
    <s v="Terlato Kitchen Sauce Arrabiatta Jar - 24 Oz"/>
    <n v="24"/>
    <x v="0"/>
    <d v="2021-10-28T00:00:00"/>
    <d v="2026-02-05T00:00:00"/>
    <s v="instacart"/>
    <n v="3242670"/>
    <n v="262269"/>
    <x v="0"/>
    <s v="Available"/>
    <x v="0"/>
    <x v="0"/>
  </r>
  <r>
    <s v="066086090205"/>
    <x v="124"/>
    <s v="Pastene Pasta Sauce, Tomato Garlic 24.3 oz"/>
    <n v="24"/>
    <x v="0"/>
    <d v="2021-10-28T00:00:00"/>
    <d v="2026-02-06T00:00:00"/>
    <s v="instacart"/>
    <s v=""/>
    <n v="261821"/>
    <x v="1"/>
    <s v="Available"/>
    <x v="1"/>
    <x v="0"/>
  </r>
  <r>
    <s v="036200378151"/>
    <x v="15"/>
    <s v="Ragu Traditional Sauce, Chunky 24 Oz"/>
    <n v="24"/>
    <x v="0"/>
    <d v="2021-10-28T00:00:00"/>
    <d v="2026-02-06T00:00:00"/>
    <s v="instacart"/>
    <n v="1334137"/>
    <n v="266284"/>
    <x v="0"/>
    <s v="Available"/>
    <x v="0"/>
    <x v="0"/>
  </r>
  <r>
    <s v="057000330118"/>
    <x v="19"/>
    <s v="CLASSICO - Di Capri Sun Dried Tomato Pasta Sauce"/>
    <n v="21.978764999999999"/>
    <x v="1"/>
    <d v="2021-10-28T00:00:00"/>
    <d v="2025-01-02T00:00:00"/>
    <s v="instacart"/>
    <s v=""/>
    <n v="266844"/>
    <x v="1"/>
    <s v="Available"/>
    <x v="1"/>
    <x v="0"/>
  </r>
  <r>
    <s v="036200004456"/>
    <x v="15"/>
    <s v="Ragu Chunky Super Mushroom Sauce - 24 Ounce - 1 Count"/>
    <n v="24"/>
    <x v="0"/>
    <d v="2021-10-28T00:00:00"/>
    <d v="2026-02-07T00:00:00"/>
    <s v="instacart"/>
    <n v="39332"/>
    <n v="261866"/>
    <x v="0"/>
    <s v="Available"/>
    <x v="0"/>
    <x v="0"/>
  </r>
  <r>
    <s v="868391000333"/>
    <x v="20"/>
    <s v="Yo Mama's Tomato Sauce, Burgundy Wine, French 25 Oz"/>
    <n v="25"/>
    <x v="0"/>
    <d v="2021-10-28T00:00:00"/>
    <d v="2026-02-06T00:00:00"/>
    <s v="instacart"/>
    <n v="18689024"/>
    <n v="266643"/>
    <x v="0"/>
    <s v="Available"/>
    <x v="0"/>
    <x v="0"/>
  </r>
  <r>
    <s v="860009228948"/>
    <x v="48"/>
    <s v="Jersey Italian Gravy Arrabiata Sauce, 12 PK"/>
    <m/>
    <x v="2"/>
    <d v="2023-03-24T00:00:00"/>
    <d v="2023-06-22T00:00:00"/>
    <s v="instacart"/>
    <s v=""/>
    <n v="262614"/>
    <x v="1"/>
    <s v="Available"/>
    <x v="1"/>
    <x v="0"/>
  </r>
  <r>
    <s v="051000284303"/>
    <x v="45"/>
    <s v="PregoÂ® Creamy Tomato Basil Pasta Sauce, 23.5 oz Jar"/>
    <n v="24"/>
    <x v="0"/>
    <d v="2022-02-15T00:00:00"/>
    <d v="2026-02-06T00:00:00"/>
    <s v="instacart"/>
    <n v="27126603"/>
    <n v="264351"/>
    <x v="0"/>
    <s v="Available"/>
    <x v="0"/>
    <x v="0"/>
  </r>
  <r>
    <s v="046015165402"/>
    <x v="51"/>
    <s v="Organic Ville Sauce Pasta Marinara"/>
    <n v="24"/>
    <x v="0"/>
    <d v="2021-10-28T00:00:00"/>
    <d v="2026-02-06T00:00:00"/>
    <s v="instacart"/>
    <n v="24933390"/>
    <n v="266567"/>
    <x v="0"/>
    <s v="Available"/>
    <x v="0"/>
    <x v="0"/>
  </r>
  <r>
    <s v="076050800211"/>
    <x v="13"/>
    <s v="Paesana Pasta Sauce Organic Tomato &amp; Basil - 25 Oz"/>
    <n v="25"/>
    <x v="0"/>
    <d v="2021-10-28T00:00:00"/>
    <d v="2026-02-06T00:00:00"/>
    <s v="instacart"/>
    <n v="2736390"/>
    <n v="264535"/>
    <x v="0"/>
    <s v="Available"/>
    <x v="0"/>
    <x v="0"/>
  </r>
  <r>
    <s v="791946130172"/>
    <x v="175"/>
    <s v="Green Mill Pasta Sauce, Marinara"/>
    <n v="24"/>
    <x v="0"/>
    <d v="2021-10-28T00:00:00"/>
    <d v="2026-02-02T00:00:00"/>
    <s v="instacart"/>
    <n v="2798876"/>
    <n v="264195"/>
    <x v="0"/>
    <s v="Available"/>
    <x v="0"/>
    <x v="0"/>
  </r>
  <r>
    <s v="850017808492"/>
    <x v="44"/>
    <s v="Botticelli Tomato &amp; Basil Premium Pasta Sauce, 34.8 oz"/>
    <n v="34.799999999999997"/>
    <x v="0"/>
    <d v="2021-11-01T00:00:00"/>
    <d v="2025-11-05T00:00:00"/>
    <s v="instacart"/>
    <n v="25392844"/>
    <n v="267049"/>
    <x v="0"/>
    <s v="Available"/>
    <x v="0"/>
    <x v="0"/>
  </r>
  <r>
    <s v="860000631839"/>
    <x v="151"/>
    <s v="Fra Diavolo Sauce, 25.5 oz"/>
    <n v="25.5"/>
    <x v="0"/>
    <d v="2021-11-08T00:00:00"/>
    <d v="2024-03-09T00:00:00"/>
    <s v="instacart"/>
    <s v=""/>
    <n v="267059"/>
    <x v="1"/>
    <s v="Available"/>
    <x v="1"/>
    <x v="0"/>
  </r>
  <r>
    <s v="799210900025"/>
    <x v="176"/>
    <s v="Bionaturae Organic Arrabbiata Pasta Sauce - Tomato Sauce for Spaghetti, Pizza, &amp; Lasagna, Gluten Free, Non GMO, No Added Sugar, Kosher, Glyphosate Free, Made in Italy, Tastes like Homemade - 24 oz Jar"/>
    <n v="24"/>
    <x v="0"/>
    <d v="2025-01-22T00:00:00"/>
    <d v="2026-02-06T00:00:00"/>
    <s v="instacart"/>
    <n v="64419192"/>
    <n v="264036"/>
    <x v="0"/>
    <s v="Available"/>
    <x v="0"/>
    <x v="0"/>
  </r>
  <r>
    <s v="733636330042"/>
    <x v="47"/>
    <s v="Sonoma Gourmet Roasted Garlic"/>
    <n v="25"/>
    <x v="0"/>
    <d v="2021-10-28T00:00:00"/>
    <d v="2026-02-03T00:00:00"/>
    <s v="instacart"/>
    <n v="2219444"/>
    <n v="261685"/>
    <x v="0"/>
    <s v="Available"/>
    <x v="0"/>
    <x v="0"/>
  </r>
  <r>
    <s v="049539990024"/>
    <x v="59"/>
    <s v="Cascone's Marinara"/>
    <n v="24"/>
    <x v="0"/>
    <d v="2023-11-23T00:00:00"/>
    <d v="2026-02-04T00:00:00"/>
    <s v="instacart"/>
    <n v="28129699"/>
    <n v="261514"/>
    <x v="0"/>
    <s v="Available"/>
    <x v="0"/>
    <x v="0"/>
  </r>
  <r>
    <s v="876045006419"/>
    <x v="177"/>
    <s v="Little Italy Bronx Sauce Tomato Basil - 24 Oz"/>
    <n v="24"/>
    <x v="0"/>
    <d v="2021-10-28T00:00:00"/>
    <d v="2026-02-06T00:00:00"/>
    <s v="instacart"/>
    <n v="18474772"/>
    <n v="266319"/>
    <x v="0"/>
    <s v="Available"/>
    <x v="0"/>
    <x v="0"/>
  </r>
  <r>
    <s v="057000012564"/>
    <x v="19"/>
    <s v="Classico - Tomato &amp; Pesto Sauce"/>
    <n v="20.288091000000001"/>
    <x v="1"/>
    <d v="2024-12-05T00:00:00"/>
    <d v="2026-02-05T00:00:00"/>
    <s v="instacart"/>
    <s v=""/>
    <n v="267032"/>
    <x v="1"/>
    <s v="Available"/>
    <x v="1"/>
    <x v="0"/>
  </r>
  <r>
    <s v="726768000006"/>
    <x v="38"/>
    <s v="Capozzi's Spicy Marinara Sauce"/>
    <n v="26"/>
    <x v="0"/>
    <d v="2021-11-03T00:00:00"/>
    <d v="2026-02-04T00:00:00"/>
    <s v="instacart"/>
    <n v="19739876"/>
    <n v="266934"/>
    <x v="0"/>
    <s v="Missing"/>
    <x v="0"/>
    <x v="1"/>
  </r>
  <r>
    <s v="027000422380"/>
    <x v="24"/>
    <s v="ConAgra Foods Hunts Premium Pasta Sauce 26.5 oz"/>
    <n v="24"/>
    <x v="0"/>
    <d v="2021-10-28T00:00:00"/>
    <d v="2026-02-07T00:00:00"/>
    <s v="instacart"/>
    <n v="43575"/>
    <n v="264642"/>
    <x v="0"/>
    <s v="Available"/>
    <x v="0"/>
    <x v="0"/>
  </r>
  <r>
    <s v="677294991170"/>
    <x v="55"/>
    <s v="Cucina Antica Garlic Marinara Sauce, 32 oz"/>
    <n v="32"/>
    <x v="0"/>
    <d v="2021-10-28T00:00:00"/>
    <d v="2025-11-22T00:00:00"/>
    <s v="instacart"/>
    <s v=""/>
    <n v="262228"/>
    <x v="1"/>
    <s v="Available"/>
    <x v="1"/>
    <x v="0"/>
  </r>
  <r>
    <s v="851799003129"/>
    <x v="38"/>
    <s v="Pompilio's Bolognese Marinara Pasta Sauce"/>
    <n v="26"/>
    <x v="0"/>
    <d v="2021-10-31T00:00:00"/>
    <d v="2026-02-05T00:00:00"/>
    <s v="instacart"/>
    <n v="17507598"/>
    <n v="264148"/>
    <x v="0"/>
    <s v="Missing"/>
    <x v="0"/>
    <x v="1"/>
  </r>
  <r>
    <s v="066086090304"/>
    <x v="124"/>
    <s v="Pastene Sauce, Red Clam, Italian Style 15 oz"/>
    <n v="10.5"/>
    <x v="0"/>
    <d v="2021-10-28T00:00:00"/>
    <d v="2026-02-06T00:00:00"/>
    <s v="instacart"/>
    <s v=""/>
    <n v="261684"/>
    <x v="1"/>
    <s v="Available"/>
    <x v="1"/>
    <x v="0"/>
  </r>
  <r>
    <s v="089397111858"/>
    <x v="71"/>
    <s v="Racconto Pasta Sauce, Platinum, Marinara 24 oz (1 lb 8 oz) 680 g"/>
    <n v="24"/>
    <x v="0"/>
    <d v="2021-10-28T00:00:00"/>
    <d v="2026-02-05T00:00:00"/>
    <s v="instacart"/>
    <n v="91497"/>
    <n v="261555"/>
    <x v="0"/>
    <s v="Available"/>
    <x v="0"/>
    <x v="0"/>
  </r>
  <r>
    <s v="840224600910"/>
    <x v="37"/>
    <s v="Primal Kitchen Creamy Sundried Tomato and Herb Sauce, 15 oz"/>
    <n v="15"/>
    <x v="0"/>
    <d v="2025-01-22T00:00:00"/>
    <d v="2026-02-06T00:00:00"/>
    <s v="instacart"/>
    <n v="58194576"/>
    <n v="261697"/>
    <x v="0"/>
    <s v="Available"/>
    <x v="0"/>
    <x v="0"/>
  </r>
  <r>
    <s v="855019004019"/>
    <x v="96"/>
    <s v="Michaels Of Brooklyn Tomato &amp; Basil, Fresh 32 oz"/>
    <n v="32"/>
    <x v="0"/>
    <d v="2021-10-28T00:00:00"/>
    <d v="2026-02-06T00:00:00"/>
    <s v="instacart"/>
    <n v="98570"/>
    <n v="264154"/>
    <x v="0"/>
    <s v="Available"/>
    <x v="0"/>
    <x v="0"/>
  </r>
  <r>
    <s v="855019004163"/>
    <x v="96"/>
    <s v="Michaels of Brooklyn Low Sodium Marinara Sauce, 16 oz"/>
    <n v="16"/>
    <x v="0"/>
    <d v="2023-02-15T00:00:00"/>
    <d v="2026-02-06T00:00:00"/>
    <s v="instacart"/>
    <n v="19970603"/>
    <n v="264637"/>
    <x v="0"/>
    <s v="Available"/>
    <x v="0"/>
    <x v="0"/>
  </r>
  <r>
    <s v="072368424989"/>
    <x v="99"/>
    <s v="De Lallo Clam Sauce, Red, Italian Style 10.5 oz"/>
    <n v="10.5"/>
    <x v="0"/>
    <d v="2021-10-28T00:00:00"/>
    <d v="2026-02-06T00:00:00"/>
    <s v="instacart"/>
    <n v="53305"/>
    <n v="267053"/>
    <x v="0"/>
    <s v="Available"/>
    <x v="0"/>
    <x v="0"/>
  </r>
  <r>
    <s v="014886500059"/>
    <x v="67"/>
    <s v="Dell Amore Marinara Sauce Sweet Basil &amp; Garlic Jar - 25 Oz"/>
    <n v="25"/>
    <x v="0"/>
    <d v="2021-10-28T00:00:00"/>
    <d v="2026-02-06T00:00:00"/>
    <s v="instacart"/>
    <n v="73918"/>
    <n v="264155"/>
    <x v="0"/>
    <s v="Available"/>
    <x v="0"/>
    <x v="0"/>
  </r>
  <r>
    <s v="716815005320"/>
    <x v="38"/>
    <s v="Minimalist Marinara Pasta Sauce"/>
    <n v="16"/>
    <x v="0"/>
    <d v="2023-04-27T00:00:00"/>
    <d v="2026-02-05T00:00:00"/>
    <s v="instacart"/>
    <s v=""/>
    <n v="261868"/>
    <x v="1"/>
    <s v="Missing"/>
    <x v="1"/>
    <x v="1"/>
  </r>
  <r>
    <s v="080602024765"/>
    <x v="77"/>
    <s v="Sclafani All Purpose Marinara Sauce, 32 oz"/>
    <n v="32"/>
    <x v="0"/>
    <d v="2021-10-31T00:00:00"/>
    <d v="2026-02-06T00:00:00"/>
    <s v="instacart"/>
    <n v="226655"/>
    <n v="264324"/>
    <x v="0"/>
    <s v="Available"/>
    <x v="0"/>
    <x v="0"/>
  </r>
  <r>
    <s v="048176844523"/>
    <x v="178"/>
    <s v="Monjunis Pasta Sauce - 15 Oz"/>
    <n v="12.5"/>
    <x v="0"/>
    <d v="2022-09-22T00:00:00"/>
    <d v="2026-02-06T00:00:00"/>
    <s v="instacart"/>
    <n v="26648555"/>
    <n v="262586"/>
    <x v="0"/>
    <s v="Available"/>
    <x v="0"/>
    <x v="0"/>
  </r>
  <r>
    <s v="860000161619"/>
    <x v="179"/>
    <s v="Pizza Girl Pasta Sauce, Vodka, Organic"/>
    <n v="24"/>
    <x v="0"/>
    <d v="2021-11-07T00:00:00"/>
    <d v="2026-02-06T00:00:00"/>
    <s v="instacart"/>
    <n v="20211748"/>
    <n v="266549"/>
    <x v="0"/>
    <s v="Available"/>
    <x v="0"/>
    <x v="0"/>
  </r>
  <r>
    <s v="790302793280"/>
    <x v="38"/>
    <s v="Germano's Basilico Tomato Basil Sauce"/>
    <n v="32"/>
    <x v="1"/>
    <d v="2021-10-31T00:00:00"/>
    <d v="2026-02-05T00:00:00"/>
    <s v="instacart"/>
    <n v="17183197"/>
    <n v="264134"/>
    <x v="0"/>
    <s v="Missing"/>
    <x v="0"/>
    <x v="1"/>
  </r>
  <r>
    <s v="863850000114"/>
    <x v="160"/>
    <s v="Pasta Too Vodka Sauce"/>
    <n v="26"/>
    <x v="0"/>
    <d v="2021-10-28T00:00:00"/>
    <d v="2026-02-06T00:00:00"/>
    <s v="instacart"/>
    <n v="19347471"/>
    <n v="266416"/>
    <x v="0"/>
    <s v="Available"/>
    <x v="0"/>
    <x v="0"/>
  </r>
  <r>
    <s v="070234004501"/>
    <x v="63"/>
    <s v="Victoria Vodka Sauce"/>
    <n v="24"/>
    <x v="0"/>
    <d v="2021-10-28T00:00:00"/>
    <d v="2026-02-06T00:00:00"/>
    <s v="instacart"/>
    <n v="98568"/>
    <n v="261714"/>
    <x v="0"/>
    <s v="Available"/>
    <x v="0"/>
    <x v="0"/>
  </r>
  <r>
    <s v="859210004007"/>
    <x v="180"/>
    <s v="Jar Goods, Tomato Sauce, Classic Red"/>
    <n v="16"/>
    <x v="0"/>
    <d v="2021-10-28T00:00:00"/>
    <d v="2026-02-05T00:00:00"/>
    <s v="instacart"/>
    <n v="263105"/>
    <n v="261497"/>
    <x v="0"/>
    <s v="Available"/>
    <x v="0"/>
    <x v="0"/>
  </r>
  <r>
    <s v="876045006402"/>
    <x v="177"/>
    <s v="Little Italy In The Bronx Pasta Sauce 24 oz"/>
    <n v="24"/>
    <x v="0"/>
    <d v="2021-10-28T00:00:00"/>
    <d v="2026-02-06T00:00:00"/>
    <s v="instacart"/>
    <n v="18474765"/>
    <n v="264069"/>
    <x v="0"/>
    <s v="Available"/>
    <x v="0"/>
    <x v="0"/>
  </r>
  <r>
    <s v="850041276380"/>
    <x v="115"/>
    <s v="Sauz Sage and Thyme Marinara Tomato Sauce - 25oz"/>
    <n v="25"/>
    <x v="0"/>
    <d v="2025-08-24T00:00:00"/>
    <d v="2026-01-11T00:00:00"/>
    <s v="instacart"/>
    <n v="81312901"/>
    <n v="266331"/>
    <x v="0"/>
    <s v="Available"/>
    <x v="0"/>
    <x v="0"/>
  </r>
  <r>
    <s v="048176843052"/>
    <x v="126"/>
    <s v="Mantova Basil Sauce - 24 Oz"/>
    <n v="24"/>
    <x v="0"/>
    <d v="2021-10-31T00:00:00"/>
    <d v="2026-02-06T00:00:00"/>
    <s v="instacart"/>
    <n v="23003558"/>
    <n v="266429"/>
    <x v="0"/>
    <s v="Available"/>
    <x v="0"/>
    <x v="0"/>
  </r>
  <r>
    <s v="858981004001"/>
    <x v="181"/>
    <s v="Bongiovi Brand Marinara Pasta Sauce, 24 oz"/>
    <n v="24"/>
    <x v="0"/>
    <d v="2021-10-31T00:00:00"/>
    <d v="2024-04-10T00:00:00"/>
    <s v="instacart"/>
    <s v=""/>
    <n v="264244"/>
    <x v="1"/>
    <s v="Available"/>
    <x v="1"/>
    <x v="0"/>
  </r>
  <r>
    <s v="850008623219"/>
    <x v="140"/>
    <s v="Mushroom Pepper Sauce, 16 oz"/>
    <n v="16"/>
    <x v="0"/>
    <d v="2023-09-29T00:00:00"/>
    <d v="2025-02-21T00:00:00"/>
    <s v="instacart"/>
    <s v=""/>
    <n v="262601"/>
    <x v="1"/>
    <s v="Available"/>
    <x v="1"/>
    <x v="0"/>
  </r>
  <r>
    <s v="041129077900"/>
    <x v="19"/>
    <s v="Classico Traditional Sweet Basil Pasta Sauce - 24 Oz"/>
    <n v="24"/>
    <x v="0"/>
    <d v="2021-10-28T00:00:00"/>
    <d v="2026-02-07T00:00:00"/>
    <s v="instacart"/>
    <s v="16409282, 34823067"/>
    <s v="262565, 262564"/>
    <x v="0"/>
    <s v="Available"/>
    <x v="0"/>
    <x v="0"/>
  </r>
  <r>
    <s v="850004639641"/>
    <x v="37"/>
    <s v="Primal Kitchen - Tomato Basil Marinara"/>
    <n v="23.162237000000001"/>
    <x v="1"/>
    <d v="2021-10-28T00:00:00"/>
    <d v="2024-03-04T00:00:00"/>
    <s v="instacart"/>
    <s v=""/>
    <n v="266339"/>
    <x v="1"/>
    <s v="Available"/>
    <x v="1"/>
    <x v="0"/>
  </r>
  <r>
    <s v="051000012142"/>
    <x v="5"/>
    <s v="Prego Chunky Tomato - Onion and Garlic Pasta Sauce - 24 Oz"/>
    <n v="24"/>
    <x v="0"/>
    <d v="2021-10-28T00:00:00"/>
    <d v="2026-02-06T00:00:00"/>
    <s v="instacart"/>
    <n v="77089"/>
    <n v="264721"/>
    <x v="0"/>
    <s v="Available"/>
    <x v="0"/>
    <x v="0"/>
  </r>
  <r>
    <s v="850041276120"/>
    <x v="115"/>
    <s v="Sauz Wild Rosemary Marinara"/>
    <n v="25"/>
    <x v="0"/>
    <d v="2024-03-06T00:00:00"/>
    <d v="2026-02-06T00:00:00"/>
    <s v="instacart"/>
    <n v="41163783"/>
    <n v="264128"/>
    <x v="0"/>
    <s v="Available"/>
    <x v="0"/>
    <x v="0"/>
  </r>
  <r>
    <s v="860010562000"/>
    <x v="53"/>
    <s v="CARINARA The Original Pasta Sauce"/>
    <n v="25"/>
    <x v="0"/>
    <d v="2024-05-30T00:00:00"/>
    <d v="2026-02-04T00:00:00"/>
    <s v="instacart"/>
    <s v=""/>
    <n v="266930"/>
    <x v="1"/>
    <s v="Available"/>
    <x v="1"/>
    <x v="0"/>
  </r>
  <r>
    <s v="850017819542"/>
    <x v="182"/>
    <s v="Dairy Free Vodka Sauce, 7.5 OZ"/>
    <n v="7.5"/>
    <x v="0"/>
    <d v="2025-09-09T00:00:00"/>
    <d v="2026-02-04T00:00:00"/>
    <s v="instacart"/>
    <s v=""/>
    <n v="261590"/>
    <x v="1"/>
    <s v="Available"/>
    <x v="1"/>
    <x v="0"/>
  </r>
  <r>
    <s v="860006000349"/>
    <x v="164"/>
    <s v="Frik And Frak Sauce Handsome Devil"/>
    <n v="24"/>
    <x v="0"/>
    <d v="2021-10-31T00:00:00"/>
    <d v="2026-02-06T00:00:00"/>
    <s v="instacart"/>
    <n v="19645810"/>
    <n v="264057"/>
    <x v="0"/>
    <s v="Available"/>
    <x v="0"/>
    <x v="0"/>
  </r>
  <r>
    <s v="077644901123"/>
    <x v="0"/>
    <s v="Francesco Rinaldi Garden Herb Sauce, 24 oz"/>
    <n v="24"/>
    <x v="0"/>
    <d v="2021-10-28T00:00:00"/>
    <d v="2026-02-06T00:00:00"/>
    <s v="instacart"/>
    <n v="73925"/>
    <n v="264542"/>
    <x v="0"/>
    <s v="Available"/>
    <x v="0"/>
    <x v="0"/>
  </r>
  <r>
    <s v="725342282661"/>
    <x v="40"/>
    <s v="Muir Glen Organic Pasta Sauce Italian Herb - 25.5 Oz"/>
    <n v="25.5"/>
    <x v="0"/>
    <d v="2021-10-28T00:00:00"/>
    <d v="2026-02-06T00:00:00"/>
    <s v="instacart"/>
    <n v="24835"/>
    <n v="264716"/>
    <x v="0"/>
    <s v="Available"/>
    <x v="0"/>
    <x v="0"/>
  </r>
  <r>
    <s v="039396005054"/>
    <x v="95"/>
    <s v="DeNunzioâ€™s Specialty Foods Jarred Marinara Sauce"/>
    <m/>
    <x v="2"/>
    <d v="2021-11-01T00:00:00"/>
    <d v="2026-02-06T00:00:00"/>
    <s v="instacart"/>
    <s v=""/>
    <n v="264686"/>
    <x v="1"/>
    <s v="Available"/>
    <x v="1"/>
    <x v="0"/>
  </r>
  <r>
    <s v="814343020928"/>
    <x v="183"/>
    <s v="Made With Pasta Sauce, Organic, Roasted Garlic 25 oz"/>
    <n v="25"/>
    <x v="0"/>
    <d v="2021-10-28T00:00:00"/>
    <d v="2026-02-06T00:00:00"/>
    <s v="instacart"/>
    <n v="3240105"/>
    <n v="262210"/>
    <x v="0"/>
    <s v="Available"/>
    <x v="0"/>
    <x v="0"/>
  </r>
  <r>
    <s v="853507008969"/>
    <x v="184"/>
    <s v="WisePies Spicy Marinara Roasted Red Bell Pepper Pasta Sauce"/>
    <n v="24"/>
    <x v="0"/>
    <d v="2024-04-07T00:00:00"/>
    <d v="2025-12-14T00:00:00"/>
    <s v="instacart"/>
    <s v=""/>
    <n v="266573"/>
    <x v="1"/>
    <s v="Available"/>
    <x v="1"/>
    <x v="0"/>
  </r>
  <r>
    <s v="853507008952"/>
    <x v="38"/>
    <s v="wise pies hatch grn chile marinara"/>
    <n v="24"/>
    <x v="0"/>
    <d v="2023-12-17T00:00:00"/>
    <d v="2026-02-01T00:00:00"/>
    <s v="instacart"/>
    <n v="36513289"/>
    <n v="264141"/>
    <x v="0"/>
    <s v="Missing"/>
    <x v="0"/>
    <x v="1"/>
  </r>
  <r>
    <s v="860002292427"/>
    <x v="185"/>
    <s v="otamot Spicy Organic Sauce"/>
    <n v="16"/>
    <x v="0"/>
    <d v="2021-10-31T00:00:00"/>
    <d v="2024-01-04T00:00:00"/>
    <s v="instacart"/>
    <s v=""/>
    <n v="264434"/>
    <x v="1"/>
    <s v="Available"/>
    <x v="1"/>
    <x v="0"/>
  </r>
  <r>
    <s v="036200431368"/>
    <x v="6"/>
    <s v="Bertolli Organic Marinara Sauce with Italian Herbs &amp; Fresh Garlic, 24 oz"/>
    <n v="24"/>
    <x v="0"/>
    <d v="2021-10-28T00:00:00"/>
    <d v="2026-02-07T00:00:00"/>
    <s v="instacart"/>
    <n v="21428144"/>
    <n v="264290"/>
    <x v="0"/>
    <s v="Available"/>
    <x v="0"/>
    <x v="0"/>
  </r>
  <r>
    <s v="706010112978"/>
    <x v="174"/>
    <s v="Barilla Roasted Garlic Pasta Sauce - 24 Oz"/>
    <n v="24"/>
    <x v="0"/>
    <d v="2021-10-28T00:00:00"/>
    <d v="2026-02-06T00:00:00"/>
    <s v="instacart"/>
    <n v="98533"/>
    <n v="264032"/>
    <x v="0"/>
    <s v="Available"/>
    <x v="0"/>
    <x v="0"/>
  </r>
  <r>
    <s v="070234004112"/>
    <x v="63"/>
    <s v="Victoria Marinara Sauce"/>
    <n v="40"/>
    <x v="0"/>
    <d v="2021-10-30T00:00:00"/>
    <d v="2026-02-06T00:00:00"/>
    <s v="instacart"/>
    <n v="541891"/>
    <n v="266387"/>
    <x v="0"/>
    <s v="Available"/>
    <x v="0"/>
    <x v="0"/>
  </r>
  <r>
    <s v="670541583289"/>
    <x v="48"/>
    <s v="Jersey Italian Gravy - 24 Oz"/>
    <n v="24"/>
    <x v="0"/>
    <d v="2021-10-28T00:00:00"/>
    <d v="2026-02-06T00:00:00"/>
    <s v="instacart"/>
    <s v=""/>
    <n v="262122"/>
    <x v="1"/>
    <s v="Available"/>
    <x v="1"/>
    <x v="0"/>
  </r>
  <r>
    <s v="641208990924"/>
    <x v="186"/>
    <s v="Carfagnas Pasta Sauces 1 qt"/>
    <n v="32"/>
    <x v="0"/>
    <d v="2021-10-28T00:00:00"/>
    <d v="2026-02-06T00:00:00"/>
    <s v="instacart"/>
    <s v=""/>
    <n v="266491"/>
    <x v="1"/>
    <s v="Available"/>
    <x v="1"/>
    <x v="0"/>
  </r>
  <r>
    <s v="073214009459"/>
    <x v="14"/>
    <s v="Mezzetta Sauce, Roasted Garlic"/>
    <n v="25"/>
    <x v="0"/>
    <d v="2021-10-28T00:00:00"/>
    <d v="2026-02-07T00:00:00"/>
    <s v="instacart"/>
    <n v="10008"/>
    <n v="264555"/>
    <x v="0"/>
    <s v="Available"/>
    <x v="0"/>
    <x v="0"/>
  </r>
  <r>
    <s v="648505507244"/>
    <x v="163"/>
    <s v="Lucini Italia Organic Tuscan Tomato Sauce 24 oz"/>
    <n v="24"/>
    <x v="0"/>
    <d v="2021-10-28T00:00:00"/>
    <d v="2026-02-06T00:00:00"/>
    <s v="instacart"/>
    <n v="16970032"/>
    <n v="262627"/>
    <x v="0"/>
    <s v="Available"/>
    <x v="0"/>
    <x v="0"/>
  </r>
  <r>
    <s v="075462041908"/>
    <x v="187"/>
    <s v="Dell Alpe Sauce Tomatoe Basil - 25 Oz"/>
    <n v="25"/>
    <x v="0"/>
    <d v="2021-10-29T00:00:00"/>
    <d v="2026-02-05T00:00:00"/>
    <s v="instacart"/>
    <s v=""/>
    <n v="261844"/>
    <x v="1"/>
    <s v="Available"/>
    <x v="1"/>
    <x v="0"/>
  </r>
  <r>
    <s v="062639373214"/>
    <x v="83"/>
    <s v="Only Goodness - Organic Roasted Garlic Pasta Sauce"/>
    <n v="22.993169999999999"/>
    <x v="1"/>
    <d v="2023-11-03T00:00:00"/>
    <d v="2025-12-04T00:00:00"/>
    <s v="instacart"/>
    <s v=""/>
    <n v="267015"/>
    <x v="1"/>
    <s v="Available"/>
    <x v="1"/>
    <x v="0"/>
  </r>
  <r>
    <s v="057000330170"/>
    <x v="19"/>
    <s v="CLASSICO - Di Piemonte Red Wine &amp; Herb Pasta Sauce"/>
    <n v="21.978764999999999"/>
    <x v="1"/>
    <d v="2021-10-28T00:00:00"/>
    <d v="2024-11-17T00:00:00"/>
    <s v="instacart"/>
    <s v=""/>
    <n v="264430"/>
    <x v="1"/>
    <s v="Available"/>
    <x v="1"/>
    <x v="0"/>
  </r>
  <r>
    <s v="036200013809"/>
    <x v="15"/>
    <s v="Ragu Chunky Tomato, Garlic and Onion Pasta Sauce, Made with Diced Tomatoes, 3 pk./45 oz."/>
    <n v="6.6667000000000004E-2"/>
    <x v="0"/>
    <d v="2021-10-28T00:00:00"/>
    <d v="2026-01-23T00:00:00"/>
    <s v="instacart"/>
    <s v=""/>
    <n v="264055"/>
    <x v="1"/>
    <s v="Available"/>
    <x v="1"/>
    <x v="0"/>
  </r>
  <r>
    <s v="725342132157"/>
    <x v="40"/>
    <s v="Muir Glen Pasta Sauce, Spicy Arrabbiata, No Sugar Added"/>
    <n v="23.5"/>
    <x v="0"/>
    <d v="2021-10-28T00:00:00"/>
    <d v="2026-02-06T00:00:00"/>
    <s v="instacart"/>
    <n v="27747421"/>
    <n v="261587"/>
    <x v="0"/>
    <s v="Available"/>
    <x v="0"/>
    <x v="0"/>
  </r>
  <r>
    <s v="850004639719"/>
    <x v="188"/>
    <s v="Primal Kitchen Veggie Marinara Sauce, 15.5 OZ"/>
    <n v="15.5"/>
    <x v="0"/>
    <d v="2021-10-28T00:00:00"/>
    <d v="2025-11-22T00:00:00"/>
    <s v="instacart"/>
    <s v=""/>
    <n v="262156"/>
    <x v="1"/>
    <s v="Available"/>
    <x v="1"/>
    <x v="0"/>
  </r>
  <r>
    <s v="036200004005"/>
    <x v="15"/>
    <s v="Ragu Old World Style Marinara Sauce - 23.9 Oz"/>
    <n v="23.9"/>
    <x v="0"/>
    <d v="2021-10-28T00:00:00"/>
    <d v="2026-02-06T00:00:00"/>
    <s v="instacart"/>
    <n v="143296"/>
    <n v="261624"/>
    <x v="0"/>
    <s v="Available"/>
    <x v="0"/>
    <x v="0"/>
  </r>
  <r>
    <s v="689823012393"/>
    <x v="120"/>
    <s v="Yo Mama's Foods Marinara Magnifica Gourmet Pasta Sauce, 2 PK"/>
    <m/>
    <x v="2"/>
    <d v="2022-11-01T00:00:00"/>
    <d v="2023-06-22T00:00:00"/>
    <s v="instacart"/>
    <s v=""/>
    <n v="262039"/>
    <x v="1"/>
    <s v="Available"/>
    <x v="1"/>
    <x v="0"/>
  </r>
  <r>
    <s v="077644901406"/>
    <x v="0"/>
    <s v="Francesco Rinaldi Marinara Sauce, 45 oz"/>
    <n v="45"/>
    <x v="0"/>
    <d v="2021-10-28T00:00:00"/>
    <d v="2026-02-06T00:00:00"/>
    <s v="instacart"/>
    <n v="333922"/>
    <n v="264550"/>
    <x v="0"/>
    <s v="Available"/>
    <x v="0"/>
    <x v="0"/>
  </r>
  <r>
    <s v="040784988507"/>
    <x v="10"/>
    <s v="San Marzano Sauce Arrabbiata Jar - 24 Oz"/>
    <n v="24"/>
    <x v="0"/>
    <d v="2021-10-30T00:00:00"/>
    <d v="2026-02-06T00:00:00"/>
    <s v="instacart"/>
    <s v=""/>
    <n v="264594"/>
    <x v="1"/>
    <s v="Available"/>
    <x v="1"/>
    <x v="0"/>
  </r>
  <r>
    <s v="071403001932"/>
    <x v="76"/>
    <s v="Ferrara Vodka Pasta Sauce, 16 oz"/>
    <n v="16"/>
    <x v="0"/>
    <d v="2021-10-31T00:00:00"/>
    <d v="2026-02-04T00:00:00"/>
    <s v="instacart"/>
    <s v=""/>
    <n v="264306"/>
    <x v="1"/>
    <s v="Available"/>
    <x v="1"/>
    <x v="0"/>
  </r>
  <r>
    <s v="094368007047"/>
    <x v="189"/>
    <s v="Pemberton's Basil Pomodoro Pasta Sauce"/>
    <n v="24"/>
    <x v="0"/>
    <d v="2021-10-29T00:00:00"/>
    <d v="2025-10-22T00:00:00"/>
    <s v="instacart"/>
    <s v=""/>
    <n v="266442"/>
    <x v="1"/>
    <s v="Available"/>
    <x v="1"/>
    <x v="0"/>
  </r>
  <r>
    <s v="855615002273"/>
    <x v="190"/>
    <s v="Organic Marinara Pasta Sauce, 20 OZ"/>
    <n v="24"/>
    <x v="0"/>
    <d v="2025-01-22T00:00:00"/>
    <d v="2026-02-04T00:00:00"/>
    <s v="instacart"/>
    <n v="54972709"/>
    <n v="262260"/>
    <x v="0"/>
    <s v="Available"/>
    <x v="0"/>
    <x v="0"/>
  </r>
  <r>
    <s v="896175002310"/>
    <x v="156"/>
    <s v="Ethnic Cottage Tomato Sauce, Jersey, Vodka"/>
    <n v="25"/>
    <x v="0"/>
    <d v="2021-10-31T00:00:00"/>
    <d v="2026-02-06T00:00:00"/>
    <s v="instacart"/>
    <n v="463048"/>
    <n v="264737"/>
    <x v="0"/>
    <s v="Available"/>
    <x v="0"/>
    <x v="0"/>
  </r>
  <r>
    <s v="074683099491"/>
    <x v="191"/>
    <s v="Emerils Roasted Gaaahlic Pasta Sauce 25 oz"/>
    <n v="25"/>
    <x v="0"/>
    <d v="2021-10-28T00:00:00"/>
    <d v="2026-02-06T00:00:00"/>
    <s v="instacart"/>
    <n v="73921"/>
    <n v="266817"/>
    <x v="0"/>
    <s v="Available"/>
    <x v="0"/>
    <x v="0"/>
  </r>
  <r>
    <s v="076050170437"/>
    <x v="13"/>
    <s v="Paesana Sauce Marinara Natrl - 40 Oz"/>
    <n v="40"/>
    <x v="0"/>
    <d v="2021-10-29T00:00:00"/>
    <d v="2026-02-05T00:00:00"/>
    <s v="instacart"/>
    <n v="19734542"/>
    <n v="264037"/>
    <x v="0"/>
    <s v="Available"/>
    <x v="0"/>
    <x v="0"/>
  </r>
  <r>
    <s v="070234066707"/>
    <x v="192"/>
    <s v="Victoria Organic Pasta Sauce, Tomato Herb, 24 Ounce"/>
    <n v="24"/>
    <x v="0"/>
    <d v="2021-10-28T00:00:00"/>
    <d v="2026-02-06T00:00:00"/>
    <s v="instacart"/>
    <s v=""/>
    <n v="261623"/>
    <x v="1"/>
    <s v="Available"/>
    <x v="1"/>
    <x v="0"/>
  </r>
  <r>
    <s v="076050170345"/>
    <x v="13"/>
    <s v="Paesana Marinara Low Sodium Pasta Sauce, 25 oz"/>
    <n v="25"/>
    <x v="0"/>
    <d v="2021-10-29T00:00:00"/>
    <d v="2026-02-06T00:00:00"/>
    <s v="instacart"/>
    <n v="16240882"/>
    <n v="262543"/>
    <x v="0"/>
    <s v="Available"/>
    <x v="0"/>
    <x v="0"/>
  </r>
  <r>
    <s v="074908360306"/>
    <x v="75"/>
    <s v="Del Grosso Chef John's Tomato Basil Sauce 26 oz"/>
    <n v="26"/>
    <x v="0"/>
    <d v="2021-10-28T00:00:00"/>
    <d v="2026-02-06T00:00:00"/>
    <s v="instacart"/>
    <n v="95026"/>
    <n v="266545"/>
    <x v="0"/>
    <s v="Available"/>
    <x v="0"/>
    <x v="0"/>
  </r>
  <r>
    <s v="066086090007"/>
    <x v="124"/>
    <s v="Pastene Autentico San Marzano Tomato Sauce - 16 Oz"/>
    <n v="16"/>
    <x v="0"/>
    <d v="2023-02-12T00:00:00"/>
    <d v="2026-02-05T00:00:00"/>
    <s v="instacart"/>
    <n v="27910528"/>
    <n v="264053"/>
    <x v="0"/>
    <s v="Available"/>
    <x v="0"/>
    <x v="0"/>
  </r>
  <r>
    <s v="081319819835"/>
    <x v="38"/>
    <s v="Casa Visco - Sauce Psta Hmstyle"/>
    <n v="32"/>
    <x v="0"/>
    <d v="2021-10-28T00:00:00"/>
    <d v="2026-02-06T00:00:00"/>
    <s v="instacart"/>
    <n v="98575"/>
    <n v="261511"/>
    <x v="0"/>
    <s v="Missing"/>
    <x v="0"/>
    <x v="1"/>
  </r>
  <r>
    <s v="086000600037"/>
    <x v="164"/>
    <s v="Frik &amp; Frak The Sauce Classic Marinara - 24 Oz"/>
    <n v="24"/>
    <x v="0"/>
    <d v="2023-08-27T00:00:00"/>
    <d v="2026-02-05T00:00:00"/>
    <s v="instacart"/>
    <n v="19403194"/>
    <n v="266978"/>
    <x v="0"/>
    <s v="Available"/>
    <x v="0"/>
    <x v="0"/>
  </r>
  <r>
    <s v="089397108483"/>
    <x v="38"/>
    <s v="Bella Terra Bolognese Sauce - 24 Oz"/>
    <n v="24"/>
    <x v="0"/>
    <d v="2022-02-04T00:00:00"/>
    <d v="2024-08-20T00:00:00"/>
    <s v="instacart"/>
    <s v=""/>
    <n v="266444"/>
    <x v="1"/>
    <s v="Missing"/>
    <x v="1"/>
    <x v="1"/>
  </r>
  <r>
    <s v="897383001041"/>
    <x v="193"/>
    <s v="Roasted Garlic Fra Diavolo, 26 OZ"/>
    <n v="26"/>
    <x v="0"/>
    <d v="2021-10-28T00:00:00"/>
    <d v="2026-02-05T00:00:00"/>
    <s v="instacart"/>
    <n v="232484"/>
    <n v="261902"/>
    <x v="0"/>
    <s v="Available"/>
    <x v="0"/>
    <x v="0"/>
  </r>
  <r>
    <s v="051000292827"/>
    <x v="45"/>
    <s v="Prego Creamy Tomato Pasta Sauce With Ricotta Cheese, 24 Oz - 23.75OZ"/>
    <n v="23.75"/>
    <x v="0"/>
    <d v="2025-03-12T00:00:00"/>
    <d v="2026-02-07T00:00:00"/>
    <s v="instacart"/>
    <n v="64453314"/>
    <n v="261851"/>
    <x v="0"/>
    <s v="Available"/>
    <x v="0"/>
    <x v="0"/>
  </r>
  <r>
    <s v="041129632406"/>
    <x v="19"/>
    <s v="Classico Marinara Pasta Sauce with Plum Tomatoes &amp; Olive Oil, 24 oz Jar"/>
    <n v="24"/>
    <x v="0"/>
    <d v="2021-10-28T00:00:00"/>
    <d v="2026-02-06T00:00:00"/>
    <s v="instacart"/>
    <n v="98534"/>
    <n v="266358"/>
    <x v="0"/>
    <s v="Available"/>
    <x v="0"/>
    <x v="0"/>
  </r>
  <r>
    <s v="026825008359"/>
    <x v="38"/>
    <s v="Gia Russa Vodka Pasta Sauce"/>
    <n v="24"/>
    <x v="0"/>
    <d v="2021-10-31T00:00:00"/>
    <d v="2026-02-05T00:00:00"/>
    <s v="instacart"/>
    <n v="270500"/>
    <n v="261891"/>
    <x v="0"/>
    <s v="Missing"/>
    <x v="0"/>
    <x v="1"/>
  </r>
  <r>
    <s v="057000012519"/>
    <x v="19"/>
    <s v="Classico - Fire Roast Tomato &amp; Garlic Pasta Sauce"/>
    <n v="20.288091000000001"/>
    <x v="1"/>
    <d v="2024-12-05T00:00:00"/>
    <d v="2026-02-05T00:00:00"/>
    <s v="instacart"/>
    <s v=""/>
    <n v="261676"/>
    <x v="1"/>
    <s v="Available"/>
    <x v="1"/>
    <x v="0"/>
  </r>
  <r>
    <s v="072343000559"/>
    <x v="16"/>
    <s v="MIDS GARLIC &amp; ONION PASTA SAUCE"/>
    <n v="28"/>
    <x v="0"/>
    <d v="2021-10-28T00:00:00"/>
    <d v="2026-02-06T00:00:00"/>
    <s v="instacart"/>
    <n v="29624621"/>
    <n v="264147"/>
    <x v="0"/>
    <s v="Available"/>
    <x v="0"/>
    <x v="0"/>
  </r>
  <r>
    <s v="070234007700"/>
    <x v="63"/>
    <s v="Vict Ls Tomato Bas"/>
    <n v="24"/>
    <x v="0"/>
    <d v="2021-10-31T00:00:00"/>
    <d v="2026-02-06T00:00:00"/>
    <s v="instacart"/>
    <n v="91464"/>
    <n v="264752"/>
    <x v="0"/>
    <s v="Available"/>
    <x v="0"/>
    <x v="0"/>
  </r>
  <r>
    <s v="850024735026"/>
    <x v="54"/>
    <s v="Carbone Arrabbiata Sauce - 24 Oz"/>
    <n v="24"/>
    <x v="0"/>
    <d v="2021-10-28T00:00:00"/>
    <d v="2026-02-06T00:00:00"/>
    <s v="instacart"/>
    <n v="24598554"/>
    <n v="264717"/>
    <x v="0"/>
    <s v="Available"/>
    <x v="0"/>
    <x v="0"/>
  </r>
  <r>
    <s v="852082002003"/>
    <x v="94"/>
    <s v="Mia Cucina Original Marinara Sauce, 24 oz"/>
    <n v="24"/>
    <x v="0"/>
    <d v="2021-10-31T00:00:00"/>
    <d v="2026-02-06T00:00:00"/>
    <s v="instacart"/>
    <n v="18074854"/>
    <n v="264552"/>
    <x v="0"/>
    <s v="Available"/>
    <x v="0"/>
    <x v="0"/>
  </r>
  <r>
    <s v="609231000010"/>
    <x v="194"/>
    <s v="Boves Of Vermont Sauce Pasta Marinara, 24 oz"/>
    <n v="24"/>
    <x v="0"/>
    <d v="2021-10-28T00:00:00"/>
    <d v="2026-02-06T00:00:00"/>
    <s v="instacart"/>
    <n v="53391"/>
    <n v="266898"/>
    <x v="0"/>
    <s v="Available"/>
    <x v="0"/>
    <x v="0"/>
  </r>
  <r>
    <s v="070234066158"/>
    <x v="192"/>
    <s v="Victoria Organic Pasta Sauce, Pomodoro, 24 Ounce"/>
    <n v="24"/>
    <x v="0"/>
    <d v="2021-10-28T00:00:00"/>
    <d v="2026-02-04T00:00:00"/>
    <s v="instacart"/>
    <n v="3132090"/>
    <n v="266404"/>
    <x v="0"/>
    <s v="Available"/>
    <x v="0"/>
    <x v="0"/>
  </r>
  <r>
    <s v="024000523673"/>
    <x v="134"/>
    <s v="Del Monte, Meat Flavored Pasta Sauce, 24 oz, Shelf Stable, Metal Can"/>
    <n v="24"/>
    <x v="0"/>
    <d v="2021-10-28T00:00:00"/>
    <d v="2026-02-06T00:00:00"/>
    <s v="instacart"/>
    <n v="252569"/>
    <n v="266379"/>
    <x v="0"/>
    <s v="Available"/>
    <x v="0"/>
    <x v="0"/>
  </r>
  <r>
    <s v="046212519848"/>
    <x v="170"/>
    <s v="Sal &amp; Judys Sal &amp; Judys Italian Sauce, 25 oz"/>
    <n v="25"/>
    <x v="0"/>
    <d v="2021-10-28T00:00:00"/>
    <d v="2026-02-04T00:00:00"/>
    <s v="instacart"/>
    <n v="18520748"/>
    <n v="261761"/>
    <x v="0"/>
    <s v="Available"/>
    <x v="0"/>
    <x v="0"/>
  </r>
  <r>
    <s v="070234007502"/>
    <x v="63"/>
    <s v="Victoria Low Sodium Vodka Sauce, 24 oz"/>
    <n v="24"/>
    <x v="0"/>
    <d v="2023-11-01T00:00:00"/>
    <d v="2026-02-06T00:00:00"/>
    <s v="instacart"/>
    <n v="98567"/>
    <n v="267029"/>
    <x v="0"/>
    <s v="Available"/>
    <x v="0"/>
    <x v="0"/>
  </r>
  <r>
    <s v="041129077054"/>
    <x v="19"/>
    <s v="CLASSICO VODKA SAUCE"/>
    <n v="24"/>
    <x v="0"/>
    <d v="2021-10-28T00:00:00"/>
    <d v="2026-02-07T00:00:00"/>
    <s v="instacart"/>
    <n v="73914"/>
    <n v="266348"/>
    <x v="0"/>
    <s v="Available"/>
    <x v="0"/>
    <x v="0"/>
  </r>
  <r>
    <s v="074908360313"/>
    <x v="75"/>
    <s v="DelGrosso Uncle Jim'sÂ Puttanesca Sauce, 26 oz"/>
    <n v="26"/>
    <x v="0"/>
    <d v="2021-10-28T00:00:00"/>
    <d v="2026-02-05T00:00:00"/>
    <s v="instacart"/>
    <n v="135700"/>
    <n v="261896"/>
    <x v="0"/>
    <s v="Available"/>
    <x v="0"/>
    <x v="0"/>
  </r>
  <r>
    <s v="850017808430"/>
    <x v="44"/>
    <s v="Botticelli Foods Spicy Vodka Sauce - 24 Oz"/>
    <n v="24"/>
    <x v="0"/>
    <d v="2021-10-28T00:00:00"/>
    <d v="2026-02-06T00:00:00"/>
    <s v="instacart"/>
    <n v="24826872"/>
    <n v="266399"/>
    <x v="0"/>
    <s v="Available"/>
    <x v="0"/>
    <x v="0"/>
  </r>
  <r>
    <s v="736211338655"/>
    <x v="38"/>
    <s v="Mama Valerio's Pasta Sauce with Meat"/>
    <n v="24"/>
    <x v="0"/>
    <d v="2021-11-01T00:00:00"/>
    <d v="2026-02-03T00:00:00"/>
    <s v="instacart"/>
    <n v="91481"/>
    <n v="266369"/>
    <x v="0"/>
    <s v="Missing"/>
    <x v="0"/>
    <x v="1"/>
  </r>
  <r>
    <s v="074683099460"/>
    <x v="191"/>
    <s v="Emerils Home Style Marinara Pasta Sauce 25 oz"/>
    <n v="25"/>
    <x v="0"/>
    <d v="2021-10-28T00:00:00"/>
    <d v="2026-02-06T00:00:00"/>
    <s v="instacart"/>
    <n v="73919"/>
    <n v="262261"/>
    <x v="0"/>
    <s v="Available"/>
    <x v="0"/>
    <x v="0"/>
  </r>
  <r>
    <s v="072343000566"/>
    <x v="32"/>
    <s v="Mid's Pasta Sauce, Marinara 28 Oz"/>
    <n v="28"/>
    <x v="0"/>
    <d v="2023-04-10T00:00:00"/>
    <d v="2026-02-06T00:00:00"/>
    <s v="instacart"/>
    <n v="29624460"/>
    <n v="264216"/>
    <x v="0"/>
    <s v="Available"/>
    <x v="0"/>
    <x v="0"/>
  </r>
  <r>
    <s v="733636330172"/>
    <x v="47"/>
    <s v="Sonoma Gourmet - Tomato Asiago Sauce"/>
    <n v="25"/>
    <x v="0"/>
    <d v="2022-07-28T00:00:00"/>
    <d v="2026-02-06T00:00:00"/>
    <s v="instacart"/>
    <n v="27804061"/>
    <n v="264137"/>
    <x v="0"/>
    <s v="Available"/>
    <x v="0"/>
    <x v="0"/>
  </r>
  <r>
    <s v="070234004709"/>
    <x v="63"/>
    <s v="Victoria Tomato Basil Sauce, 24 oz"/>
    <n v="24"/>
    <x v="0"/>
    <d v="2021-10-28T00:00:00"/>
    <d v="2026-02-06T00:00:00"/>
    <s v="instacart"/>
    <n v="91464"/>
    <n v="261744"/>
    <x v="0"/>
    <s v="Available"/>
    <x v="0"/>
    <x v="0"/>
  </r>
  <r>
    <s v="860009258600"/>
    <x v="38"/>
    <s v="Pasta Jay'sÂ® Classic Marinara Pasta Sauce"/>
    <n v="26"/>
    <x v="0"/>
    <d v="2023-01-01T00:00:00"/>
    <d v="2026-02-05T00:00:00"/>
    <s v="instacart"/>
    <n v="29142063"/>
    <n v="264111"/>
    <x v="0"/>
    <s v="Missing"/>
    <x v="0"/>
    <x v="1"/>
  </r>
  <r>
    <s v="628693199063"/>
    <x v="131"/>
    <s v="ANDUCCI - My Hot Headed Brother Sauce"/>
    <n v="16.906742000000001"/>
    <x v="1"/>
    <d v="2022-12-08T00:00:00"/>
    <d v="2026-02-05T00:00:00"/>
    <s v="instacart"/>
    <s v=""/>
    <n v="262026"/>
    <x v="1"/>
    <s v="Available"/>
    <x v="1"/>
    <x v="0"/>
  </r>
  <r>
    <s v="051000015983"/>
    <x v="45"/>
    <s v="PregoÂ® Mushroom Pasta Sauce 67.000 oz"/>
    <n v="67"/>
    <x v="0"/>
    <d v="2021-10-28T00:00:00"/>
    <d v="2026-02-07T00:00:00"/>
    <s v="instacart"/>
    <n v="91494"/>
    <n v="264564"/>
    <x v="0"/>
    <s v="Available"/>
    <x v="0"/>
    <x v="0"/>
  </r>
  <r>
    <s v="860001364705"/>
    <x v="195"/>
    <s v="ALLA FAMIGLIA Marinara Sauce, 24 OZ"/>
    <n v="24"/>
    <x v="0"/>
    <d v="2021-10-28T00:00:00"/>
    <d v="2026-02-06T00:00:00"/>
    <s v="instacart"/>
    <s v=""/>
    <n v="261905"/>
    <x v="1"/>
    <s v="Available"/>
    <x v="1"/>
    <x v="0"/>
  </r>
  <r>
    <s v="086341608167"/>
    <x v="127"/>
    <s v="The Silver Palate Low Sodium Marinara Pasta Sauce, 25 oz"/>
    <n v="25"/>
    <x v="0"/>
    <d v="2021-10-28T00:00:00"/>
    <d v="2026-02-06T00:00:00"/>
    <s v="instacart"/>
    <n v="98546"/>
    <n v="266647"/>
    <x v="0"/>
    <s v="Available"/>
    <x v="0"/>
    <x v="0"/>
  </r>
  <r>
    <s v="015229411605"/>
    <x v="21"/>
    <s v="Sacia Tomatos Cherry Arrabbiata - 24 Oz"/>
    <n v="24"/>
    <x v="0"/>
    <d v="2021-10-28T00:00:00"/>
    <d v="2026-02-06T00:00:00"/>
    <s v="instacart"/>
    <n v="18283098"/>
    <n v="266616"/>
    <x v="0"/>
    <s v="Available"/>
    <x v="0"/>
    <x v="0"/>
  </r>
  <r>
    <s v="071072004067"/>
    <x v="196"/>
    <s v="Alessi Pasta Sauce, Premium, Fra Diavolo Arrabbiata 24 Oz"/>
    <n v="24"/>
    <x v="0"/>
    <d v="2021-10-28T00:00:00"/>
    <d v="2026-02-06T00:00:00"/>
    <s v="instacart"/>
    <n v="1838145"/>
    <n v="261909"/>
    <x v="0"/>
    <s v="Available"/>
    <x v="0"/>
    <x v="0"/>
  </r>
  <r>
    <s v="810048160181"/>
    <x v="154"/>
    <s v="Di Bruno Bros. Vodka Cream Tomato Sauce, 24 oz"/>
    <n v="24"/>
    <x v="0"/>
    <d v="2024-08-28T00:00:00"/>
    <d v="2026-02-04T00:00:00"/>
    <s v="instacart"/>
    <n v="25812890"/>
    <n v="262607"/>
    <x v="0"/>
    <s v="Available"/>
    <x v="0"/>
    <x v="0"/>
  </r>
  <r>
    <s v="810067729529"/>
    <x v="197"/>
    <s v="The Pasta Queen Spicy Vodka Sauce, 24 oz Jar"/>
    <n v="24"/>
    <x v="0"/>
    <d v="2024-02-25T00:00:00"/>
    <d v="2026-02-07T00:00:00"/>
    <s v="instacart"/>
    <n v="43727644"/>
    <n v="264276"/>
    <x v="0"/>
    <s v="Available"/>
    <x v="0"/>
    <x v="0"/>
  </r>
  <r>
    <s v="076195612748"/>
    <x v="53"/>
    <s v="Gino's Spaghetti Sauce - Chunky Style"/>
    <n v="24"/>
    <x v="0"/>
    <d v="2021-10-28T00:00:00"/>
    <d v="2026-02-04T00:00:00"/>
    <s v="instacart"/>
    <s v=""/>
    <n v="261663"/>
    <x v="1"/>
    <s v="Available"/>
    <x v="1"/>
    <x v="0"/>
  </r>
  <r>
    <s v="071072004012"/>
    <x v="196"/>
    <s v="Alessi Chunky Marinara Sauce"/>
    <n v="24"/>
    <x v="0"/>
    <d v="2021-10-28T00:00:00"/>
    <d v="2026-02-06T00:00:00"/>
    <s v="instacart"/>
    <n v="287068"/>
    <n v="264370"/>
    <x v="0"/>
    <s v="Available"/>
    <x v="0"/>
    <x v="0"/>
  </r>
  <r>
    <s v="712392799553"/>
    <x v="198"/>
    <s v="Jersey Italian Marinara Sauce, 24 Oz"/>
    <n v="24"/>
    <x v="0"/>
    <d v="2021-10-31T00:00:00"/>
    <d v="2026-02-06T00:00:00"/>
    <s v="instacart"/>
    <s v=""/>
    <n v="264251"/>
    <x v="1"/>
    <s v="Available"/>
    <x v="1"/>
    <x v="0"/>
  </r>
  <r>
    <s v="054996932364"/>
    <x v="38"/>
    <s v="Balducci's Tomato Basil Sauce - 25 OZ"/>
    <n v="25"/>
    <x v="0"/>
    <d v="2024-04-10T00:00:00"/>
    <d v="2024-04-14T00:00:00"/>
    <s v="instacart"/>
    <s v=""/>
    <n v="264242"/>
    <x v="1"/>
    <s v="Missing"/>
    <x v="1"/>
    <x v="1"/>
  </r>
  <r>
    <s v="074683099132"/>
    <x v="199"/>
    <s v="EMERILS CHUNKY MARINARA"/>
    <n v="25"/>
    <x v="0"/>
    <d v="2021-10-28T00:00:00"/>
    <d v="2026-02-06T00:00:00"/>
    <s v="instacart"/>
    <n v="98561"/>
    <n v="267055"/>
    <x v="0"/>
    <s v="Available"/>
    <x v="0"/>
    <x v="0"/>
  </r>
  <r>
    <s v="861820000102"/>
    <x v="200"/>
    <s v="CANNIZZARO FAMIGLIA Arrabbiata, 16 OZ"/>
    <n v="16"/>
    <x v="0"/>
    <d v="2021-10-31T00:00:00"/>
    <d v="2025-11-22T00:00:00"/>
    <s v="instacart"/>
    <s v=""/>
    <n v="266427"/>
    <x v="1"/>
    <s v="Available"/>
    <x v="1"/>
    <x v="0"/>
  </r>
  <r>
    <s v="065302300029"/>
    <x v="108"/>
    <s v="Authentica - World Cuisine Arrabiata Sauce"/>
    <n v="17.921147000000001"/>
    <x v="1"/>
    <d v="2021-10-28T00:00:00"/>
    <d v="2026-01-25T00:00:00"/>
    <s v="instacart"/>
    <s v=""/>
    <n v="261858"/>
    <x v="1"/>
    <s v="Available"/>
    <x v="1"/>
    <x v="0"/>
  </r>
  <r>
    <s v="747479500265"/>
    <x v="49"/>
    <s v="Rao's Homemade Marinara, White Truffle 19 oz"/>
    <n v="19"/>
    <x v="0"/>
    <d v="2022-12-04T00:00:00"/>
    <d v="2026-02-06T00:00:00"/>
    <s v="instacart"/>
    <n v="28954638"/>
    <n v="262384"/>
    <x v="0"/>
    <s v="Available"/>
    <x v="0"/>
    <x v="0"/>
  </r>
  <r>
    <s v="820581175931"/>
    <x v="38"/>
    <s v="Mama Depandi Arrabbiata Sauce"/>
    <n v="24"/>
    <x v="0"/>
    <d v="2025-09-11T00:00:00"/>
    <d v="2026-02-05T00:00:00"/>
    <s v="instacart"/>
    <n v="86860435"/>
    <n v="264713"/>
    <x v="0"/>
    <s v="Missing"/>
    <x v="0"/>
    <x v="1"/>
  </r>
  <r>
    <s v="735062001602"/>
    <x v="201"/>
    <s v="Amato's Pasta Sauce"/>
    <n v="24"/>
    <x v="0"/>
    <d v="2021-10-29T00:00:00"/>
    <d v="2025-10-22T00:00:00"/>
    <s v="instacart"/>
    <s v=""/>
    <n v="264240"/>
    <x v="1"/>
    <s v="Available"/>
    <x v="1"/>
    <x v="0"/>
  </r>
  <r>
    <s v="879026010146"/>
    <x v="167"/>
    <s v="Bono Pasta Sauce, Tomato &amp; Basil 24 oz"/>
    <n v="24"/>
    <x v="0"/>
    <d v="2023-01-26T00:00:00"/>
    <d v="2026-02-06T00:00:00"/>
    <s v="instacart"/>
    <n v="19964459"/>
    <n v="266597"/>
    <x v="0"/>
    <s v="Available"/>
    <x v="0"/>
    <x v="0"/>
  </r>
  <r>
    <s v="074908360122"/>
    <x v="75"/>
    <s v="Delgrosso Pasta Sauce, Three Cheese"/>
    <n v="24"/>
    <x v="0"/>
    <d v="2021-10-28T00:00:00"/>
    <d v="2026-02-06T00:00:00"/>
    <s v="instacart"/>
    <n v="3364122"/>
    <n v="264760"/>
    <x v="0"/>
    <s v="Available"/>
    <x v="0"/>
    <x v="0"/>
  </r>
  <r>
    <s v="876045006518"/>
    <x v="177"/>
    <s v="Little Italy in the Bronx Italian Gravy Traditional Sunday Dinner Sauce, 24 oz"/>
    <n v="24"/>
    <x v="0"/>
    <d v="2021-10-28T00:00:00"/>
    <d v="2026-02-06T00:00:00"/>
    <s v="instacart"/>
    <n v="21669849"/>
    <n v="267104"/>
    <x v="0"/>
    <s v="Available"/>
    <x v="0"/>
    <x v="0"/>
  </r>
  <r>
    <s v="850015101021"/>
    <x v="137"/>
    <s v="Just Like Home Sauce Zesty Tomato Basil &amp; Cheese"/>
    <n v="25"/>
    <x v="0"/>
    <d v="2021-10-28T00:00:00"/>
    <d v="2026-02-05T00:00:00"/>
    <s v="instacart"/>
    <n v="23517386"/>
    <n v="261883"/>
    <x v="0"/>
    <s v="Available"/>
    <x v="0"/>
    <x v="0"/>
  </r>
  <r>
    <s v="089397111889"/>
    <x v="71"/>
    <s v="Racconto Arrabbiatta Pasta Sauce - 24 Oz"/>
    <n v="24"/>
    <x v="0"/>
    <d v="2021-10-28T00:00:00"/>
    <d v="2026-02-05T00:00:00"/>
    <s v="instacart"/>
    <n v="91498"/>
    <n v="266866"/>
    <x v="0"/>
    <s v="Available"/>
    <x v="0"/>
    <x v="0"/>
  </r>
  <r>
    <s v="073214008483"/>
    <x v="14"/>
    <s v="Mezzetta Pasta Sauce Spicy Plum Tomato - 24 Oz"/>
    <n v="24"/>
    <x v="0"/>
    <d v="2021-10-28T00:00:00"/>
    <d v="2026-02-06T00:00:00"/>
    <s v="instacart"/>
    <n v="23897848"/>
    <n v="266321"/>
    <x v="0"/>
    <s v="Available"/>
    <x v="0"/>
    <x v="0"/>
  </r>
  <r>
    <s v="855019004026"/>
    <x v="96"/>
    <s v="Michaels of Brooklyn Filetto Di Pomodoro, 32 oz"/>
    <n v="32"/>
    <x v="0"/>
    <d v="2021-10-28T00:00:00"/>
    <d v="2026-02-06T00:00:00"/>
    <s v="instacart"/>
    <s v=""/>
    <n v="261725"/>
    <x v="1"/>
    <s v="Available"/>
    <x v="1"/>
    <x v="0"/>
  </r>
  <r>
    <s v="688672103030"/>
    <x v="171"/>
    <s v="Puttanesca Sauce, 15.3 OZ"/>
    <n v="15.3"/>
    <x v="0"/>
    <d v="2021-10-28T00:00:00"/>
    <d v="2026-02-06T00:00:00"/>
    <s v="instacart"/>
    <s v=""/>
    <n v="266943"/>
    <x v="1"/>
    <s v="Available"/>
    <x v="1"/>
    <x v="0"/>
  </r>
  <r>
    <s v="070234017501"/>
    <x v="38"/>
    <s v="Victoria Sauce Vod"/>
    <n v="24"/>
    <x v="0"/>
    <d v="2021-10-28T00:00:00"/>
    <d v="2026-02-06T00:00:00"/>
    <s v="instacart"/>
    <s v=""/>
    <n v="266414"/>
    <x v="1"/>
    <s v="Missing"/>
    <x v="1"/>
    <x v="1"/>
  </r>
  <r>
    <s v="782301236943"/>
    <x v="48"/>
    <s v="Jersey Italian Gravy Vodka Sauce, 24 oz"/>
    <n v="24"/>
    <x v="0"/>
    <d v="2021-10-31T00:00:00"/>
    <d v="2026-02-06T00:00:00"/>
    <s v="instacart"/>
    <n v="16403040"/>
    <n v="267075"/>
    <x v="0"/>
    <s v="Available"/>
    <x v="0"/>
    <x v="0"/>
  </r>
  <r>
    <s v="072095032013"/>
    <x v="38"/>
    <s v="Aiello's Italian Spaghetti Sauce"/>
    <n v="26"/>
    <x v="0"/>
    <d v="2021-10-31T00:00:00"/>
    <d v="2026-02-05T00:00:00"/>
    <s v="instacart"/>
    <n v="266092"/>
    <n v="262285"/>
    <x v="0"/>
    <s v="Missing"/>
    <x v="0"/>
    <x v="1"/>
  </r>
  <r>
    <s v="024000523642"/>
    <x v="134"/>
    <s v="DEL MONTE GARLIC ONION PASTA SAUCE"/>
    <n v="24"/>
    <x v="0"/>
    <d v="2021-10-28T00:00:00"/>
    <d v="2026-02-06T00:00:00"/>
    <s v="instacart"/>
    <n v="1860223"/>
    <n v="264287"/>
    <x v="0"/>
    <s v="Available"/>
    <x v="0"/>
    <x v="0"/>
  </r>
  <r>
    <s v="096906008264"/>
    <x v="202"/>
    <s v="MOM's Pasta Sauce Traditional - 24 Ounce - 1 Count"/>
    <n v="24"/>
    <x v="0"/>
    <d v="2021-10-28T00:00:00"/>
    <d v="2026-02-05T00:00:00"/>
    <s v="instacart"/>
    <n v="170939"/>
    <n v="264208"/>
    <x v="0"/>
    <s v="Available"/>
    <x v="0"/>
    <x v="0"/>
  </r>
  <r>
    <s v="072551250036"/>
    <x v="17"/>
    <s v="Brooklyn's Best Silver Star Fra D'Avolo Sauce, 25 oz"/>
    <n v="25"/>
    <x v="0"/>
    <d v="2021-11-02T00:00:00"/>
    <d v="2026-02-04T00:00:00"/>
    <s v="instacart"/>
    <n v="17996170"/>
    <n v="264253"/>
    <x v="0"/>
    <s v="Available"/>
    <x v="0"/>
    <x v="0"/>
  </r>
  <r>
    <s v="086395700022"/>
    <x v="112"/>
    <s v="Sauce Tomato Cream Vodka, 24 OZ"/>
    <n v="24"/>
    <x v="0"/>
    <d v="2021-10-31T00:00:00"/>
    <d v="2026-01-08T00:00:00"/>
    <s v="instacart"/>
    <s v=""/>
    <n v="266878"/>
    <x v="1"/>
    <s v="Available"/>
    <x v="1"/>
    <x v="0"/>
  </r>
  <r>
    <s v="036200431740"/>
    <x v="203"/>
    <s v="RagÃº Kettle Cooked Tomato Basil Sauce, 24 oz"/>
    <n v="24"/>
    <x v="0"/>
    <d v="2023-03-28T00:00:00"/>
    <d v="2026-02-06T00:00:00"/>
    <s v="instacart"/>
    <n v="34792996"/>
    <n v="264724"/>
    <x v="0"/>
    <s v="Available"/>
    <x v="0"/>
    <x v="0"/>
  </r>
  <r>
    <s v="850024735705"/>
    <x v="54"/>
    <s v="Carbone Sauce Sweet Pepper Onion - 24 OZ"/>
    <n v="24"/>
    <x v="0"/>
    <d v="2024-10-20T00:00:00"/>
    <d v="2026-02-06T00:00:00"/>
    <s v="instacart"/>
    <n v="61861382"/>
    <n v="262630"/>
    <x v="0"/>
    <s v="Available"/>
    <x v="0"/>
    <x v="0"/>
  </r>
  <r>
    <s v="033157000203"/>
    <x v="12"/>
    <s v="Orti Di Calabria Bolognese Tomato &amp; Pork Pasta Sauce, 24.3 oz"/>
    <n v="24.3"/>
    <x v="0"/>
    <d v="2021-10-28T00:00:00"/>
    <d v="2026-01-01T00:00:00"/>
    <s v="instacart"/>
    <s v=""/>
    <n v="262383"/>
    <x v="1"/>
    <s v="Available"/>
    <x v="1"/>
    <x v="0"/>
  </r>
  <r>
    <s v="860002854168"/>
    <x v="204"/>
    <s v="Heat Tomato Pasta Sauce, 24 OZ"/>
    <n v="24"/>
    <x v="0"/>
    <d v="2024-10-13T00:00:00"/>
    <d v="2026-02-06T00:00:00"/>
    <s v="instacart"/>
    <s v=""/>
    <n v="266292"/>
    <x v="1"/>
    <s v="Available"/>
    <x v="1"/>
    <x v="0"/>
  </r>
  <r>
    <s v="810177550112"/>
    <x v="54"/>
    <s v="Carbone Fine Foods Spicy Vodka Pasta Sauce, 22 oz., 2 pk."/>
    <n v="44"/>
    <x v="0"/>
    <d v="2025-04-04T00:00:00"/>
    <d v="2026-02-05T00:00:00"/>
    <s v="instacart"/>
    <s v=""/>
    <n v="264316"/>
    <x v="1"/>
    <s v="Available"/>
    <x v="1"/>
    <x v="0"/>
  </r>
  <r>
    <s v="733636330318"/>
    <x v="47"/>
    <s v="Sonoma Gourmet Creamy Buffalo Ranch Pasta Sauce"/>
    <n v="24.5"/>
    <x v="0"/>
    <d v="2025-07-21T00:00:00"/>
    <d v="2026-02-06T00:00:00"/>
    <s v="instacart"/>
    <n v="76603192"/>
    <n v="264571"/>
    <x v="0"/>
    <s v="Available"/>
    <x v="0"/>
    <x v="0"/>
  </r>
  <r>
    <s v="893719002058"/>
    <x v="205"/>
    <s v="Chef Mel - 3 Cheese Pasta Sauce (24 Oz)"/>
    <n v="24"/>
    <x v="0"/>
    <d v="2024-02-15T00:00:00"/>
    <d v="2026-02-02T00:00:00"/>
    <s v="instacart"/>
    <n v="35042765"/>
    <n v="266359"/>
    <x v="0"/>
    <s v="Available"/>
    <x v="0"/>
    <x v="0"/>
  </r>
  <r>
    <s v="057000012502"/>
    <x v="19"/>
    <s v="Classico - Roasted Portobello Mushroom"/>
    <n v="20.288091000000001"/>
    <x v="1"/>
    <d v="2024-09-27T00:00:00"/>
    <d v="2026-02-05T00:00:00"/>
    <s v="instacart"/>
    <s v=""/>
    <n v="261893"/>
    <x v="1"/>
    <s v="Available"/>
    <x v="1"/>
    <x v="0"/>
  </r>
  <r>
    <s v="076808008753"/>
    <x v="38"/>
    <s v="Barilla - Vero Gusto Calabrian Marinara"/>
    <n v="20"/>
    <x v="0"/>
    <d v="2021-10-28T00:00:00"/>
    <d v="2026-02-06T00:00:00"/>
    <s v="instacart"/>
    <s v=""/>
    <n v="264261"/>
    <x v="1"/>
    <s v="Missing"/>
    <x v="1"/>
    <x v="1"/>
  </r>
  <r>
    <s v="739276000185"/>
    <x v="29"/>
    <s v="Taste Of The Hill - Mushroom &amp; Onion Pasta Sauce (26 Oz)"/>
    <n v="26"/>
    <x v="0"/>
    <d v="2021-10-28T00:00:00"/>
    <d v="2026-02-02T00:00:00"/>
    <s v="instacart"/>
    <n v="2812517"/>
    <n v="264579"/>
    <x v="0"/>
    <s v="Available"/>
    <x v="0"/>
    <x v="0"/>
  </r>
  <r>
    <s v="072343000528"/>
    <x v="32"/>
    <s v="Mid's Pasta Sauce, Tomato Basil 28 Oz"/>
    <n v="28"/>
    <x v="0"/>
    <d v="2021-10-28T00:00:00"/>
    <d v="2026-02-06T00:00:00"/>
    <s v="instacart"/>
    <n v="29373236"/>
    <n v="266579"/>
    <x v="0"/>
    <s v="Available"/>
    <x v="0"/>
    <x v="0"/>
  </r>
  <r>
    <s v="036200430002"/>
    <x v="26"/>
    <s v="Ragu Old World Style Traditional Sauce, 8.5 lbs."/>
    <n v="136"/>
    <x v="0"/>
    <d v="2021-10-28T00:00:00"/>
    <d v="2026-02-07T00:00:00"/>
    <s v="instacart"/>
    <n v="16983138"/>
    <n v="266405"/>
    <x v="0"/>
    <s v="Available"/>
    <x v="0"/>
    <x v="0"/>
  </r>
  <r>
    <s v="850024735644"/>
    <x v="54"/>
    <s v="Carbone Four Cheese Sauce 24 oz"/>
    <n v="24"/>
    <x v="0"/>
    <d v="2024-05-22T00:00:00"/>
    <d v="2026-02-06T00:00:00"/>
    <s v="instacart"/>
    <n v="45274659"/>
    <n v="264567"/>
    <x v="0"/>
    <s v="Available"/>
    <x v="0"/>
    <x v="0"/>
  </r>
  <r>
    <s v="051000273024"/>
    <x v="5"/>
    <s v="Prego Traditional Pasta Sauce, Jars, 3 pk./45 oz."/>
    <n v="135"/>
    <x v="0"/>
    <d v="2021-10-28T00:00:00"/>
    <d v="2026-02-05T00:00:00"/>
    <s v="instacart"/>
    <s v=""/>
    <n v="266561"/>
    <x v="1"/>
    <s v="Available"/>
    <x v="1"/>
    <x v="0"/>
  </r>
  <r>
    <s v="747479000086"/>
    <x v="2"/>
    <s v="Rao's Sauce, Italian Sausage &amp; Mushroom 24 Oz"/>
    <n v="24"/>
    <x v="0"/>
    <d v="2021-10-28T00:00:00"/>
    <d v="2026-02-07T00:00:00"/>
    <s v="instacart"/>
    <n v="91465"/>
    <n v="264280"/>
    <x v="0"/>
    <s v="Available"/>
    <x v="0"/>
    <x v="0"/>
  </r>
  <r>
    <s v="850015101014"/>
    <x v="137"/>
    <s v="Just Like Home Sauce NY Lip Smackin' Garlic"/>
    <n v="25"/>
    <x v="0"/>
    <d v="2021-10-28T00:00:00"/>
    <d v="2026-02-05T00:00:00"/>
    <s v="instacart"/>
    <n v="23525761"/>
    <n v="261739"/>
    <x v="0"/>
    <s v="Available"/>
    <x v="0"/>
    <x v="0"/>
  </r>
  <r>
    <s v="072343000122"/>
    <x v="32"/>
    <s v="Mid's Pasta Sauce, Tomato Basil 28 Oz"/>
    <n v="32"/>
    <x v="0"/>
    <d v="2021-10-28T00:00:00"/>
    <d v="2026-02-04T00:00:00"/>
    <s v="instacart"/>
    <n v="29373236"/>
    <n v="264226"/>
    <x v="0"/>
    <s v="Available"/>
    <x v="0"/>
    <x v="0"/>
  </r>
  <r>
    <s v="879026010177"/>
    <x v="167"/>
    <s v="Bono, Pasta Sauce, Arrabbiata"/>
    <n v="24"/>
    <x v="0"/>
    <d v="2023-01-11T00:00:00"/>
    <d v="2026-02-02T00:00:00"/>
    <s v="instacart"/>
    <s v=""/>
    <n v="261483"/>
    <x v="1"/>
    <s v="Available"/>
    <x v="1"/>
    <x v="0"/>
  </r>
  <r>
    <s v="753469010058"/>
    <x v="73"/>
    <s v="Daves Gourmet Organic Pasta Sauce Spicy Heirloom Jar - 25.5 Oz"/>
    <n v="25.5"/>
    <x v="0"/>
    <d v="2021-10-28T00:00:00"/>
    <d v="2026-02-06T00:00:00"/>
    <s v="instacart"/>
    <n v="24830"/>
    <n v="264207"/>
    <x v="0"/>
    <s v="Available"/>
    <x v="0"/>
    <x v="0"/>
  </r>
  <r>
    <s v="091037609090"/>
    <x v="206"/>
    <s v="Four J Meatball Sauce, 24 oz"/>
    <n v="24"/>
    <x v="0"/>
    <d v="2021-10-28T00:00:00"/>
    <d v="2025-05-08T00:00:00"/>
    <s v="instacart"/>
    <s v=""/>
    <n v="262044"/>
    <x v="1"/>
    <s v="Available"/>
    <x v="1"/>
    <x v="0"/>
  </r>
  <r>
    <s v="739276000666"/>
    <x v="29"/>
    <s v="Taste of the Hill Four Cheese Pasta Sauce, 24 oz"/>
    <n v="24"/>
    <x v="0"/>
    <d v="2021-10-28T00:00:00"/>
    <d v="2026-02-03T00:00:00"/>
    <s v="instacart"/>
    <n v="16743249"/>
    <n v="264119"/>
    <x v="0"/>
    <s v="Available"/>
    <x v="0"/>
    <x v="0"/>
  </r>
  <r>
    <s v="876045006426"/>
    <x v="177"/>
    <s v="Little Italy Bronx Sauce Vodka Marinara - 24 Oz"/>
    <n v="24"/>
    <x v="0"/>
    <d v="2021-10-28T00:00:00"/>
    <d v="2026-02-06T00:00:00"/>
    <s v="instacart"/>
    <n v="18474763"/>
    <n v="264081"/>
    <x v="0"/>
    <s v="Available"/>
    <x v="0"/>
    <x v="0"/>
  </r>
  <r>
    <s v="074908324391"/>
    <x v="75"/>
    <s v="Delgrosso Pasta Sauce, Meatless"/>
    <n v="24"/>
    <x v="0"/>
    <d v="2021-10-28T00:00:00"/>
    <d v="2026-02-06T00:00:00"/>
    <s v="instacart"/>
    <n v="16987092"/>
    <n v="261687"/>
    <x v="0"/>
    <s v="Available"/>
    <x v="0"/>
    <x v="0"/>
  </r>
  <r>
    <s v="710033916321"/>
    <x v="207"/>
    <s v="Nonna Carmen Italian Style Spaghetti Sauce with Basil, 24 oz"/>
    <n v="24"/>
    <x v="0"/>
    <d v="2022-06-01T00:00:00"/>
    <d v="2026-02-04T00:00:00"/>
    <s v="instacart"/>
    <n v="21461326"/>
    <n v="264728"/>
    <x v="0"/>
    <s v="Available"/>
    <x v="0"/>
    <x v="0"/>
  </r>
  <r>
    <s v="094368007023"/>
    <x v="38"/>
    <s v="Pemberton's Arrabbiata Spicy Pasta Sauce"/>
    <n v="24"/>
    <x v="0"/>
    <d v="2021-10-31T00:00:00"/>
    <d v="2025-10-22T00:00:00"/>
    <s v="instacart"/>
    <s v=""/>
    <n v="264700"/>
    <x v="1"/>
    <s v="Missing"/>
    <x v="1"/>
    <x v="1"/>
  </r>
  <r>
    <s v="077644901390"/>
    <x v="0"/>
    <s v="FRANCESCO RINALDI MEAT SPAGHETTI SAUCE"/>
    <n v="45"/>
    <x v="0"/>
    <d v="2021-10-28T00:00:00"/>
    <d v="2026-02-05T00:00:00"/>
    <s v="instacart"/>
    <n v="3240151"/>
    <n v="266392"/>
    <x v="0"/>
    <s v="Available"/>
    <x v="0"/>
    <x v="0"/>
  </r>
  <r>
    <s v="080602024895"/>
    <x v="77"/>
    <s v="Sclafani Medium Fra Diavolo Sauce, 32 oz"/>
    <n v="32"/>
    <x v="0"/>
    <d v="2021-10-31T00:00:00"/>
    <d v="2026-02-06T00:00:00"/>
    <s v="instacart"/>
    <n v="227975"/>
    <n v="262280"/>
    <x v="0"/>
    <s v="Available"/>
    <x v="0"/>
    <x v="0"/>
  </r>
  <r>
    <s v="048176847029"/>
    <x v="38"/>
    <s v="FRATELLI BUTTERNUT SQUASH SAUCE"/>
    <n v="12"/>
    <x v="0"/>
    <d v="2024-06-23T00:00:00"/>
    <d v="2026-02-05T00:00:00"/>
    <s v="instacart"/>
    <s v=""/>
    <n v="261529"/>
    <x v="1"/>
    <s v="Missing"/>
    <x v="1"/>
    <x v="1"/>
  </r>
  <r>
    <s v="062639373221"/>
    <x v="83"/>
    <s v="Only Goodness - Organic Marinara Pasta Sauce"/>
    <n v="22.993169999999999"/>
    <x v="1"/>
    <d v="2023-11-03T00:00:00"/>
    <d v="2025-12-04T00:00:00"/>
    <s v="instacart"/>
    <s v=""/>
    <n v="264322"/>
    <x v="1"/>
    <s v="Available"/>
    <x v="1"/>
    <x v="0"/>
  </r>
  <r>
    <s v="747479000079"/>
    <x v="2"/>
    <s v="Raos Homemade Sauce Marinara Jar - 24 Oz"/>
    <n v="24"/>
    <x v="0"/>
    <d v="2021-10-28T00:00:00"/>
    <d v="2026-02-07T00:00:00"/>
    <s v="instacart"/>
    <n v="24808"/>
    <n v="261749"/>
    <x v="0"/>
    <s v="Available"/>
    <x v="0"/>
    <x v="0"/>
  </r>
  <r>
    <s v="048176844325"/>
    <x v="38"/>
    <s v="Mantova - Mantova Organic Alfredo Garl"/>
    <n v="12.5"/>
    <x v="0"/>
    <d v="2021-12-21T00:00:00"/>
    <d v="2026-02-06T00:00:00"/>
    <s v="instacart"/>
    <n v="25531376"/>
    <n v="264374"/>
    <x v="0"/>
    <s v="Missing"/>
    <x v="0"/>
    <x v="1"/>
  </r>
  <r>
    <s v="677294999046"/>
    <x v="208"/>
    <s v="Monte Bene Pasta Sauce, Vodka 24 oz"/>
    <n v="1"/>
    <x v="0"/>
    <d v="2021-10-28T00:00:00"/>
    <d v="2026-02-06T00:00:00"/>
    <s v="instacart"/>
    <n v="1860340"/>
    <n v="264376"/>
    <x v="0"/>
    <s v="Available"/>
    <x v="0"/>
    <x v="0"/>
  </r>
  <r>
    <s v="745051931933"/>
    <x v="120"/>
    <s v="Yo Mama's Foods Keto Spicy Marinara Sauce, 4 PK"/>
    <m/>
    <x v="2"/>
    <d v="2022-11-01T00:00:00"/>
    <d v="2023-06-22T00:00:00"/>
    <s v="instacart"/>
    <s v=""/>
    <n v="261485"/>
    <x v="1"/>
    <s v="Available"/>
    <x v="1"/>
    <x v="0"/>
  </r>
  <r>
    <s v="051000187086"/>
    <x v="5"/>
    <s v="Prego Marinara Sauce"/>
    <n v="23"/>
    <x v="0"/>
    <d v="2021-10-28T00:00:00"/>
    <d v="2026-02-02T00:00:00"/>
    <s v="instacart"/>
    <s v=""/>
    <n v="266854"/>
    <x v="1"/>
    <s v="Available"/>
    <x v="1"/>
    <x v="0"/>
  </r>
  <r>
    <s v="648505540494"/>
    <x v="98"/>
    <s v="LUCINI Organic Sensitive Pasta Sauce, 16.5 OZ"/>
    <n v="16.5"/>
    <x v="0"/>
    <d v="2023-08-03T00:00:00"/>
    <d v="2026-02-06T00:00:00"/>
    <s v="instacart"/>
    <n v="35586581"/>
    <n v="264732"/>
    <x v="0"/>
    <s v="Available"/>
    <x v="0"/>
    <x v="0"/>
  </r>
  <r>
    <s v="036200431733"/>
    <x v="15"/>
    <s v="Ragu Kettle Cooked Marinara Pasta Sauce - 24 Oz"/>
    <n v="24"/>
    <x v="0"/>
    <d v="2023-03-28T00:00:00"/>
    <d v="2026-02-07T00:00:00"/>
    <s v="instacart"/>
    <n v="29391723"/>
    <n v="261819"/>
    <x v="0"/>
    <s v="Available"/>
    <x v="0"/>
    <x v="0"/>
  </r>
  <r>
    <s v="051000087263"/>
    <x v="5"/>
    <s v="Prego Pasta Sauce, Garden Harvest ChunkyÂ Tomato Sauce with Onion and Garlic, 45 Ounce Jar"/>
    <n v="45"/>
    <x v="0"/>
    <d v="2021-11-03T00:00:00"/>
    <d v="2026-02-07T00:00:00"/>
    <s v="instacart"/>
    <n v="20020258"/>
    <n v="267085"/>
    <x v="0"/>
    <s v="Available"/>
    <x v="0"/>
    <x v="0"/>
  </r>
  <r>
    <s v="747479000017"/>
    <x v="2"/>
    <s v="Rao's Homemade Marinara Sauce, 32 oz"/>
    <n v="32"/>
    <x v="0"/>
    <d v="2021-10-28T00:00:00"/>
    <d v="2026-02-07T00:00:00"/>
    <s v="instacart"/>
    <n v="24809"/>
    <n v="264298"/>
    <x v="0"/>
    <s v="Available"/>
    <x v="0"/>
    <x v="0"/>
  </r>
  <r>
    <s v="086706801738"/>
    <x v="38"/>
    <s v="Giusto Fra Diavolo"/>
    <n v="24"/>
    <x v="0"/>
    <d v="2022-05-16T00:00:00"/>
    <d v="2026-02-06T00:00:00"/>
    <s v="instacart"/>
    <s v=""/>
    <n v="264646"/>
    <x v="1"/>
    <s v="Missing"/>
    <x v="1"/>
    <x v="1"/>
  </r>
  <r>
    <s v="677294991149"/>
    <x v="55"/>
    <s v="Cucina Antica Garlic Marinara Sauce, 25 oz"/>
    <n v="25"/>
    <x v="0"/>
    <d v="2021-10-28T00:00:00"/>
    <d v="2026-02-06T00:00:00"/>
    <s v="instacart"/>
    <n v="53396"/>
    <n v="262250"/>
    <x v="0"/>
    <s v="Available"/>
    <x v="0"/>
    <x v="0"/>
  </r>
  <r>
    <s v="082083000023"/>
    <x v="209"/>
    <s v="Mister C's Spaghetti Sauce "/>
    <n v="33"/>
    <x v="0"/>
    <d v="2021-10-28T00:00:00"/>
    <d v="2026-02-04T00:00:00"/>
    <s v="instacart"/>
    <s v=""/>
    <n v="266993"/>
    <x v="1"/>
    <s v="Available"/>
    <x v="1"/>
    <x v="0"/>
  </r>
  <r>
    <s v="041129077122"/>
    <x v="19"/>
    <s v="Classico Tomato &amp; Basil Pasta Sauce, 24 oz Jar"/>
    <n v="24"/>
    <x v="0"/>
    <d v="2021-10-28T00:00:00"/>
    <d v="2026-02-07T00:00:00"/>
    <s v="instacart"/>
    <n v="39367"/>
    <n v="264560"/>
    <x v="0"/>
    <s v="Available"/>
    <x v="0"/>
    <x v="0"/>
  </r>
  <r>
    <s v="739276000253"/>
    <x v="210"/>
    <s v="Zias - Pasta Sauce (26 Oz)"/>
    <n v="26"/>
    <x v="0"/>
    <d v="2021-11-14T00:00:00"/>
    <d v="2026-02-02T00:00:00"/>
    <s v="instacart"/>
    <s v=""/>
    <n v="264222"/>
    <x v="1"/>
    <s v="Available"/>
    <x v="1"/>
    <x v="0"/>
  </r>
  <r>
    <s v="070234006529"/>
    <x v="63"/>
    <s v="Victoria Vodka Sauce, 40 oz"/>
    <n v="40"/>
    <x v="0"/>
    <d v="2021-10-30T00:00:00"/>
    <d v="2026-02-06T00:00:00"/>
    <s v="instacart"/>
    <n v="2750364"/>
    <n v="266495"/>
    <x v="0"/>
    <s v="Available"/>
    <x v="0"/>
    <x v="0"/>
  </r>
  <r>
    <s v="860006000318"/>
    <x v="211"/>
    <s v="Holla! Vodka Pasta Sauce by Frik &amp; Frak, No Sugar Added, No Preservatives, Gluten Free, 36 Month Shelf Life, Artisan Small Batch Crafted Pasta Sauces, 24 Oz Jar"/>
    <n v="24"/>
    <x v="0"/>
    <d v="2021-10-31T00:00:00"/>
    <d v="2026-02-06T00:00:00"/>
    <s v="instacart"/>
    <n v="19403202"/>
    <n v="264252"/>
    <x v="0"/>
    <s v="Available"/>
    <x v="0"/>
    <x v="0"/>
  </r>
  <r>
    <s v="850012006121"/>
    <x v="212"/>
    <s v="Little Venice Pasta Sauce"/>
    <n v="24.5"/>
    <x v="0"/>
    <d v="2021-10-31T00:00:00"/>
    <d v="2026-02-06T00:00:00"/>
    <s v="instacart"/>
    <n v="17769586"/>
    <n v="266453"/>
    <x v="0"/>
    <s v="Available"/>
    <x v="0"/>
    <x v="0"/>
  </r>
  <r>
    <s v="051000198563"/>
    <x v="45"/>
    <s v="Prego Creamy Vodka Pasta Sauce, 24 oz Jar"/>
    <n v="24"/>
    <x v="0"/>
    <d v="2021-10-28T00:00:00"/>
    <d v="2026-02-06T00:00:00"/>
    <s v="instacart"/>
    <n v="91493"/>
    <n v="264553"/>
    <x v="0"/>
    <s v="Available"/>
    <x v="0"/>
    <x v="0"/>
  </r>
  <r>
    <s v="742753347482"/>
    <x v="213"/>
    <s v="Pasta Prima Heirloom Marinara Sauce"/>
    <n v="15"/>
    <x v="0"/>
    <d v="2021-10-28T00:00:00"/>
    <d v="2026-02-03T00:00:00"/>
    <s v="instacart"/>
    <n v="22614730"/>
    <n v="264277"/>
    <x v="0"/>
    <s v="Available"/>
    <x v="0"/>
    <x v="0"/>
  </r>
  <r>
    <s v="688672101005"/>
    <x v="171"/>
    <s v="Sauces N Love Pomodoro Basilico Pasta Sauce - 15.3 Oz."/>
    <n v="15.3"/>
    <x v="0"/>
    <d v="2021-10-28T00:00:00"/>
    <d v="2026-02-06T00:00:00"/>
    <s v="instacart"/>
    <n v="292703"/>
    <n v="264531"/>
    <x v="0"/>
    <s v="Available"/>
    <x v="0"/>
    <x v="0"/>
  </r>
  <r>
    <s v="013000011853"/>
    <x v="38"/>
    <s v="ClassicoÂ® Tomato &amp; Basil Pasta Sauce"/>
    <n v="2"/>
    <x v="3"/>
    <d v="2021-10-28T00:00:00"/>
    <d v="2026-02-05T00:00:00"/>
    <s v="instacart"/>
    <n v="19102722"/>
    <n v="267026"/>
    <x v="0"/>
    <s v="Missing"/>
    <x v="0"/>
    <x v="1"/>
  </r>
  <r>
    <s v="761956813518"/>
    <x v="53"/>
    <s v="Papa Rico's Classic Red Sauce Mild"/>
    <n v="24"/>
    <x v="0"/>
    <d v="2021-10-28T00:00:00"/>
    <d v="2026-02-04T00:00:00"/>
    <s v="instacart"/>
    <s v=""/>
    <n v="264074"/>
    <x v="1"/>
    <s v="Available"/>
    <x v="1"/>
    <x v="0"/>
  </r>
  <r>
    <s v="036921562068"/>
    <x v="146"/>
    <s v="Cajun Power Spghti Sce"/>
    <n v="36"/>
    <x v="0"/>
    <d v="2021-10-28T00:00:00"/>
    <d v="2026-02-06T00:00:00"/>
    <s v="instacart"/>
    <n v="2631968"/>
    <n v="266568"/>
    <x v="0"/>
    <s v="Available"/>
    <x v="0"/>
    <x v="0"/>
  </r>
  <r>
    <s v="850041276045"/>
    <x v="214"/>
    <s v="Sauz | Hot Honey Marinara (Single Jar) Thick &amp; Creamy- Gluten-Free, Non-GMO, and 100% Delicious - Crafted in Small Batches for Michelin-Star Delight - Clean ingredients 25 OZ"/>
    <n v="25"/>
    <x v="0"/>
    <d v="2024-03-13T00:00:00"/>
    <d v="2026-02-06T00:00:00"/>
    <s v="instacart"/>
    <n v="32558227"/>
    <n v="264327"/>
    <x v="0"/>
    <s v="Available"/>
    <x v="0"/>
    <x v="0"/>
  </r>
  <r>
    <s v="058807422853"/>
    <x v="24"/>
    <s v="Hunt's - Pasta Sauce, Thick &amp; Rich Spicy Red Pepper Chilies"/>
    <n v="22.993169999999999"/>
    <x v="1"/>
    <d v="2021-10-28T00:00:00"/>
    <d v="2026-02-05T00:00:00"/>
    <s v="instacart"/>
    <s v=""/>
    <n v="267000"/>
    <x v="1"/>
    <s v="Available"/>
    <x v="1"/>
    <x v="0"/>
  </r>
  <r>
    <s v="790208003933"/>
    <x v="215"/>
    <s v="Primos Del Primo Red Sauce bottle Vegan and Gluten Free, 12.88 oz"/>
    <n v="12.88"/>
    <x v="0"/>
    <d v="2022-10-20T00:00:00"/>
    <d v="2026-02-03T00:00:00"/>
    <s v="instacart"/>
    <n v="28724900"/>
    <n v="267093"/>
    <x v="0"/>
    <s v="Available"/>
    <x v="0"/>
    <x v="0"/>
  </r>
  <r>
    <s v="086364500042"/>
    <x v="28"/>
    <s v="De Massimos Sauce Pasta Tomato Basil - 32 Oz"/>
    <n v="32"/>
    <x v="0"/>
    <d v="2021-10-28T00:00:00"/>
    <d v="2026-02-05T00:00:00"/>
    <s v="instacart"/>
    <n v="21008214"/>
    <n v="262157"/>
    <x v="0"/>
    <s v="Available"/>
    <x v="0"/>
    <x v="0"/>
  </r>
  <r>
    <s v="077644302326"/>
    <x v="0"/>
    <s v="Francesco Rinaldi Savory Meat Sauce, 23.5 oz"/>
    <n v="23.5"/>
    <x v="0"/>
    <d v="2021-10-28T00:00:00"/>
    <d v="2026-02-06T00:00:00"/>
    <s v="instacart"/>
    <n v="73922"/>
    <n v="262190"/>
    <x v="0"/>
    <s v="Available"/>
    <x v="0"/>
    <x v="0"/>
  </r>
  <r>
    <s v="725342132287"/>
    <x v="40"/>
    <s v="Muir Glen Pasta Sauce, Fire Roasted Tomato"/>
    <n v="23.5"/>
    <x v="0"/>
    <d v="2022-09-18T00:00:00"/>
    <d v="2026-02-06T00:00:00"/>
    <s v="instacart"/>
    <n v="27760975"/>
    <n v="261616"/>
    <x v="0"/>
    <s v="Available"/>
    <x v="0"/>
    <x v="0"/>
  </r>
  <r>
    <s v="716815004422"/>
    <x v="38"/>
    <s v="Minimalist Tomato Basil Pasta Sauce"/>
    <n v="16"/>
    <x v="0"/>
    <d v="2023-05-04T00:00:00"/>
    <d v="2026-02-05T00:00:00"/>
    <s v="instacart"/>
    <s v=""/>
    <n v="261594"/>
    <x v="1"/>
    <s v="Missing"/>
    <x v="1"/>
    <x v="1"/>
  </r>
  <r>
    <s v="036200430668"/>
    <x v="6"/>
    <s v="Bertolli Sauce, Organic, Fire Roasted Garlic Marinara 24 oz"/>
    <n v="24"/>
    <x v="0"/>
    <d v="2021-10-28T00:00:00"/>
    <d v="2026-02-05T00:00:00"/>
    <s v="instacart"/>
    <n v="3357878"/>
    <n v="261534"/>
    <x v="0"/>
    <s v="Available"/>
    <x v="0"/>
    <x v="0"/>
  </r>
  <r>
    <s v="033157500000"/>
    <x v="12"/>
    <s v="Orti Di Calabria Garlic Tomato &amp; Chili Stir In Sauce, 9.8 oz"/>
    <n v="9.8000000000000007"/>
    <x v="0"/>
    <d v="2021-10-28T00:00:00"/>
    <d v="2025-07-03T00:00:00"/>
    <s v="instacart"/>
    <s v=""/>
    <n v="262046"/>
    <x v="1"/>
    <s v="Available"/>
    <x v="1"/>
    <x v="0"/>
  </r>
  <r>
    <s v="820581175924"/>
    <x v="38"/>
    <s v="Mama Depandi Pomodoro Sauce"/>
    <n v="24"/>
    <x v="0"/>
    <d v="2025-09-11T00:00:00"/>
    <d v="2026-02-05T00:00:00"/>
    <s v="instacart"/>
    <n v="86859815"/>
    <n v="261681"/>
    <x v="0"/>
    <s v="Missing"/>
    <x v="0"/>
    <x v="1"/>
  </r>
  <r>
    <s v="867535000208"/>
    <x v="53"/>
    <s v="Sonny's Spaghetti Sauce"/>
    <n v="26"/>
    <x v="0"/>
    <d v="2021-10-28T00:00:00"/>
    <d v="2026-02-04T00:00:00"/>
    <s v="instacart"/>
    <s v=""/>
    <n v="267020"/>
    <x v="1"/>
    <s v="Available"/>
    <x v="1"/>
    <x v="0"/>
  </r>
  <r>
    <s v="036200219317"/>
    <x v="6"/>
    <s v="Bertolli Tomato and Basil Sauce - 24 Oz"/>
    <n v="24"/>
    <x v="0"/>
    <d v="2021-10-28T00:00:00"/>
    <d v="2026-02-07T00:00:00"/>
    <s v="instacart"/>
    <n v="73889"/>
    <n v="261489"/>
    <x v="0"/>
    <s v="Available"/>
    <x v="0"/>
    <x v="0"/>
  </r>
  <r>
    <s v="860395000425"/>
    <x v="216"/>
    <s v="Jersey Tomato Co. Sauce Spicy - 24 Oz"/>
    <n v="24"/>
    <x v="0"/>
    <d v="2021-10-31T00:00:00"/>
    <d v="2026-01-29T00:00:00"/>
    <s v="instacart"/>
    <s v=""/>
    <n v="266375"/>
    <x v="1"/>
    <s v="Available"/>
    <x v="1"/>
    <x v="0"/>
  </r>
  <r>
    <s v="897712001070"/>
    <x v="217"/>
    <s v="Lidias Pasta Sauce Marinara - 32 Oz"/>
    <n v="32"/>
    <x v="0"/>
    <d v="2021-10-28T00:00:00"/>
    <d v="2026-02-06T00:00:00"/>
    <s v="instacart"/>
    <n v="303442"/>
    <n v="261831"/>
    <x v="0"/>
    <s v="Available"/>
    <x v="0"/>
    <x v="0"/>
  </r>
  <r>
    <s v="891752001076"/>
    <x v="4"/>
    <s v="Nanina's In The Park Tomato &amp; Basil Premium Quality Gourmet Pasta Sauce, 23.25 oz"/>
    <n v="23.25"/>
    <x v="0"/>
    <d v="2023-03-26T00:00:00"/>
    <d v="2026-02-04T00:00:00"/>
    <s v="instacart"/>
    <n v="29476586"/>
    <n v="262033"/>
    <x v="0"/>
    <s v="Available"/>
    <x v="0"/>
    <x v="0"/>
  </r>
  <r>
    <s v="641208990948"/>
    <x v="186"/>
    <s v="Carfagnas Sauce, Vodka"/>
    <n v="32"/>
    <x v="0"/>
    <d v="2021-10-28T00:00:00"/>
    <d v="2026-02-06T00:00:00"/>
    <s v="instacart"/>
    <n v="16948735"/>
    <n v="264341"/>
    <x v="0"/>
    <s v="Available"/>
    <x v="0"/>
    <x v="0"/>
  </r>
  <r>
    <s v="860000702201"/>
    <x v="218"/>
    <s v="Anthoninos - Taverna Marinara Sauce (24 Oz)"/>
    <n v="24"/>
    <x v="0"/>
    <d v="2024-02-15T00:00:00"/>
    <d v="2026-02-02T00:00:00"/>
    <s v="instacart"/>
    <s v=""/>
    <n v="264364"/>
    <x v="1"/>
    <s v="Available"/>
    <x v="1"/>
    <x v="0"/>
  </r>
  <r>
    <s v="036200431894"/>
    <x v="6"/>
    <s v="Bertolli Pasta Sauce with Spicy Italian Sausage and Romano Cheese, Spaghetti Tomato Sauce, 24 oz"/>
    <n v="24"/>
    <x v="0"/>
    <d v="2024-02-25T00:00:00"/>
    <d v="2026-02-06T00:00:00"/>
    <s v="instacart"/>
    <n v="44068247"/>
    <n v="266320"/>
    <x v="0"/>
    <s v="Available"/>
    <x v="0"/>
    <x v="0"/>
  </r>
  <r>
    <s v="051000286567"/>
    <x v="5"/>
    <s v="Prego Fire Roasted Tomato Pasta Sauce - 23.5 Oz"/>
    <n v="23.5"/>
    <x v="0"/>
    <d v="2023-06-11T00:00:00"/>
    <d v="2026-02-06T00:00:00"/>
    <s v="instacart"/>
    <n v="29627839"/>
    <n v="264158"/>
    <x v="0"/>
    <s v="Available"/>
    <x v="0"/>
    <x v="0"/>
  </r>
  <r>
    <s v="066086082200"/>
    <x v="124"/>
    <s v="Pastene Kitchen Ready Seasoned Starter Pasta Sauce, 28 oz"/>
    <n v="28"/>
    <x v="0"/>
    <d v="2021-10-28T00:00:00"/>
    <d v="2026-02-06T00:00:00"/>
    <s v="instacart"/>
    <n v="16971687"/>
    <n v="266281"/>
    <x v="0"/>
    <s v="Available"/>
    <x v="0"/>
    <x v="0"/>
  </r>
  <r>
    <s v="041736000254"/>
    <x v="43"/>
    <s v="Filippo Berio Arrabbiata Sauce, 24 oz"/>
    <n v="24"/>
    <x v="0"/>
    <d v="2024-06-16T00:00:00"/>
    <d v="2026-02-06T00:00:00"/>
    <s v="instacart"/>
    <n v="29358645"/>
    <n v="264052"/>
    <x v="0"/>
    <s v="Available"/>
    <x v="0"/>
    <x v="0"/>
  </r>
  <r>
    <s v="036200431542"/>
    <x v="6"/>
    <s v="Bertolli Sauce, Creamy Rosa 24.7 ea"/>
    <n v="24.7"/>
    <x v="0"/>
    <d v="2021-10-28T00:00:00"/>
    <d v="2026-02-06T00:00:00"/>
    <s v="instacart"/>
    <n v="23836539"/>
    <n v="264340"/>
    <x v="0"/>
    <s v="Available"/>
    <x v="0"/>
    <x v="0"/>
  </r>
  <r>
    <s v="020662006158"/>
    <x v="34"/>
    <s v="Newman's Own Roasted Garlic Pasta Sauce 24 oz"/>
    <n v="24"/>
    <x v="0"/>
    <d v="2021-10-28T00:00:00"/>
    <d v="2026-02-06T00:00:00"/>
    <s v="instacart"/>
    <n v="19977903"/>
    <n v="266594"/>
    <x v="0"/>
    <s v="Available"/>
    <x v="0"/>
    <x v="0"/>
  </r>
  <r>
    <s v="062639373160"/>
    <x v="83"/>
    <s v="Only Goodness - Plant-Based Bolognese Style Pasta Sauce"/>
    <n v="16.906742000000001"/>
    <x v="1"/>
    <d v="2023-10-19T00:00:00"/>
    <d v="2025-12-28T00:00:00"/>
    <s v="instacart"/>
    <s v=""/>
    <n v="266311"/>
    <x v="1"/>
    <s v="Available"/>
    <x v="1"/>
    <x v="0"/>
  </r>
  <r>
    <s v="041129395905"/>
    <x v="19"/>
    <s v="Classico Organic Tomato, Herbs &amp; Spices Pasta Sauce, 3 ct./32 oz."/>
    <n v="3"/>
    <x v="3"/>
    <d v="2022-01-31T00:00:00"/>
    <d v="2026-01-23T00:00:00"/>
    <s v="instacart"/>
    <n v="32840"/>
    <n v="264715"/>
    <x v="0"/>
    <s v="Available"/>
    <x v="0"/>
    <x v="0"/>
  </r>
  <r>
    <s v="085917230610"/>
    <x v="119"/>
    <s v="BELLA ITALIA Organic Tomato Ricotta Pasta Sauce, 13.9 OZ"/>
    <n v="13.9"/>
    <x v="0"/>
    <d v="2025-03-05T00:00:00"/>
    <d v="2026-02-04T00:00:00"/>
    <s v="instacart"/>
    <s v=""/>
    <n v="264412"/>
    <x v="1"/>
    <s v="Available"/>
    <x v="1"/>
    <x v="0"/>
  </r>
  <r>
    <s v="609231202544"/>
    <x v="81"/>
    <s v="Bove's Organic Basil Pasta Sauce"/>
    <n v="24"/>
    <x v="0"/>
    <d v="2025-05-28T00:00:00"/>
    <d v="2025-10-22T00:00:00"/>
    <s v="instacart"/>
    <s v=""/>
    <n v="264097"/>
    <x v="1"/>
    <s v="Available"/>
    <x v="1"/>
    <x v="0"/>
  </r>
  <r>
    <s v="860000161640"/>
    <x v="179"/>
    <s v="Pizza Girl Inc Pasta Sauce Arrabbiat Organic - 24 OZ"/>
    <n v="24"/>
    <x v="0"/>
    <d v="2021-11-07T00:00:00"/>
    <d v="2026-02-06T00:00:00"/>
    <s v="instacart"/>
    <n v="25029414"/>
    <n v="264056"/>
    <x v="0"/>
    <s v="Available"/>
    <x v="0"/>
    <x v="0"/>
  </r>
  <r>
    <s v="428350276010"/>
    <x v="219"/>
    <s v="Hunts Traditional Spaghetti Sauce - Case"/>
    <n v="1"/>
    <x v="3"/>
    <d v="2023-09-20T00:00:00"/>
    <d v="2026-02-06T00:00:00"/>
    <s v="instacart"/>
    <s v=""/>
    <n v="266294"/>
    <x v="1"/>
    <s v="Available"/>
    <x v="1"/>
    <x v="0"/>
  </r>
  <r>
    <s v="072368004396"/>
    <x v="99"/>
    <s v="Delallo Marinara, Fat Free, Pomodoro Fresco"/>
    <n v="25.25"/>
    <x v="0"/>
    <d v="2021-10-28T00:00:00"/>
    <d v="2025-10-31T00:00:00"/>
    <s v="instacart"/>
    <n v="152791"/>
    <n v="261857"/>
    <x v="0"/>
    <s v="Available"/>
    <x v="0"/>
    <x v="0"/>
  </r>
  <r>
    <s v="855019000424"/>
    <x v="44"/>
    <s v="Botticelli - Parmigiano Reggiano Pasta Sauce (24 Oz)"/>
    <n v="24"/>
    <x v="0"/>
    <d v="2021-10-28T00:00:00"/>
    <d v="2026-02-06T00:00:00"/>
    <s v="instacart"/>
    <n v="22160853"/>
    <n v="267091"/>
    <x v="0"/>
    <s v="Available"/>
    <x v="0"/>
    <x v="0"/>
  </r>
  <r>
    <s v="036200430972"/>
    <x v="15"/>
    <s v="Ragu No Sugar Added Traditional Sauce 24 oz"/>
    <n v="24"/>
    <x v="0"/>
    <d v="2021-10-28T00:00:00"/>
    <d v="2026-02-07T00:00:00"/>
    <s v="instacart"/>
    <n v="18581089"/>
    <n v="266908"/>
    <x v="0"/>
    <s v="Available"/>
    <x v="0"/>
    <x v="0"/>
  </r>
  <r>
    <s v="072343000504"/>
    <x v="16"/>
    <s v="MIDS PASTA SAUCE TRAD MEATLESS"/>
    <n v="28"/>
    <x v="0"/>
    <d v="2021-10-28T00:00:00"/>
    <d v="2026-02-06T00:00:00"/>
    <s v="instacart"/>
    <n v="30200841"/>
    <n v="264196"/>
    <x v="0"/>
    <s v="Available"/>
    <x v="0"/>
    <x v="0"/>
  </r>
  <r>
    <s v="810067729482"/>
    <x v="197"/>
    <s v="The Pasta Queen Arrabbiata Sauce, 24 oz Jar"/>
    <n v="24"/>
    <x v="0"/>
    <d v="2024-02-22T00:00:00"/>
    <d v="2026-02-07T00:00:00"/>
    <s v="instacart"/>
    <n v="43727206"/>
    <n v="262641"/>
    <x v="0"/>
    <s v="Available"/>
    <x v="0"/>
    <x v="0"/>
  </r>
  <r>
    <s v="051000025111"/>
    <x v="5"/>
    <s v="PregoÂ® Traditional Italian Pasta Sauce"/>
    <n v="45"/>
    <x v="0"/>
    <d v="2021-10-31T00:00:00"/>
    <d v="2026-02-07T00:00:00"/>
    <s v="instacart"/>
    <n v="36161"/>
    <n v="266550"/>
    <x v="0"/>
    <s v="Available"/>
    <x v="0"/>
    <x v="0"/>
  </r>
  <r>
    <s v="786173972022"/>
    <x v="7"/>
    <s v="Rao's Homemade Tomato Sauce | Roasted Garlic | 24 oz | Versatile Pasta Sauce | Carb Conscious, Keto Friendly | All Natural, Premium Quality | Made with Sweet Italian Tomatoes and Caramelized Garlic"/>
    <n v="24"/>
    <x v="0"/>
    <d v="2021-10-28T00:00:00"/>
    <d v="2026-02-04T00:00:00"/>
    <s v="instacart"/>
    <n v="53413"/>
    <n v="266313"/>
    <x v="0"/>
    <s v="Available"/>
    <x v="0"/>
    <x v="0"/>
  </r>
  <r>
    <s v="033157660018"/>
    <x v="12"/>
    <s v="Orti Di Calabria Mushroom Ragu, 22.9 oz"/>
    <n v="22.9"/>
    <x v="0"/>
    <d v="2021-10-28T00:00:00"/>
    <d v="2024-06-24T00:00:00"/>
    <s v="instacart"/>
    <s v=""/>
    <n v="262048"/>
    <x v="1"/>
    <s v="Available"/>
    <x v="1"/>
    <x v="0"/>
  </r>
  <r>
    <s v="850024735019"/>
    <x v="54"/>
    <s v="Carbone Tomato And Basil Sauce - 24 Oz"/>
    <n v="24"/>
    <x v="0"/>
    <d v="2021-10-28T00:00:00"/>
    <d v="2026-02-07T00:00:00"/>
    <s v="instacart"/>
    <n v="24370321"/>
    <n v="261575"/>
    <x v="0"/>
    <s v="Available"/>
    <x v="0"/>
    <x v="0"/>
  </r>
  <r>
    <s v="787269652453"/>
    <x v="120"/>
    <s v="Yo Mama's Foods Keto Vodka Pasta Sauce, 2 PK"/>
    <m/>
    <x v="2"/>
    <d v="2022-11-01T00:00:00"/>
    <d v="2023-06-22T00:00:00"/>
    <s v="instacart"/>
    <s v=""/>
    <n v="261481"/>
    <x v="1"/>
    <s v="Available"/>
    <x v="1"/>
    <x v="0"/>
  </r>
  <r>
    <s v="077644305327"/>
    <x v="0"/>
    <s v="Francesco Rinaldi Spicy Arrabbiata Marinara Sauce, 24 oz"/>
    <n v="24"/>
    <x v="0"/>
    <d v="2025-11-05T00:00:00"/>
    <d v="2026-02-04T00:00:00"/>
    <s v="instacart"/>
    <n v="89904502"/>
    <n v="264557"/>
    <x v="0"/>
    <s v="Available"/>
    <x v="0"/>
    <x v="0"/>
  </r>
  <r>
    <s v="710069312012"/>
    <x v="220"/>
    <s v="Tuscanini Napoletana Pasta Sauce, 24.3 oz"/>
    <n v="24.3"/>
    <x v="0"/>
    <d v="2021-10-29T00:00:00"/>
    <d v="2026-02-06T00:00:00"/>
    <s v="instacart"/>
    <s v=""/>
    <n v="266310"/>
    <x v="1"/>
    <s v="Available"/>
    <x v="1"/>
    <x v="0"/>
  </r>
  <r>
    <s v="063211060362"/>
    <x v="5"/>
    <s v="Prego - Pasta Sauce - Tomato, Onion &amp; Garlic"/>
    <n v="21.809698000000001"/>
    <x v="1"/>
    <d v="2021-10-28T00:00:00"/>
    <d v="2026-02-05T00:00:00"/>
    <s v="instacart"/>
    <s v=""/>
    <n v="261907"/>
    <x v="1"/>
    <s v="Available"/>
    <x v="1"/>
    <x v="0"/>
  </r>
  <r>
    <s v="878877000283"/>
    <x v="221"/>
    <s v="Agromonte Pasta Sauce of Cherry Tomato and Roasted Garlic"/>
    <n v="9.17"/>
    <x v="0"/>
    <d v="2021-10-28T00:00:00"/>
    <d v="2025-03-19T00:00:00"/>
    <s v="instacart"/>
    <s v=""/>
    <n v="264098"/>
    <x v="1"/>
    <s v="Available"/>
    <x v="1"/>
    <x v="0"/>
  </r>
  <r>
    <s v="072368124377"/>
    <x v="99"/>
    <s v="DeLalloÂ® Pomodoro Fresco Creamy Vodka Pasta Sauce"/>
    <n v="25.25"/>
    <x v="0"/>
    <d v="2021-10-28T00:00:00"/>
    <d v="2026-02-06T00:00:00"/>
    <s v="instacart"/>
    <n v="152792"/>
    <n v="266566"/>
    <x v="0"/>
    <s v="Available"/>
    <x v="0"/>
    <x v="0"/>
  </r>
  <r>
    <s v="850024735088"/>
    <x v="54"/>
    <s v="Carbone Basil Tomato Sauce - 32 Oz"/>
    <n v="32"/>
    <x v="0"/>
    <d v="2022-03-13T00:00:00"/>
    <d v="2026-02-06T00:00:00"/>
    <s v="instacart"/>
    <n v="26965285"/>
    <n v="264080"/>
    <x v="0"/>
    <s v="Available"/>
    <x v="0"/>
    <x v="0"/>
  </r>
  <r>
    <s v="072368424361"/>
    <x v="99"/>
    <s v="Delallo Pomodoro Fresco, Tomato Basil 25.25 Oz"/>
    <n v="25.25"/>
    <x v="0"/>
    <d v="2021-10-28T00:00:00"/>
    <d v="2026-02-06T00:00:00"/>
    <s v="instacart"/>
    <n v="152804"/>
    <n v="266933"/>
    <x v="0"/>
    <s v="Available"/>
    <x v="0"/>
    <x v="0"/>
  </r>
  <r>
    <s v="857028000037"/>
    <x v="38"/>
    <s v="Romano's Marinara Pasta Sauce"/>
    <n v="26"/>
    <x v="0"/>
    <d v="2021-10-31T00:00:00"/>
    <d v="2026-02-04T00:00:00"/>
    <s v="instacart"/>
    <n v="2317519"/>
    <n v="261576"/>
    <x v="0"/>
    <s v="Missing"/>
    <x v="0"/>
    <x v="1"/>
  </r>
  <r>
    <s v="632138389650"/>
    <x v="2"/>
    <s v="Rao's Homemade Marinara Sauce"/>
    <m/>
    <x v="2"/>
    <d v="2023-01-04T00:00:00"/>
    <d v="2023-06-22T00:00:00"/>
    <s v="instacart"/>
    <s v=""/>
    <n v="261815"/>
    <x v="1"/>
    <s v="Available"/>
    <x v="1"/>
    <x v="0"/>
  </r>
  <r>
    <s v="728119198707"/>
    <x v="101"/>
    <s v="Cucina &amp; Amore Puttanesca Pasta Sauce"/>
    <n v="16.8"/>
    <x v="0"/>
    <d v="2021-10-28T00:00:00"/>
    <d v="2026-02-06T00:00:00"/>
    <s v="instacart"/>
    <n v="80807"/>
    <n v="261796"/>
    <x v="0"/>
    <s v="Available"/>
    <x v="0"/>
    <x v="0"/>
  </r>
  <r>
    <s v="733636330141"/>
    <x v="47"/>
    <s v="Sonoma Gourmet Creamy Parmesan Tomato Sauce  - 24.5 Oz"/>
    <n v="24.5"/>
    <x v="0"/>
    <d v="2024-05-11T00:00:00"/>
    <d v="2026-02-06T00:00:00"/>
    <s v="instacart"/>
    <n v="26648402"/>
    <n v="266396"/>
    <x v="0"/>
    <s v="Available"/>
    <x v="0"/>
    <x v="0"/>
  </r>
  <r>
    <s v="850024735057"/>
    <x v="54"/>
    <s v="Carbone Sauce, Mushroom"/>
    <n v="24"/>
    <x v="0"/>
    <d v="2022-03-13T00:00:00"/>
    <d v="2026-02-06T00:00:00"/>
    <s v="instacart"/>
    <n v="26952831"/>
    <n v="264420"/>
    <x v="0"/>
    <s v="Available"/>
    <x v="0"/>
    <x v="0"/>
  </r>
  <r>
    <s v="876045006433"/>
    <x v="177"/>
    <s v="Little Italy in the Bronx Sauce, Arrabbiata"/>
    <n v="24"/>
    <x v="0"/>
    <d v="2021-10-28T00:00:00"/>
    <d v="2026-02-06T00:00:00"/>
    <s v="instacart"/>
    <n v="18474774"/>
    <n v="266376"/>
    <x v="0"/>
    <s v="Available"/>
    <x v="0"/>
    <x v="0"/>
  </r>
  <r>
    <s v="747479000093"/>
    <x v="2"/>
    <s v="Rao's Mushroom &amp; Bell Pepper Sauce, 24oz"/>
    <n v="24"/>
    <x v="0"/>
    <d v="2021-10-28T00:00:00"/>
    <d v="2026-02-07T00:00:00"/>
    <s v="instacart"/>
    <n v="91467"/>
    <n v="262030"/>
    <x v="0"/>
    <s v="Available"/>
    <x v="0"/>
    <x v="0"/>
  </r>
  <r>
    <s v="855019004002"/>
    <x v="132"/>
    <s v="Michael's of Brooklyn Marinara Sauce, 32 oz"/>
    <n v="32"/>
    <x v="0"/>
    <d v="2021-10-28T00:00:00"/>
    <d v="2026-02-06T00:00:00"/>
    <s v="instacart"/>
    <s v="16754838, 34712613"/>
    <s v="261670, 261671"/>
    <x v="0"/>
    <s v="Available"/>
    <x v="0"/>
    <x v="0"/>
  </r>
  <r>
    <s v="710996010005"/>
    <x v="41"/>
    <s v="Nonna Pia's - Siciliana Pasta Sauce"/>
    <n v="22.3169"/>
    <x v="1"/>
    <d v="2025-04-13T00:00:00"/>
    <d v="2026-02-05T00:00:00"/>
    <s v="instacart"/>
    <s v=""/>
    <n v="267041"/>
    <x v="1"/>
    <s v="Available"/>
    <x v="1"/>
    <x v="0"/>
  </r>
  <r>
    <s v="850024735002"/>
    <x v="54"/>
    <s v="Carbone Italian Tomatoes Marinara 24 Oz"/>
    <n v="24"/>
    <x v="0"/>
    <d v="2021-10-28T00:00:00"/>
    <d v="2026-02-07T00:00:00"/>
    <s v="instacart"/>
    <n v="24370172"/>
    <n v="264295"/>
    <x v="0"/>
    <s v="Available"/>
    <x v="0"/>
    <x v="0"/>
  </r>
  <r>
    <s v="057000330026"/>
    <x v="19"/>
    <s v="Classico - Roasted Portobello Mushrooms Spaghetti Pasta Sauce"/>
    <n v="21.978764999999999"/>
    <x v="1"/>
    <d v="2021-10-28T00:00:00"/>
    <d v="2025-02-20T00:00:00"/>
    <s v="instacart"/>
    <s v=""/>
    <n v="264698"/>
    <x v="1"/>
    <s v="Available"/>
    <x v="1"/>
    <x v="0"/>
  </r>
  <r>
    <s v="733636330103"/>
    <x v="47"/>
    <s v="Sonoma Gourmet Organic Vodka &amp; Cream Pasta Sauce, 25 oz"/>
    <n v="25"/>
    <x v="0"/>
    <d v="2021-10-28T00:00:00"/>
    <d v="2026-02-06T00:00:00"/>
    <s v="instacart"/>
    <n v="16273370"/>
    <n v="261756"/>
    <x v="0"/>
    <s v="Available"/>
    <x v="0"/>
    <x v="0"/>
  </r>
  <r>
    <s v="688672102002"/>
    <x v="171"/>
    <s v="Sauces n Love Pasta Sauces, Sugo Rosa"/>
    <n v="15.36"/>
    <x v="0"/>
    <d v="2021-10-28T00:00:00"/>
    <d v="2026-02-06T00:00:00"/>
    <s v="instacart"/>
    <s v=""/>
    <n v="262144"/>
    <x v="1"/>
    <s v="Available"/>
    <x v="1"/>
    <x v="0"/>
  </r>
  <r>
    <s v="020662006172"/>
    <x v="38"/>
    <s v="newman's Own - Italian Sausage Peppers Sce"/>
    <n v="24"/>
    <x v="0"/>
    <d v="2021-10-28T00:00:00"/>
    <d v="2026-02-06T00:00:00"/>
    <s v="instacart"/>
    <n v="77087"/>
    <n v="261895"/>
    <x v="0"/>
    <s v="Missing"/>
    <x v="0"/>
    <x v="1"/>
  </r>
  <r>
    <s v="085000883303"/>
    <x v="20"/>
    <s v="Yo Mamas Foods Tomato Sauce Spicy Marinara - 25 Oz"/>
    <n v="25"/>
    <x v="0"/>
    <d v="2021-10-28T00:00:00"/>
    <d v="2026-02-05T00:00:00"/>
    <s v="instacart"/>
    <n v="22696882"/>
    <n v="266981"/>
    <x v="0"/>
    <s v="Available"/>
    <x v="0"/>
    <x v="0"/>
  </r>
  <r>
    <s v="863955000231"/>
    <x v="38"/>
    <s v="the meatball shop creamy tomato basil pasta sauce"/>
    <n v="24"/>
    <x v="0"/>
    <d v="2021-10-31T00:00:00"/>
    <d v="2026-02-05T00:00:00"/>
    <s v="instacart"/>
    <s v=""/>
    <n v="267065"/>
    <x v="1"/>
    <s v="Missing"/>
    <x v="1"/>
    <x v="1"/>
  </r>
  <r>
    <s v="079706014512"/>
    <x v="38"/>
    <s v="La Pasta Sauce Pink Vodka Pasta Tub"/>
    <n v="15.3"/>
    <x v="0"/>
    <d v="2021-10-28T00:00:00"/>
    <d v="2026-02-06T00:00:00"/>
    <s v="instacart"/>
    <n v="322606"/>
    <n v="266835"/>
    <x v="0"/>
    <s v="Missing"/>
    <x v="0"/>
    <x v="1"/>
  </r>
  <r>
    <s v="064200010146"/>
    <x v="222"/>
    <s v="CATELLI - Garden Select Garlic &amp; Onion"/>
    <n v="20.288091000000001"/>
    <x v="1"/>
    <d v="2024-09-27T00:00:00"/>
    <d v="2026-02-05T00:00:00"/>
    <s v="instacart"/>
    <s v=""/>
    <n v="266389"/>
    <x v="1"/>
    <s v="Available"/>
    <x v="1"/>
    <x v="0"/>
  </r>
  <r>
    <s v="706010112947"/>
    <x v="174"/>
    <s v="Barilla Fire Roasted Marinara"/>
    <n v="24"/>
    <x v="0"/>
    <d v="2021-10-28T00:00:00"/>
    <d v="2026-02-06T00:00:00"/>
    <s v="instacart"/>
    <n v="9975"/>
    <n v="266350"/>
    <x v="0"/>
    <s v="Available"/>
    <x v="0"/>
    <x v="0"/>
  </r>
  <r>
    <s v="850024735064"/>
    <x v="54"/>
    <s v="Carbone Marinara Delicato Pasta Sauce"/>
    <n v="24"/>
    <x v="0"/>
    <d v="2022-03-06T00:00:00"/>
    <d v="2026-02-06T00:00:00"/>
    <s v="instacart"/>
    <n v="26932445"/>
    <n v="261578"/>
    <x v="0"/>
    <s v="Available"/>
    <x v="0"/>
    <x v="0"/>
  </r>
  <r>
    <s v="860000161602"/>
    <x v="179"/>
    <s v="Pizza Girl Inc Pasta Sauce Marinara Organic - 24 OZ"/>
    <n v="24"/>
    <x v="0"/>
    <d v="2021-11-07T00:00:00"/>
    <d v="2026-02-06T00:00:00"/>
    <s v="instacart"/>
    <n v="20211750"/>
    <n v="264447"/>
    <x v="0"/>
    <s v="Available"/>
    <x v="0"/>
    <x v="0"/>
  </r>
  <r>
    <s v="036200004401"/>
    <x v="15"/>
    <s v="Ragu Chunky Tomato, Garlic and Onion Pasta Sauce"/>
    <n v="24"/>
    <x v="0"/>
    <d v="2021-10-28T00:00:00"/>
    <d v="2026-02-07T00:00:00"/>
    <s v="instacart"/>
    <n v="39255"/>
    <n v="264210"/>
    <x v="0"/>
    <s v="Available"/>
    <x v="0"/>
    <x v="0"/>
  </r>
  <r>
    <s v="072551250029"/>
    <x v="38"/>
    <s v="Bklyn Best Marinara Sce"/>
    <n v="25"/>
    <x v="0"/>
    <d v="2022-01-18T00:00:00"/>
    <d v="2025-10-31T00:00:00"/>
    <s v="instacart"/>
    <s v=""/>
    <n v="266906"/>
    <x v="1"/>
    <s v="Missing"/>
    <x v="1"/>
    <x v="1"/>
  </r>
  <r>
    <s v="046212678910"/>
    <x v="223"/>
    <s v="Sal &amp; Judys Italian Sauce, Original"/>
    <n v="25"/>
    <x v="0"/>
    <d v="2021-10-28T00:00:00"/>
    <d v="2026-02-04T00:00:00"/>
    <s v="instacart"/>
    <n v="17649189"/>
    <n v="261577"/>
    <x v="0"/>
    <s v="Available"/>
    <x v="0"/>
    <x v="0"/>
  </r>
  <r>
    <s v="057000012472"/>
    <x v="19"/>
    <s v="Classico - Italian Sausage Peppers &amp; Onion Sauce"/>
    <n v="20.288091000000001"/>
    <x v="1"/>
    <d v="2024-12-05T00:00:00"/>
    <d v="2026-02-05T00:00:00"/>
    <s v="instacart"/>
    <s v=""/>
    <n v="264127"/>
    <x v="1"/>
    <s v="Available"/>
    <x v="1"/>
    <x v="0"/>
  </r>
  <r>
    <s v="814343020911"/>
    <x v="57"/>
    <s v="MadeWith Tomato Basil Organic Pasta Sauce - 24 Ounce"/>
    <n v="25"/>
    <x v="0"/>
    <d v="2021-10-28T00:00:00"/>
    <d v="2026-02-06T00:00:00"/>
    <s v="instacart"/>
    <n v="3296957"/>
    <n v="267094"/>
    <x v="0"/>
    <s v="Available"/>
    <x v="0"/>
    <x v="0"/>
  </r>
  <r>
    <s v="057000330040"/>
    <x v="19"/>
    <s v="Classico Tomato &amp; Basil Spaghetti Pasta Sauce"/>
    <n v="21.978764999999999"/>
    <x v="1"/>
    <d v="2021-10-28T00:00:00"/>
    <d v="2024-12-12T00:00:00"/>
    <s v="instacart"/>
    <s v=""/>
    <n v="266336"/>
    <x v="1"/>
    <s v="Available"/>
    <x v="1"/>
    <x v="0"/>
  </r>
  <r>
    <s v="860281001307"/>
    <x v="38"/>
    <s v="Philomena Tomato Basil Sauce - 25 OZ"/>
    <n v="25"/>
    <x v="0"/>
    <d v="2021-12-04T00:00:00"/>
    <d v="2024-11-03T00:00:00"/>
    <s v="instacart"/>
    <s v=""/>
    <n v="261479"/>
    <x v="1"/>
    <s v="Missing"/>
    <x v="1"/>
    <x v="1"/>
  </r>
  <r>
    <s v="041129424506"/>
    <x v="19"/>
    <s v="Classico Pasta Sauce, Parmesan &amp; Romano 24 Oz"/>
    <n v="24"/>
    <x v="0"/>
    <d v="2021-10-28T00:00:00"/>
    <d v="2025-09-18T00:00:00"/>
    <s v="instacart"/>
    <s v=""/>
    <n v="266341"/>
    <x v="1"/>
    <s v="Available"/>
    <x v="1"/>
    <x v="0"/>
  </r>
  <r>
    <s v="855019000400"/>
    <x v="44"/>
    <s v="Botticelli Foods Llc Sauce Diavolo - 24 Oz"/>
    <n v="24"/>
    <x v="0"/>
    <d v="2021-10-28T00:00:00"/>
    <d v="2026-02-06T00:00:00"/>
    <s v="instacart"/>
    <n v="3356570"/>
    <n v="266533"/>
    <x v="0"/>
    <s v="Available"/>
    <x v="0"/>
    <x v="0"/>
  </r>
  <r>
    <s v="020662006110"/>
    <x v="34"/>
    <s v="Newman's Own Fire Roasted Tomato &amp; Garlic Patsa Sauce"/>
    <n v="24"/>
    <x v="0"/>
    <d v="2021-10-28T00:00:00"/>
    <d v="2026-02-05T00:00:00"/>
    <s v="instacart"/>
    <n v="19977855"/>
    <n v="261645"/>
    <x v="0"/>
    <s v="Available"/>
    <x v="0"/>
    <x v="0"/>
  </r>
  <r>
    <s v="810067729468"/>
    <x v="197"/>
    <s v="The Pasta Queen Marinara Sauce, 24 oz Jar"/>
    <n v="24"/>
    <x v="0"/>
    <d v="2024-02-20T00:00:00"/>
    <d v="2026-02-07T00:00:00"/>
    <s v="instacart"/>
    <n v="43727085"/>
    <n v="264275"/>
    <x v="0"/>
    <s v="Available"/>
    <x v="0"/>
    <x v="0"/>
  </r>
  <r>
    <s v="745051932053"/>
    <x v="120"/>
    <s v="Yo Mama's Foods Keto Marinara Pasta Sauce, No Sugar Added"/>
    <m/>
    <x v="2"/>
    <d v="2022-11-01T00:00:00"/>
    <d v="2023-06-22T00:00:00"/>
    <s v="instacart"/>
    <s v=""/>
    <n v="266436"/>
    <x v="1"/>
    <s v="Available"/>
    <x v="1"/>
    <x v="0"/>
  </r>
  <r>
    <s v="043800450057"/>
    <x v="224"/>
    <s v="Frescorti Marinara Pasta Sauce"/>
    <n v="26"/>
    <x v="0"/>
    <d v="2021-10-28T00:00:00"/>
    <d v="2026-02-06T00:00:00"/>
    <s v="instacart"/>
    <n v="91449"/>
    <n v="261852"/>
    <x v="0"/>
    <s v="Available"/>
    <x v="0"/>
    <x v="0"/>
  </r>
  <r>
    <s v="855019000349"/>
    <x v="44"/>
    <s v="Botticelli Pasta Sauce, Premium, Vegan, Bolognese 24 oz"/>
    <n v="24"/>
    <x v="0"/>
    <d v="2021-10-28T00:00:00"/>
    <d v="2026-02-06T00:00:00"/>
    <s v="instacart"/>
    <n v="1854363"/>
    <n v="266349"/>
    <x v="0"/>
    <s v="Available"/>
    <x v="0"/>
    <x v="0"/>
  </r>
  <r>
    <s v="897383001027"/>
    <x v="193"/>
    <s v="Creamy Tomato Vodka Sauce, 26 OZ"/>
    <n v="26"/>
    <x v="0"/>
    <d v="2021-10-28T00:00:00"/>
    <d v="2026-02-06T00:00:00"/>
    <s v="instacart"/>
    <n v="232485"/>
    <n v="264584"/>
    <x v="0"/>
    <s v="Available"/>
    <x v="0"/>
    <x v="0"/>
  </r>
  <r>
    <s v="086341607160"/>
    <x v="127"/>
    <s v="THE SILVER PALATE Fra Diavolo Sauce"/>
    <n v="25"/>
    <x v="0"/>
    <d v="2021-10-28T00:00:00"/>
    <d v="2026-02-06T00:00:00"/>
    <s v="instacart"/>
    <n v="98548"/>
    <n v="261521"/>
    <x v="0"/>
    <s v="Available"/>
    <x v="0"/>
    <x v="0"/>
  </r>
  <r>
    <s v="677294991125"/>
    <x v="55"/>
    <s v="Cucina Antica Tomato Basil Sauce, 25 oz"/>
    <n v="25"/>
    <x v="0"/>
    <d v="2021-10-28T00:00:00"/>
    <d v="2026-02-06T00:00:00"/>
    <s v="instacart"/>
    <n v="80811"/>
    <n v="266365"/>
    <x v="0"/>
    <s v="Available"/>
    <x v="0"/>
    <x v="0"/>
  </r>
  <r>
    <s v="851799003082"/>
    <x v="38"/>
    <s v="Pompilio's Spicy Puttanesca Pasta Sauce"/>
    <n v="26"/>
    <x v="0"/>
    <d v="2021-11-03T00:00:00"/>
    <d v="2026-02-05T00:00:00"/>
    <s v="instacart"/>
    <n v="17411488"/>
    <n v="264739"/>
    <x v="0"/>
    <s v="Missing"/>
    <x v="0"/>
    <x v="1"/>
  </r>
  <r>
    <s v="859935002029"/>
    <x v="38"/>
    <s v="Spinato's Vodka Cream Sauce"/>
    <n v="24"/>
    <x v="0"/>
    <d v="2021-10-28T00:00:00"/>
    <d v="2026-02-06T00:00:00"/>
    <s v="instacart"/>
    <n v="17070862"/>
    <n v="264727"/>
    <x v="0"/>
    <s v="Missing"/>
    <x v="0"/>
    <x v="1"/>
  </r>
  <r>
    <s v="860004511526"/>
    <x v="225"/>
    <s v="Pasta Sauce, Grandma's Sausage &amp; Fennel 26 oz"/>
    <n v="26"/>
    <x v="0"/>
    <d v="2021-11-02T00:00:00"/>
    <d v="2025-01-26T00:00:00"/>
    <s v="instacart"/>
    <s v=""/>
    <n v="266335"/>
    <x v="1"/>
    <s v="Available"/>
    <x v="1"/>
    <x v="0"/>
  </r>
  <r>
    <s v="852662649314"/>
    <x v="88"/>
    <s v="Pirros Bolognese Sauce - 24 Oz"/>
    <n v="24"/>
    <x v="0"/>
    <d v="2021-10-28T00:00:00"/>
    <d v="2026-02-06T00:00:00"/>
    <s v="instacart"/>
    <n v="2659205"/>
    <n v="266494"/>
    <x v="0"/>
    <s v="Available"/>
    <x v="0"/>
    <x v="0"/>
  </r>
  <r>
    <s v="089397111964"/>
    <x v="38"/>
    <s v="Racconto Riserva Bolognese"/>
    <n v="24"/>
    <x v="0"/>
    <d v="2021-11-01T00:00:00"/>
    <d v="2026-02-03T00:00:00"/>
    <s v="instacart"/>
    <n v="91496"/>
    <n v="266384"/>
    <x v="0"/>
    <s v="Missing"/>
    <x v="0"/>
    <x v="1"/>
  </r>
  <r>
    <s v="812603020732"/>
    <x v="35"/>
    <s v="SEGGIANO Organic Basilico Pasta Sauce, 24 OZ"/>
    <n v="24"/>
    <x v="0"/>
    <d v="2021-10-31T00:00:00"/>
    <d v="2026-02-06T00:00:00"/>
    <s v="instacart"/>
    <n v="19278556"/>
    <n v="261517"/>
    <x v="0"/>
    <s v="Available"/>
    <x v="0"/>
    <x v="0"/>
  </r>
  <r>
    <s v="733636330165"/>
    <x v="47"/>
    <s v="Sonoma Gourmet - Spicy Serrano Marinara"/>
    <n v="25"/>
    <x v="0"/>
    <d v="2021-10-28T00:00:00"/>
    <d v="2026-02-03T00:00:00"/>
    <s v="instacart"/>
    <n v="25979956"/>
    <n v="264131"/>
    <x v="0"/>
    <s v="Available"/>
    <x v="0"/>
    <x v="0"/>
  </r>
  <r>
    <s v="624756995221"/>
    <x v="226"/>
    <s v="Prairie Harvest - Organic Roasted Garlic Pasta Sauce"/>
    <m/>
    <x v="2"/>
    <d v="2021-10-28T00:00:00"/>
    <d v="2023-04-13T00:00:00"/>
    <s v="instacart"/>
    <s v=""/>
    <n v="262597"/>
    <x v="1"/>
    <s v="Available"/>
    <x v="1"/>
    <x v="0"/>
  </r>
  <r>
    <s v="725342289868"/>
    <x v="40"/>
    <s v="Muir Glen Pasta Sauce, Garden Vegetable 25.5 oz"/>
    <n v="25.5"/>
    <x v="0"/>
    <d v="2021-10-28T00:00:00"/>
    <d v="2026-02-06T00:00:00"/>
    <s v="instacart"/>
    <n v="53453"/>
    <n v="262279"/>
    <x v="0"/>
    <s v="Available"/>
    <x v="0"/>
    <x v="0"/>
  </r>
  <r>
    <s v="081319819323"/>
    <x v="65"/>
    <s v="Casa Visco Carmellas Homestyle Sauce Spaghetti With Mushroom - 32 Oz"/>
    <n v="32"/>
    <x v="0"/>
    <d v="2021-10-28T00:00:00"/>
    <d v="2025-10-22T00:00:00"/>
    <s v="instacart"/>
    <n v="17653197"/>
    <n v="262278"/>
    <x v="0"/>
    <s v="Available"/>
    <x v="0"/>
    <x v="0"/>
  </r>
  <r>
    <s v="747479001151"/>
    <x v="2"/>
    <s v="Raos Sauce Tomato Basil - 32 Oz"/>
    <n v="32"/>
    <x v="0"/>
    <d v="2021-10-28T00:00:00"/>
    <d v="2026-02-07T00:00:00"/>
    <s v="instacart"/>
    <n v="18627883"/>
    <n v="264443"/>
    <x v="0"/>
    <s v="Available"/>
    <x v="0"/>
    <x v="0"/>
  </r>
  <r>
    <s v="076050170253"/>
    <x v="13"/>
    <s v="Paesana Sicilian Gravy Style Pasta Sauce, 25 oz"/>
    <n v="25"/>
    <x v="0"/>
    <d v="2021-10-28T00:00:00"/>
    <d v="2026-02-06T00:00:00"/>
    <s v="instacart"/>
    <n v="91478"/>
    <n v="266360"/>
    <x v="0"/>
    <s v="Available"/>
    <x v="0"/>
    <x v="0"/>
  </r>
  <r>
    <s v="041129077825"/>
    <x v="19"/>
    <s v="Classico Roasted Garlic Pasta Sauce 24 oz"/>
    <n v="24"/>
    <x v="0"/>
    <d v="2021-10-28T00:00:00"/>
    <d v="2026-02-07T00:00:00"/>
    <s v="instacart"/>
    <n v="73912"/>
    <n v="261854"/>
    <x v="0"/>
    <s v="Available"/>
    <x v="0"/>
    <x v="0"/>
  </r>
  <r>
    <s v="865041000224"/>
    <x v="28"/>
    <s v="De Massimo's Arrabbiata Sauce, Subtle Heat"/>
    <n v="32"/>
    <x v="0"/>
    <d v="2021-10-28T00:00:00"/>
    <d v="2026-02-06T00:00:00"/>
    <s v="instacart"/>
    <n v="18905133"/>
    <n v="266492"/>
    <x v="0"/>
    <s v="Available"/>
    <x v="0"/>
    <x v="0"/>
  </r>
  <r>
    <s v="628693199070"/>
    <x v="131"/>
    <s v="ANDUCCI - Anducci My Nonnas Garden Sauce"/>
    <n v="16.906742000000001"/>
    <x v="1"/>
    <d v="2022-12-08T00:00:00"/>
    <d v="2026-02-05T00:00:00"/>
    <s v="instacart"/>
    <s v=""/>
    <n v="262037"/>
    <x v="1"/>
    <s v="Available"/>
    <x v="1"/>
    <x v="0"/>
  </r>
  <r>
    <s v="860009228917"/>
    <x v="48"/>
    <s v="Jersey Italian Gravy Vodka Sauce, 12 PK"/>
    <m/>
    <x v="2"/>
    <d v="2023-03-24T00:00:00"/>
    <d v="2023-06-22T00:00:00"/>
    <s v="instacart"/>
    <s v=""/>
    <n v="266343"/>
    <x v="1"/>
    <s v="Available"/>
    <x v="1"/>
    <x v="0"/>
  </r>
  <r>
    <s v="080602026776"/>
    <x v="77"/>
    <s v="Sclafani Vodka Sauce with Real Cream"/>
    <n v="32"/>
    <x v="0"/>
    <d v="2021-10-31T00:00:00"/>
    <d v="2026-02-06T00:00:00"/>
    <s v="instacart"/>
    <n v="228867"/>
    <n v="264580"/>
    <x v="0"/>
    <s v="Available"/>
    <x v="0"/>
    <x v="0"/>
  </r>
  <r>
    <s v="024000523697"/>
    <x v="134"/>
    <s v="Del Monte, Four Cheese Pasta Sauce, 24 oz, Shelf Stable, Aluminum Can"/>
    <n v="24"/>
    <x v="0"/>
    <d v="2021-10-28T00:00:00"/>
    <d v="2026-02-06T00:00:00"/>
    <s v="instacart"/>
    <n v="244834"/>
    <n v="266946"/>
    <x v="0"/>
    <s v="Available"/>
    <x v="0"/>
    <x v="0"/>
  </r>
  <r>
    <s v="070796900181"/>
    <x v="10"/>
    <s v="Sauce Yellow Pasta"/>
    <n v="25"/>
    <x v="0"/>
    <d v="2022-04-17T00:00:00"/>
    <d v="2025-01-15T00:00:00"/>
    <s v="instacart"/>
    <s v=""/>
    <n v="264094"/>
    <x v="1"/>
    <s v="Available"/>
    <x v="1"/>
    <x v="0"/>
  </r>
  <r>
    <s v="077644901420"/>
    <x v="0"/>
    <s v="Francesco Rinaldi Pasta Sauce, Tomato &amp; Basil"/>
    <n v="45"/>
    <x v="0"/>
    <d v="2021-10-28T00:00:00"/>
    <d v="2026-02-06T00:00:00"/>
    <s v="instacart"/>
    <n v="212231"/>
    <n v="267025"/>
    <x v="0"/>
    <s v="Available"/>
    <x v="0"/>
    <x v="0"/>
  </r>
  <r>
    <s v="075462041809"/>
    <x v="8"/>
    <s v="Dell Alpe Sauce Pasta Vodka - 25 Oz"/>
    <n v="25"/>
    <x v="0"/>
    <d v="2021-10-29T00:00:00"/>
    <d v="2026-02-05T00:00:00"/>
    <s v="instacart"/>
    <s v=""/>
    <n v="262605"/>
    <x v="1"/>
    <s v="Available"/>
    <x v="1"/>
    <x v="0"/>
  </r>
  <r>
    <s v="041188043106"/>
    <x v="227"/>
    <s v="Furmano's Spaghetti Sauce - Italian Style, 28 oz"/>
    <n v="28"/>
    <x v="0"/>
    <d v="2021-10-31T00:00:00"/>
    <d v="2026-02-03T00:00:00"/>
    <s v="instacart"/>
    <s v=""/>
    <n v="264421"/>
    <x v="1"/>
    <s v="Available"/>
    <x v="1"/>
    <x v="0"/>
  </r>
  <r>
    <s v="051000227447"/>
    <x v="38"/>
    <s v="Prego - Farmers Mkt Marinara Sce"/>
    <n v="23.5"/>
    <x v="0"/>
    <d v="2021-10-28T00:00:00"/>
    <d v="2026-02-06T00:00:00"/>
    <s v="instacart"/>
    <n v="3250353"/>
    <n v="264033"/>
    <x v="0"/>
    <s v="Missing"/>
    <x v="0"/>
    <x v="1"/>
  </r>
  <r>
    <s v="081319819309"/>
    <x v="65"/>
    <s v="Casa Visco Meat Pasta Sauce"/>
    <n v="32"/>
    <x v="0"/>
    <d v="2021-10-29T00:00:00"/>
    <d v="2025-10-22T00:00:00"/>
    <s v="instacart"/>
    <s v=""/>
    <n v="262598"/>
    <x v="1"/>
    <s v="Available"/>
    <x v="1"/>
    <x v="0"/>
  </r>
  <r>
    <s v="747479101967"/>
    <x v="2"/>
    <s v="Rao's Creamy Marinara Sauce 24oz - 24 OZ"/>
    <n v="24"/>
    <x v="0"/>
    <d v="2025-01-22T00:00:00"/>
    <d v="2026-02-06T00:00:00"/>
    <s v="instacart"/>
    <n v="64213253"/>
    <n v="266619"/>
    <x v="0"/>
    <s v="Available"/>
    <x v="0"/>
    <x v="0"/>
  </r>
  <r>
    <s v="628110146106"/>
    <x v="9"/>
    <s v="STEFANO Faita - Tomato Basil Pasta Sauce"/>
    <n v="21.911138000000001"/>
    <x v="1"/>
    <d v="2021-10-28T00:00:00"/>
    <d v="2026-02-05T00:00:00"/>
    <s v="instacart"/>
    <s v=""/>
    <n v="264185"/>
    <x v="1"/>
    <s v="Available"/>
    <x v="1"/>
    <x v="0"/>
  </r>
  <r>
    <s v="860004856078"/>
    <x v="36"/>
    <s v="Eat Happy Kitchen Arrabbiata Spicy Marinara - 25 Oz"/>
    <n v="25"/>
    <x v="0"/>
    <d v="2023-09-24T00:00:00"/>
    <d v="2026-02-05T00:00:00"/>
    <s v="instacart"/>
    <n v="30613285"/>
    <n v="266390"/>
    <x v="0"/>
    <s v="Available"/>
    <x v="0"/>
    <x v="0"/>
  </r>
  <r>
    <s v="711381321225"/>
    <x v="91"/>
    <s v="Stonewall Kitchen Sauce Truffle Marinara Jar - 17.5 Oz"/>
    <n v="17.75"/>
    <x v="0"/>
    <d v="2021-10-28T00:00:00"/>
    <d v="2026-02-06T00:00:00"/>
    <s v="instacart"/>
    <n v="260925"/>
    <n v="264142"/>
    <x v="0"/>
    <s v="Available"/>
    <x v="0"/>
    <x v="0"/>
  </r>
  <r>
    <s v="036200000502"/>
    <x v="15"/>
    <s v="Ragu Sauce, Traditional, Old World Style 14 oz"/>
    <n v="14"/>
    <x v="0"/>
    <d v="2021-10-28T00:00:00"/>
    <d v="2026-02-07T00:00:00"/>
    <s v="instacart"/>
    <n v="39129"/>
    <n v="262292"/>
    <x v="0"/>
    <s v="Available"/>
    <x v="0"/>
    <x v="0"/>
  </r>
  <r>
    <s v="871398000015"/>
    <x v="89"/>
    <s v="LaDoriaBasil, PLCHD cont-3rd party agency"/>
    <n v="12.172855"/>
    <x v="1"/>
    <d v="2025-05-20T00:00:00"/>
    <d v="2026-02-05T00:00:00"/>
    <s v="instacart"/>
    <s v=""/>
    <n v="264072"/>
    <x v="1"/>
    <s v="Available"/>
    <x v="1"/>
    <x v="0"/>
  </r>
  <r>
    <s v="051000286215"/>
    <x v="5"/>
    <s v="PregoÂ® Chunky Tomato Basil and Garlic Pasta Sauce"/>
    <n v="23.75"/>
    <x v="0"/>
    <d v="2023-03-05T00:00:00"/>
    <d v="2026-02-07T00:00:00"/>
    <s v="instacart"/>
    <n v="29523690"/>
    <n v="266306"/>
    <x v="0"/>
    <s v="Available"/>
    <x v="0"/>
    <x v="0"/>
  </r>
  <r>
    <s v="041331021463"/>
    <x v="228"/>
    <s v="Goya - Sofrito Tomato Cooking Base (12 Oz)"/>
    <n v="12"/>
    <x v="0"/>
    <d v="2021-10-28T00:00:00"/>
    <d v="2026-02-07T00:00:00"/>
    <s v="instacart"/>
    <n v="35077"/>
    <n v="264291"/>
    <x v="0"/>
    <s v="Available"/>
    <x v="0"/>
    <x v="0"/>
  </r>
  <r>
    <s v="735062001701"/>
    <x v="201"/>
    <s v="Amato's Marinara Sauce"/>
    <n v="24"/>
    <x v="0"/>
    <d v="2021-10-29T00:00:00"/>
    <d v="2025-10-22T00:00:00"/>
    <s v="instacart"/>
    <s v=""/>
    <n v="261656"/>
    <x v="1"/>
    <s v="Available"/>
    <x v="1"/>
    <x v="0"/>
  </r>
  <r>
    <s v="863955000255"/>
    <x v="38"/>
    <s v="the meatball shop spicy-ish arrabbiata sauce, 24 oz"/>
    <n v="24"/>
    <x v="0"/>
    <d v="2021-10-31T00:00:00"/>
    <d v="2026-02-06T00:00:00"/>
    <s v="instacart"/>
    <s v=""/>
    <n v="264066"/>
    <x v="1"/>
    <s v="Missing"/>
    <x v="1"/>
    <x v="1"/>
  </r>
  <r>
    <s v="072551250005"/>
    <x v="17"/>
    <s v="Brooklyn's Best Silver Star Tomato &amp; Basil Sauce, 25 oz"/>
    <n v="25"/>
    <x v="0"/>
    <d v="2022-02-08T00:00:00"/>
    <d v="2026-02-06T00:00:00"/>
    <s v="instacart"/>
    <n v="18644461"/>
    <n v="264044"/>
    <x v="0"/>
    <s v="Available"/>
    <x v="0"/>
    <x v="0"/>
  </r>
  <r>
    <s v="051000270566"/>
    <x v="38"/>
    <s v="Prego Traditional Tomato Italian Pasta Sauce, Value Size Jar, 38 oz"/>
    <n v="38"/>
    <x v="0"/>
    <d v="2022-11-13T00:00:00"/>
    <d v="2026-02-07T00:00:00"/>
    <s v="instacart"/>
    <n v="20562014"/>
    <n v="262554"/>
    <x v="0"/>
    <s v="Missing"/>
    <x v="0"/>
    <x v="1"/>
  </r>
  <r>
    <s v="747479000406"/>
    <x v="2"/>
    <s v="Rao's Homemade Marinara Sauce"/>
    <n v="40"/>
    <x v="0"/>
    <d v="2021-10-28T00:00:00"/>
    <d v="2026-02-06T00:00:00"/>
    <s v="instacart"/>
    <n v="17725621"/>
    <n v="261712"/>
    <x v="0"/>
    <s v="Available"/>
    <x v="0"/>
    <x v="0"/>
  </r>
  <r>
    <s v="086341609164"/>
    <x v="127"/>
    <s v="The Silver Palate Low Sodium San Marzano Blend Tomato Basil Pasta Sauce"/>
    <n v="25"/>
    <x v="0"/>
    <d v="2021-10-28T00:00:00"/>
    <d v="2026-02-06T00:00:00"/>
    <s v="instacart"/>
    <n v="19511375"/>
    <n v="266984"/>
    <x v="0"/>
    <s v="Available"/>
    <x v="0"/>
    <x v="0"/>
  </r>
  <r>
    <s v="791946130165"/>
    <x v="175"/>
    <s v="Green Mill Tomato Basil Pasta Sauce, Gluten Free"/>
    <n v="24"/>
    <x v="0"/>
    <d v="2021-10-31T00:00:00"/>
    <d v="2026-02-02T00:00:00"/>
    <s v="instacart"/>
    <n v="2798877"/>
    <n v="264554"/>
    <x v="0"/>
    <s v="Available"/>
    <x v="0"/>
    <x v="0"/>
  </r>
  <r>
    <s v="780961206429"/>
    <x v="229"/>
    <s v="Tomato Basil Sauce, 15 OZ"/>
    <n v="15"/>
    <x v="0"/>
    <d v="2024-02-14T00:00:00"/>
    <d v="2026-02-03T00:00:00"/>
    <s v="instacart"/>
    <n v="33263853"/>
    <n v="264300"/>
    <x v="0"/>
    <s v="Available"/>
    <x v="0"/>
    <x v="0"/>
  </r>
  <r>
    <s v="072343000214"/>
    <x v="32"/>
    <s v="Mid's Marinara"/>
    <n v="32"/>
    <x v="0"/>
    <d v="2021-10-28T00:00:00"/>
    <d v="2026-02-04T00:00:00"/>
    <s v="instacart"/>
    <s v=""/>
    <n v="264024"/>
    <x v="1"/>
    <s v="Available"/>
    <x v="1"/>
    <x v="0"/>
  </r>
  <r>
    <s v="677294998032"/>
    <x v="87"/>
    <s v="Organico Bello Organic Spicy Marinara Pasta Sauce"/>
    <n v="25"/>
    <x v="0"/>
    <d v="2021-10-28T00:00:00"/>
    <d v="2026-02-06T00:00:00"/>
    <s v="instacart"/>
    <n v="175473"/>
    <n v="264416"/>
    <x v="0"/>
    <s v="Available"/>
    <x v="0"/>
    <x v="0"/>
  </r>
  <r>
    <s v="747479001601"/>
    <x v="2"/>
    <s v="Rao's Sauce, Tomato Herb 24 oz"/>
    <n v="24"/>
    <x v="0"/>
    <d v="2021-10-28T00:00:00"/>
    <d v="2026-02-06T00:00:00"/>
    <s v="instacart"/>
    <n v="17375585"/>
    <n v="261830"/>
    <x v="0"/>
    <s v="Available"/>
    <x v="0"/>
    <x v="0"/>
  </r>
  <r>
    <s v="066086990154"/>
    <x v="124"/>
    <s v="Pastene Tomato Sauce, The Chateau Restaurant 24 oz"/>
    <n v="24"/>
    <x v="0"/>
    <d v="2021-10-28T00:00:00"/>
    <d v="2026-02-06T00:00:00"/>
    <s v="instacart"/>
    <n v="3146180"/>
    <n v="264758"/>
    <x v="0"/>
    <s v="Available"/>
    <x v="0"/>
    <x v="0"/>
  </r>
  <r>
    <s v="791946130196"/>
    <x v="175"/>
    <s v="Green Mill Pasta Sauce, Bold, Gluten Free, Italian"/>
    <n v="24"/>
    <x v="0"/>
    <d v="2021-10-28T00:00:00"/>
    <d v="2026-02-02T00:00:00"/>
    <s v="instacart"/>
    <n v="2798437"/>
    <n v="264299"/>
    <x v="0"/>
    <s v="Available"/>
    <x v="0"/>
    <x v="0"/>
  </r>
  <r>
    <s v="897712001063"/>
    <x v="230"/>
    <s v="LIDIA'A Tomato Basil"/>
    <n v="25"/>
    <x v="0"/>
    <d v="2021-10-28T00:00:00"/>
    <d v="2026-02-06T00:00:00"/>
    <s v="instacart"/>
    <n v="98544"/>
    <n v="261601"/>
    <x v="0"/>
    <s v="Available"/>
    <x v="0"/>
    <x v="0"/>
  </r>
  <r>
    <s v="048176843953"/>
    <x v="231"/>
    <s v="Mantova Italian Roasted Garlic Tomato Sauce - 24 Oz"/>
    <n v="24"/>
    <x v="0"/>
    <d v="2021-11-02T00:00:00"/>
    <d v="2026-02-06T00:00:00"/>
    <s v="instacart"/>
    <n v="22955797"/>
    <n v="264307"/>
    <x v="0"/>
    <s v="Available"/>
    <x v="0"/>
    <x v="0"/>
  </r>
  <r>
    <s v="072368420400"/>
    <x v="99"/>
    <s v="Delallo Pasta Sauce, Arrabbiata, Premium"/>
    <n v="24"/>
    <x v="0"/>
    <d v="2021-10-28T00:00:00"/>
    <d v="2026-02-06T00:00:00"/>
    <s v="instacart"/>
    <n v="18471108"/>
    <n v="262021"/>
    <x v="0"/>
    <s v="Available"/>
    <x v="0"/>
    <x v="0"/>
  </r>
  <r>
    <s v="048176844653"/>
    <x v="36"/>
    <s v="Mantova Tomato &amp; Parmigiano Reggiano Sauce - 24 Oz"/>
    <n v="24"/>
    <x v="0"/>
    <d v="2022-08-14T00:00:00"/>
    <d v="2026-02-06T00:00:00"/>
    <s v="instacart"/>
    <n v="27194218"/>
    <n v="264649"/>
    <x v="0"/>
    <s v="Available"/>
    <x v="0"/>
    <x v="0"/>
  </r>
  <r>
    <s v="074908324414"/>
    <x v="75"/>
    <s v="DelGrosso Pasta Sauce Pepperoni Flavored"/>
    <n v="26"/>
    <x v="0"/>
    <d v="2021-10-28T00:00:00"/>
    <d v="2026-02-03T00:00:00"/>
    <s v="instacart"/>
    <n v="17006886"/>
    <n v="266299"/>
    <x v="0"/>
    <s v="Available"/>
    <x v="0"/>
    <x v="0"/>
  </r>
  <r>
    <s v="741890123584"/>
    <x v="92"/>
    <s v="Larosa's Onion &amp; Garlic  Sauce ,24 oz PET Jar"/>
    <n v="24"/>
    <x v="0"/>
    <d v="2021-10-28T00:00:00"/>
    <d v="2026-02-04T00:00:00"/>
    <s v="instacart"/>
    <n v="29178303"/>
    <n v="264279"/>
    <x v="0"/>
    <s v="Available"/>
    <x v="0"/>
    <x v="0"/>
  </r>
  <r>
    <s v="070900502638"/>
    <x v="30"/>
    <s v="Dei Fratelli Pasta Sauce, Tomato &amp; Basil"/>
    <n v="24"/>
    <x v="0"/>
    <d v="2021-10-28T00:00:00"/>
    <d v="2026-02-05T00:00:00"/>
    <s v="instacart"/>
    <n v="2691726"/>
    <n v="264302"/>
    <x v="0"/>
    <s v="Available"/>
    <x v="0"/>
    <x v="0"/>
  </r>
  <r>
    <s v="747479000130"/>
    <x v="2"/>
    <s v="Raos Homemade Sauce Vodka Jar - 24 Oz"/>
    <n v="24"/>
    <x v="0"/>
    <d v="2021-10-28T00:00:00"/>
    <d v="2026-02-07T00:00:00"/>
    <s v="instacart"/>
    <n v="24806"/>
    <n v="264293"/>
    <x v="0"/>
    <s v="Available"/>
    <x v="0"/>
    <x v="0"/>
  </r>
  <r>
    <s v="747479001502"/>
    <x v="2"/>
    <s v="Rao's Four Cheese Sauce, 24 oz"/>
    <n v="24"/>
    <x v="0"/>
    <d v="2021-10-28T00:00:00"/>
    <d v="2026-02-07T00:00:00"/>
    <s v="instacart"/>
    <n v="53410"/>
    <n v="264165"/>
    <x v="0"/>
    <s v="Available"/>
    <x v="0"/>
    <x v="0"/>
  </r>
  <r>
    <s v="628693199018"/>
    <x v="131"/>
    <s v="ANDUCCI - Anducci Simply Tomato Sauce"/>
    <n v="16.906742000000001"/>
    <x v="1"/>
    <d v="2023-06-22T00:00:00"/>
    <d v="2026-02-05T00:00:00"/>
    <s v="instacart"/>
    <s v=""/>
    <n v="262293"/>
    <x v="1"/>
    <s v="Available"/>
    <x v="1"/>
    <x v="0"/>
  </r>
  <r>
    <s v="721865971006"/>
    <x v="194"/>
    <s v="Boves Of Vermont Sauce Pasta Marinara, 24 oz"/>
    <n v="24"/>
    <x v="0"/>
    <d v="2021-11-01T00:00:00"/>
    <d v="2026-02-03T00:00:00"/>
    <s v="instacart"/>
    <n v="53391"/>
    <n v="266877"/>
    <x v="0"/>
    <s v="Available"/>
    <x v="0"/>
    <x v="0"/>
  </r>
  <r>
    <s v="074908370022"/>
    <x v="75"/>
    <s v="Del Grosso Pasta Sauce, Premium, Organic, Roasted Garlic 24 oz"/>
    <n v="24"/>
    <x v="0"/>
    <d v="2021-10-28T00:00:00"/>
    <d v="2026-02-06T00:00:00"/>
    <s v="instacart"/>
    <n v="16990885"/>
    <n v="266300"/>
    <x v="0"/>
    <s v="Available"/>
    <x v="0"/>
    <x v="0"/>
  </r>
  <r>
    <s v="677294998025"/>
    <x v="165"/>
    <s v="Organico Bello Organic Pasta Sauce Marinara -- 25 Oz"/>
    <n v="25"/>
    <x v="0"/>
    <d v="2021-10-28T00:00:00"/>
    <d v="2026-02-06T00:00:00"/>
    <s v="instacart"/>
    <n v="175341"/>
    <n v="264467"/>
    <x v="0"/>
    <s v="Available"/>
    <x v="0"/>
    <x v="0"/>
  </r>
  <r>
    <s v="033157888030"/>
    <x v="12"/>
    <s v="Orti Di Calabria Vegan Bolognese Sauce"/>
    <m/>
    <x v="2"/>
    <d v="2021-10-28T00:00:00"/>
    <d v="2023-07-17T00:00:00"/>
    <s v="instacart"/>
    <s v=""/>
    <n v="264427"/>
    <x v="1"/>
    <s v="Available"/>
    <x v="1"/>
    <x v="0"/>
  </r>
  <r>
    <s v="677294981324"/>
    <x v="38"/>
    <s v="cucina antica sauce keto marinara"/>
    <n v="25"/>
    <x v="0"/>
    <d v="2022-09-01T00:00:00"/>
    <d v="2026-02-05T00:00:00"/>
    <s v="instacart"/>
    <s v=""/>
    <n v="266282"/>
    <x v="1"/>
    <s v="Missing"/>
    <x v="1"/>
    <x v="1"/>
  </r>
  <r>
    <s v="811497008352"/>
    <x v="50"/>
    <s v="TantilloÂ® Reserve Tomato Basil Pasta Sauce"/>
    <n v="24"/>
    <x v="0"/>
    <d v="2021-11-01T00:00:00"/>
    <d v="2024-02-02T00:00:00"/>
    <s v="instacart"/>
    <s v=""/>
    <n v="264243"/>
    <x v="1"/>
    <s v="Available"/>
    <x v="1"/>
    <x v="0"/>
  </r>
  <r>
    <s v="856044003312"/>
    <x v="144"/>
    <s v="Mutti Parm Reg Pasta Sauce"/>
    <n v="24"/>
    <x v="0"/>
    <d v="2021-10-31T00:00:00"/>
    <d v="2026-02-06T00:00:00"/>
    <s v="instacart"/>
    <n v="34713974"/>
    <n v="261780"/>
    <x v="0"/>
    <s v="Available"/>
    <x v="0"/>
    <x v="0"/>
  </r>
  <r>
    <s v="753182479538"/>
    <x v="150"/>
    <s v="Cortazzo Arrabbiata Spicy Marinara Pasta Sauce"/>
    <n v="25"/>
    <x v="0"/>
    <d v="2021-10-28T00:00:00"/>
    <d v="2025-07-20T00:00:00"/>
    <s v="instacart"/>
    <s v=""/>
    <n v="261654"/>
    <x v="1"/>
    <s v="Available"/>
    <x v="1"/>
    <x v="0"/>
  </r>
  <r>
    <s v="041129000595"/>
    <x v="19"/>
    <s v="Classico Tomato &amp; Basil Pasta Sauce, 24 oz., 3 pk."/>
    <n v="72"/>
    <x v="0"/>
    <d v="2025-01-23T00:00:00"/>
    <d v="2026-02-05T00:00:00"/>
    <s v="instacart"/>
    <s v=""/>
    <n v="261763"/>
    <x v="1"/>
    <s v="Available"/>
    <x v="1"/>
    <x v="0"/>
  </r>
  <r>
    <s v="860004856009"/>
    <x v="232"/>
    <s v="Eat Happy Kitchen Sauce Marinara - 25 Ounce"/>
    <n v="25"/>
    <x v="0"/>
    <d v="2024-06-05T00:00:00"/>
    <d v="2026-02-06T00:00:00"/>
    <s v="instacart"/>
    <n v="26221343"/>
    <n v="266516"/>
    <x v="0"/>
    <s v="Available"/>
    <x v="0"/>
    <x v="0"/>
  </r>
  <r>
    <s v="064144042258"/>
    <x v="233"/>
    <s v="Chef Boyardee Spaghetti Sauce With Meat"/>
    <n v="15"/>
    <x v="0"/>
    <d v="2021-10-28T00:00:00"/>
    <d v="2026-02-05T00:00:00"/>
    <s v="instacart"/>
    <n v="1541609"/>
    <n v="261554"/>
    <x v="0"/>
    <s v="Available"/>
    <x v="0"/>
    <x v="0"/>
  </r>
  <r>
    <s v="195893408535"/>
    <x v="97"/>
    <s v="Marinara Alla Pappy, 24 OZ"/>
    <n v="24"/>
    <x v="0"/>
    <d v="2025-01-23T00:00:00"/>
    <d v="2026-02-03T00:00:00"/>
    <s v="instacart"/>
    <n v="28322343"/>
    <n v="264038"/>
    <x v="0"/>
    <s v="Available"/>
    <x v="0"/>
    <x v="0"/>
  </r>
  <r>
    <s v="850024735453"/>
    <x v="54"/>
    <s v="Carbone Spicy Vodka Sauce"/>
    <n v="32"/>
    <x v="0"/>
    <d v="2025-04-25T00:00:00"/>
    <d v="2026-02-06T00:00:00"/>
    <s v="instacart"/>
    <n v="69976120"/>
    <n v="266577"/>
    <x v="0"/>
    <s v="Available"/>
    <x v="0"/>
    <x v="0"/>
  </r>
  <r>
    <s v="063211041255"/>
    <x v="5"/>
    <s v="Prego - Pasta Sauce - Fresh Mushrooms"/>
    <n v="59.174500000000002"/>
    <x v="1"/>
    <d v="2021-10-28T00:00:00"/>
    <d v="2026-02-05T00:00:00"/>
    <s v="instacart"/>
    <s v=""/>
    <n v="261836"/>
    <x v="1"/>
    <s v="Available"/>
    <x v="1"/>
    <x v="0"/>
  </r>
  <r>
    <s v="051000050434"/>
    <x v="234"/>
    <s v="Prego Three Cheese Pasta Sauce, 24 Oz Jar"/>
    <n v="24"/>
    <x v="0"/>
    <d v="2021-10-28T00:00:00"/>
    <d v="2026-02-07T00:00:00"/>
    <s v="instacart"/>
    <n v="77122"/>
    <n v="264114"/>
    <x v="0"/>
    <s v="Available"/>
    <x v="0"/>
    <x v="0"/>
  </r>
  <r>
    <s v="089397104959"/>
    <x v="71"/>
    <s v="Racconto Passata - 24 Oz"/>
    <n v="24"/>
    <x v="0"/>
    <d v="2021-10-28T00:00:00"/>
    <d v="2026-02-05T00:00:00"/>
    <s v="instacart"/>
    <n v="2690795"/>
    <n v="266314"/>
    <x v="0"/>
    <s v="Available"/>
    <x v="0"/>
    <x v="0"/>
  </r>
  <r>
    <s v="628110146113"/>
    <x v="9"/>
    <s v="STEFANO Faita - Marinara Pasta Sauce"/>
    <n v="21.911138000000001"/>
    <x v="1"/>
    <d v="2021-10-28T00:00:00"/>
    <d v="2026-02-05T00:00:00"/>
    <s v="instacart"/>
    <s v=""/>
    <n v="261862"/>
    <x v="1"/>
    <s v="Available"/>
    <x v="1"/>
    <x v="0"/>
  </r>
  <r>
    <s v="036200219201"/>
    <x v="38"/>
    <s v="Bertolli - Italian Sausage Sauce"/>
    <n v="24"/>
    <x v="0"/>
    <d v="2021-10-28T00:00:00"/>
    <d v="2026-02-06T00:00:00"/>
    <s v="instacart"/>
    <n v="2680032"/>
    <n v="264198"/>
    <x v="0"/>
    <s v="Missing"/>
    <x v="0"/>
    <x v="1"/>
  </r>
  <r>
    <s v="860003305805"/>
    <x v="70"/>
    <s v="Livwell Pasta Sauce, Butternut &amp; Sage"/>
    <n v="16"/>
    <x v="0"/>
    <d v="2023-01-11T00:00:00"/>
    <d v="2026-02-06T00:00:00"/>
    <s v="instacart"/>
    <n v="26633752"/>
    <n v="267039"/>
    <x v="0"/>
    <s v="Available"/>
    <x v="0"/>
    <x v="0"/>
  </r>
  <r>
    <s v="014285001935"/>
    <x v="235"/>
    <s v="Ofc Spaghetti Sauce, Sweet Filipino Style 1 kg"/>
    <n v="35"/>
    <x v="0"/>
    <d v="2021-10-28T00:00:00"/>
    <d v="2026-02-06T00:00:00"/>
    <s v="instacart"/>
    <n v="318853"/>
    <n v="267077"/>
    <x v="0"/>
    <s v="Available"/>
    <x v="0"/>
    <x v="0"/>
  </r>
  <r>
    <s v="850008557071"/>
    <x v="216"/>
    <s v="The Jersey Tomato Co. Roasted Garlic Sauce, 25 oz"/>
    <n v="25"/>
    <x v="0"/>
    <d v="2021-10-31T00:00:00"/>
    <d v="2026-02-04T00:00:00"/>
    <s v="instacart"/>
    <s v=""/>
    <n v="261586"/>
    <x v="1"/>
    <s v="Available"/>
    <x v="1"/>
    <x v="0"/>
  </r>
  <r>
    <s v="738529000835"/>
    <x v="236"/>
    <s v="Rg Italian Style Tomato Sauce - 8 Oz"/>
    <n v="8"/>
    <x v="0"/>
    <d v="2021-10-28T00:00:00"/>
    <d v="2026-02-06T00:00:00"/>
    <s v="instacart"/>
    <n v="16560607"/>
    <n v="264331"/>
    <x v="0"/>
    <s v="Available"/>
    <x v="0"/>
    <x v="0"/>
  </r>
  <r>
    <s v="739276000451"/>
    <x v="237"/>
    <s v="Viviano's - Garlic Basil Pasta Sauce (33 Oz)"/>
    <n v="33"/>
    <x v="0"/>
    <d v="2022-12-06T00:00:00"/>
    <d v="2026-02-02T00:00:00"/>
    <s v="instacart"/>
    <n v="2812440"/>
    <n v="264130"/>
    <x v="0"/>
    <s v="Available"/>
    <x v="0"/>
    <x v="0"/>
  </r>
  <r>
    <s v="810095661150"/>
    <x v="44"/>
    <s v="Botticelli Pasta Sauce, Grilled Pepper, Premium 24 oz"/>
    <n v="24"/>
    <x v="0"/>
    <d v="2024-06-23T00:00:00"/>
    <d v="2026-02-06T00:00:00"/>
    <s v="instacart"/>
    <n v="48569368"/>
    <n v="266862"/>
    <x v="0"/>
    <s v="Available"/>
    <x v="0"/>
    <x v="0"/>
  </r>
  <r>
    <s v="850024735071"/>
    <x v="54"/>
    <s v="Carbone Marinara Sauce - 32 Oz"/>
    <n v="32"/>
    <x v="0"/>
    <d v="2022-03-13T00:00:00"/>
    <d v="2026-02-06T00:00:00"/>
    <s v="instacart"/>
    <n v="26962670"/>
    <n v="266288"/>
    <x v="0"/>
    <s v="Available"/>
    <x v="0"/>
    <x v="0"/>
  </r>
  <r>
    <s v="706010112923"/>
    <x v="174"/>
    <s v="Barilla Basil &amp; Simmered Onion Marinara Pasta Sauce 24 Oz"/>
    <n v="24"/>
    <x v="0"/>
    <d v="2021-10-28T00:00:00"/>
    <d v="2026-02-06T00:00:00"/>
    <s v="instacart"/>
    <n v="2581476"/>
    <n v="267068"/>
    <x v="0"/>
    <s v="Available"/>
    <x v="0"/>
    <x v="0"/>
  </r>
  <r>
    <s v="036200013755"/>
    <x v="15"/>
    <s v="Ragu Sauce, Six Cheese, Chunky 24 oz"/>
    <n v="24"/>
    <x v="0"/>
    <d v="2021-10-28T00:00:00"/>
    <d v="2026-02-07T00:00:00"/>
    <s v="instacart"/>
    <n v="39244"/>
    <n v="264334"/>
    <x v="0"/>
    <s v="Available"/>
    <x v="0"/>
    <x v="0"/>
  </r>
  <r>
    <s v="024842311216"/>
    <x v="68"/>
    <s v="Buitoni Marinara Sauce 15 oz"/>
    <n v="15"/>
    <x v="0"/>
    <d v="2021-10-28T00:00:00"/>
    <d v="2026-02-06T00:00:00"/>
    <s v="instacart"/>
    <n v="39925"/>
    <n v="261569"/>
    <x v="0"/>
    <s v="Available"/>
    <x v="0"/>
    <x v="0"/>
  </r>
  <r>
    <s v="041736000322"/>
    <x v="43"/>
    <s v="Filippo Berio Mushroom Pasta Sauce 24 oz (680 g)"/>
    <n v="24"/>
    <x v="0"/>
    <d v="2024-07-07T00:00:00"/>
    <d v="2026-02-06T00:00:00"/>
    <s v="instacart"/>
    <n v="48699360"/>
    <n v="266406"/>
    <x v="0"/>
    <s v="Available"/>
    <x v="0"/>
    <x v="0"/>
  </r>
  <r>
    <s v="852300001009"/>
    <x v="238"/>
    <s v="Il Mulino Sauce Marinara - 24 Oz"/>
    <n v="24"/>
    <x v="0"/>
    <d v="2021-10-28T00:00:00"/>
    <d v="2026-02-06T00:00:00"/>
    <s v="instacart"/>
    <n v="288575"/>
    <n v="262262"/>
    <x v="0"/>
    <s v="Available"/>
    <x v="0"/>
    <x v="0"/>
  </r>
  <r>
    <s v="850049357012"/>
    <x v="53"/>
    <s v="Graziano Bros. Calabrian-Style Pasta Sauce"/>
    <n v="24"/>
    <x v="0"/>
    <d v="2024-03-07T00:00:00"/>
    <d v="2026-02-04T00:00:00"/>
    <s v="instacart"/>
    <s v=""/>
    <n v="261633"/>
    <x v="1"/>
    <s v="Available"/>
    <x v="1"/>
    <x v="0"/>
  </r>
  <r>
    <s v="628055758006"/>
    <x v="58"/>
    <s v="Fody Sensitive Pasta Sauce, Marinara"/>
    <n v="19.399999999999999"/>
    <x v="0"/>
    <d v="2021-10-28T00:00:00"/>
    <d v="2026-02-06T00:00:00"/>
    <s v="instacart"/>
    <n v="19044640"/>
    <n v="267078"/>
    <x v="0"/>
    <s v="Available"/>
    <x v="0"/>
    <x v="0"/>
  </r>
  <r>
    <s v="072368424408"/>
    <x v="99"/>
    <s v="Delallo Pomodoro Fresco, Four Cheese"/>
    <n v="25.25"/>
    <x v="0"/>
    <d v="2021-10-28T00:00:00"/>
    <d v="2026-02-06T00:00:00"/>
    <s v="instacart"/>
    <n v="20512683"/>
    <n v="264461"/>
    <x v="0"/>
    <s v="Available"/>
    <x v="0"/>
    <x v="0"/>
  </r>
  <r>
    <s v="072343000511"/>
    <x v="32"/>
    <s v="Mid's Pasta Sauce, Meat Bolognese 28 Oz"/>
    <n v="28"/>
    <x v="0"/>
    <d v="2021-10-28T00:00:00"/>
    <d v="2026-02-06T00:00:00"/>
    <s v="instacart"/>
    <n v="29327558"/>
    <n v="261644"/>
    <x v="0"/>
    <s v="Available"/>
    <x v="0"/>
    <x v="0"/>
  </r>
  <r>
    <s v="041331021494"/>
    <x v="228"/>
    <s v="Goya Sofrito Seasoning Sauce"/>
    <n v="24"/>
    <x v="0"/>
    <d v="2021-10-28T00:00:00"/>
    <d v="2026-02-06T00:00:00"/>
    <s v="instacart"/>
    <n v="147497"/>
    <n v="261574"/>
    <x v="0"/>
    <s v="Available"/>
    <x v="0"/>
    <x v="0"/>
  </r>
  <r>
    <s v="780961206306"/>
    <x v="239"/>
    <s v="Isola Italian Vodka Sauce â€“ Gourmet Tomato Sauce with Cream &amp; Mascarpone, No Sugar Added, Authentic Italian Pasta Sauce for Chefs &amp; Culinary Lovers â€“ 25 oz Jar"/>
    <n v="25"/>
    <x v="0"/>
    <d v="2022-04-29T00:00:00"/>
    <d v="2026-02-03T00:00:00"/>
    <s v="instacart"/>
    <s v=""/>
    <n v="266364"/>
    <x v="1"/>
    <s v="Available"/>
    <x v="1"/>
    <x v="0"/>
  </r>
  <r>
    <s v="096906002330"/>
    <x v="39"/>
    <s v="Moms Pasta Sauce Garlic Marinara Jar - 24 Oz"/>
    <n v="24"/>
    <x v="0"/>
    <d v="2021-10-28T00:00:00"/>
    <d v="2026-02-05T00:00:00"/>
    <s v="instacart"/>
    <n v="333865"/>
    <n v="261828"/>
    <x v="0"/>
    <s v="Available"/>
    <x v="0"/>
    <x v="0"/>
  </r>
  <r>
    <s v="051000292810"/>
    <x v="45"/>
    <s v="Prego Creamy Tomato Pasta Sauce With Garlic, 24 Oz - 23.75 OZ"/>
    <n v="24"/>
    <x v="0"/>
    <d v="2025-03-19T00:00:00"/>
    <d v="2026-02-07T00:00:00"/>
    <s v="instacart"/>
    <n v="64392530"/>
    <n v="264658"/>
    <x v="0"/>
    <s v="Available"/>
    <x v="0"/>
    <x v="0"/>
  </r>
  <r>
    <s v="057000330071"/>
    <x v="19"/>
    <s v="Classico - Four Cheese Spaghetti Pasta Sauce"/>
    <n v="21.978764999999999"/>
    <x v="1"/>
    <d v="2021-10-28T00:00:00"/>
    <d v="2024-12-12T00:00:00"/>
    <s v="instacart"/>
    <s v=""/>
    <n v="266853"/>
    <x v="1"/>
    <s v="Available"/>
    <x v="1"/>
    <x v="0"/>
  </r>
  <r>
    <s v="711381321041"/>
    <x v="91"/>
    <s v="Stonewall Kitchen Vodka Sauce, Classic 18.5 oz"/>
    <n v="18.5"/>
    <x v="0"/>
    <d v="2021-10-28T00:00:00"/>
    <d v="2026-02-06T00:00:00"/>
    <s v="instacart"/>
    <n v="260921"/>
    <n v="262626"/>
    <x v="0"/>
    <s v="Available"/>
    <x v="0"/>
    <x v="0"/>
  </r>
  <r>
    <s v="810002320309"/>
    <x v="240"/>
    <s v="CREDO FOODS Plant Based Alfredo Rosa Sauce, 15 OZ"/>
    <n v="15"/>
    <x v="0"/>
    <d v="2023-08-03T00:00:00"/>
    <d v="2026-02-06T00:00:00"/>
    <s v="instacart"/>
    <n v="33263823"/>
    <n v="264468"/>
    <x v="0"/>
    <s v="Available"/>
    <x v="0"/>
    <x v="0"/>
  </r>
  <r>
    <s v="859429051830"/>
    <x v="38"/>
    <s v="Buona Marinara Sauce With Rigatoni &amp; Meatballs - 53 Oz"/>
    <n v="53"/>
    <x v="0"/>
    <d v="2023-02-12T00:00:00"/>
    <d v="2024-11-04T00:00:00"/>
    <s v="instacart"/>
    <s v=""/>
    <n v="264433"/>
    <x v="1"/>
    <s v="Missing"/>
    <x v="1"/>
    <x v="1"/>
  </r>
  <r>
    <s v="072368420493"/>
    <x v="99"/>
    <s v="Delallo Sauce, Vodka"/>
    <n v="24"/>
    <x v="0"/>
    <d v="2021-10-28T00:00:00"/>
    <d v="2026-02-06T00:00:00"/>
    <s v="instacart"/>
    <n v="2870614"/>
    <n v="261500"/>
    <x v="0"/>
    <s v="Available"/>
    <x v="0"/>
    <x v="0"/>
  </r>
  <r>
    <s v="033157500130"/>
    <x v="103"/>
    <s v="Don Pomodoro Sauce Vodka Jar - 24.3 Oz"/>
    <n v="24.3"/>
    <x v="0"/>
    <d v="2021-10-28T00:00:00"/>
    <d v="2026-02-06T00:00:00"/>
    <s v="instacart"/>
    <n v="170940"/>
    <n v="261715"/>
    <x v="0"/>
    <s v="Available"/>
    <x v="0"/>
    <x v="0"/>
  </r>
  <r>
    <s v="609231202513"/>
    <x v="81"/>
    <s v="Bove's Organic Marinara"/>
    <n v="24"/>
    <x v="0"/>
    <d v="2025-05-28T00:00:00"/>
    <d v="2025-10-22T00:00:00"/>
    <s v="instacart"/>
    <s v=""/>
    <n v="262599"/>
    <x v="1"/>
    <s v="Available"/>
    <x v="1"/>
    <x v="0"/>
  </r>
  <r>
    <s v="066086090045"/>
    <x v="124"/>
    <s v="Pastene Autentico Harvest Vegetable Sauce - 16 Oz"/>
    <n v="16"/>
    <x v="0"/>
    <d v="2023-04-23T00:00:00"/>
    <d v="2026-02-05T00:00:00"/>
    <s v="instacart"/>
    <n v="27910621"/>
    <n v="261499"/>
    <x v="0"/>
    <s v="Available"/>
    <x v="0"/>
    <x v="0"/>
  </r>
  <r>
    <s v="850017990036"/>
    <x v="122"/>
    <s v="Carmine's Homemade Classic Italian Tomato Basil Sauce, 32 oz"/>
    <n v="32"/>
    <x v="0"/>
    <d v="2023-01-22T00:00:00"/>
    <d v="2026-02-04T00:00:00"/>
    <s v="instacart"/>
    <n v="27590178"/>
    <n v="262616"/>
    <x v="0"/>
    <s v="Available"/>
    <x v="0"/>
    <x v="0"/>
  </r>
  <r>
    <s v="085742800750"/>
    <x v="53"/>
    <s v="Papa Joe's Original Spaghetti Sauce"/>
    <n v="24"/>
    <x v="0"/>
    <d v="2021-10-28T00:00:00"/>
    <d v="2026-02-04T00:00:00"/>
    <s v="instacart"/>
    <s v=""/>
    <n v="266832"/>
    <x v="1"/>
    <s v="Available"/>
    <x v="1"/>
    <x v="0"/>
  </r>
  <r>
    <s v="040784986503"/>
    <x v="241"/>
    <s v="San Marzano Marinara Sauce 23.5 oz"/>
    <n v="23.5"/>
    <x v="0"/>
    <d v="2021-10-28T00:00:00"/>
    <d v="2026-02-06T00:00:00"/>
    <s v="instacart"/>
    <s v=""/>
    <n v="261772"/>
    <x v="1"/>
    <s v="Available"/>
    <x v="1"/>
    <x v="0"/>
  </r>
  <r>
    <s v="710033916352"/>
    <x v="207"/>
    <s v="Nonna Carmen Italian Style Vodka Sauce, 24 oz"/>
    <n v="24"/>
    <x v="0"/>
    <d v="2022-06-01T00:00:00"/>
    <d v="2026-02-06T00:00:00"/>
    <s v="instacart"/>
    <n v="24845276"/>
    <n v="261503"/>
    <x v="0"/>
    <s v="Available"/>
    <x v="0"/>
    <x v="0"/>
  </r>
  <r>
    <s v="071072004005"/>
    <x v="196"/>
    <s v="Alessi Marinara Sauce, Smooth 24 oz"/>
    <n v="24"/>
    <x v="0"/>
    <d v="2021-10-28T00:00:00"/>
    <d v="2026-02-06T00:00:00"/>
    <s v="instacart"/>
    <n v="91491"/>
    <n v="266865"/>
    <x v="0"/>
    <s v="Available"/>
    <x v="0"/>
    <x v="0"/>
  </r>
  <r>
    <s v="089397108490"/>
    <x v="38"/>
    <s v="Bella Terra Italian Sausage Sauce - 24 Oz"/>
    <n v="24"/>
    <x v="0"/>
    <d v="2022-02-01T00:00:00"/>
    <d v="2024-08-20T00:00:00"/>
    <s v="instacart"/>
    <s v=""/>
    <n v="261814"/>
    <x v="1"/>
    <s v="Missing"/>
    <x v="1"/>
    <x v="1"/>
  </r>
  <r>
    <s v="077441000319"/>
    <x v="242"/>
    <s v="FANNY'S All Natural Meat Sauce"/>
    <n v="24"/>
    <x v="0"/>
    <d v="2021-11-01T00:00:00"/>
    <d v="2026-02-01T00:00:00"/>
    <s v="instacart"/>
    <n v="162274"/>
    <n v="261759"/>
    <x v="0"/>
    <s v="Available"/>
    <x v="0"/>
    <x v="0"/>
  </r>
  <r>
    <s v="850008833038"/>
    <x v="20"/>
    <s v="Yo Mama's Spicy Marinara Tomato Sauce"/>
    <n v="25"/>
    <x v="0"/>
    <d v="2021-10-28T00:00:00"/>
    <d v="2026-02-06T00:00:00"/>
    <s v="instacart"/>
    <n v="22696564"/>
    <n v="266827"/>
    <x v="0"/>
    <s v="Available"/>
    <x v="0"/>
    <x v="0"/>
  </r>
  <r>
    <s v="749569273004"/>
    <x v="120"/>
    <s v="Yo Mama's Foods No Sugar Added, Low Carb, Marinara Sauce, 3 PK"/>
    <m/>
    <x v="2"/>
    <d v="2023-04-03T00:00:00"/>
    <d v="2023-06-22T00:00:00"/>
    <s v="instacart"/>
    <s v=""/>
    <n v="266848"/>
    <x v="1"/>
    <s v="Available"/>
    <x v="1"/>
    <x v="0"/>
  </r>
  <r>
    <s v="860002303635"/>
    <x v="23"/>
    <s v="Gino Angelini Foods Pasta Sauce Pomodorini - 24 Oz"/>
    <n v="24"/>
    <x v="0"/>
    <d v="2021-10-28T00:00:00"/>
    <d v="2026-02-05T00:00:00"/>
    <s v="instacart"/>
    <s v=""/>
    <n v="264110"/>
    <x v="1"/>
    <s v="Available"/>
    <x v="1"/>
    <x v="0"/>
  </r>
  <r>
    <s v="033157000036"/>
    <x v="12"/>
    <s v="Orti Di Calabria Tomato &amp; Garlic Marinara Pasta Sauce, 24.3 oz"/>
    <n v="24.3"/>
    <x v="0"/>
    <d v="2021-10-28T00:00:00"/>
    <d v="2026-02-05T00:00:00"/>
    <s v="instacart"/>
    <n v="333889"/>
    <n v="266510"/>
    <x v="0"/>
    <s v="Available"/>
    <x v="0"/>
    <x v="0"/>
  </r>
  <r>
    <s v="860010171134"/>
    <x v="243"/>
    <s v="Sturdy Sauce Garlic Herb - 16 OZ"/>
    <n v="16"/>
    <x v="0"/>
    <d v="2024-12-20T00:00:00"/>
    <d v="2026-02-06T00:00:00"/>
    <s v="instacart"/>
    <n v="56340212"/>
    <n v="262392"/>
    <x v="0"/>
    <s v="Available"/>
    <x v="0"/>
    <x v="0"/>
  </r>
  <r>
    <s v="810177550136"/>
    <x v="54"/>
    <s v="Carbone Fine Foods Tomato Basil Pasta Sauce, 22 oz., 2 pk."/>
    <n v="44"/>
    <x v="0"/>
    <d v="2025-03-23T00:00:00"/>
    <d v="2026-02-03T00:00:00"/>
    <s v="instacart"/>
    <s v=""/>
    <n v="264363"/>
    <x v="1"/>
    <s v="Available"/>
    <x v="1"/>
    <x v="0"/>
  </r>
  <r>
    <s v="051000027993"/>
    <x v="45"/>
    <s v="PregoÂ® Marinara Sauce 23.000 oz"/>
    <n v="23"/>
    <x v="0"/>
    <d v="2021-10-28T00:00:00"/>
    <d v="2026-02-07T00:00:00"/>
    <s v="instacart"/>
    <n v="77112"/>
    <n v="264164"/>
    <x v="0"/>
    <s v="Available"/>
    <x v="0"/>
    <x v="0"/>
  </r>
  <r>
    <s v="677294991460"/>
    <x v="85"/>
    <s v="Nonna's Recipe San Marzano Tomato Sauce, 25 OZ"/>
    <n v="25"/>
    <x v="0"/>
    <d v="2021-10-28T00:00:00"/>
    <d v="2026-02-06T00:00:00"/>
    <s v="instacart"/>
    <n v="21670073"/>
    <n v="266403"/>
    <x v="0"/>
    <s v="Available"/>
    <x v="0"/>
    <x v="0"/>
  </r>
  <r>
    <s v="860008191823"/>
    <x v="36"/>
    <s v="Gradys Garden Marinara Pasta Sauce - 24 OZ"/>
    <n v="24"/>
    <x v="0"/>
    <d v="2024-08-18T00:00:00"/>
    <d v="2026-02-05T00:00:00"/>
    <s v="instacart"/>
    <n v="28088472"/>
    <n v="264527"/>
    <x v="0"/>
    <s v="Available"/>
    <x v="0"/>
    <x v="0"/>
  </r>
  <r>
    <s v="893719002041"/>
    <x v="205"/>
    <s v="Chef Mel - Sweet Sicilian Style Gourmet Pasta Sauce (24 Oz)"/>
    <n v="24"/>
    <x v="0"/>
    <d v="2024-02-15T00:00:00"/>
    <d v="2026-02-02T00:00:00"/>
    <s v="instacart"/>
    <n v="2809525"/>
    <n v="262258"/>
    <x v="0"/>
    <s v="Available"/>
    <x v="0"/>
    <x v="0"/>
  </r>
  <r>
    <s v="036200431702"/>
    <x v="15"/>
    <s v="Ragu Old World Style Traditional Pasta Sauce, Made with Olive Oil, 24 oz"/>
    <n v="24"/>
    <x v="0"/>
    <d v="2023-11-20T00:00:00"/>
    <d v="2025-01-26T00:00:00"/>
    <s v="instacart"/>
    <s v=""/>
    <n v="261809"/>
    <x v="1"/>
    <s v="Available"/>
    <x v="1"/>
    <x v="0"/>
  </r>
  <r>
    <s v="097137353505"/>
    <x v="38"/>
    <s v="Perfect Pasta Rigatoni and Vodka Sauce, 10 oz"/>
    <n v="10"/>
    <x v="0"/>
    <d v="2021-11-14T00:00:00"/>
    <d v="2026-02-04T00:00:00"/>
    <s v="instacart"/>
    <n v="26505413"/>
    <n v="262232"/>
    <x v="0"/>
    <s v="Missing"/>
    <x v="0"/>
    <x v="1"/>
  </r>
  <r>
    <s v="810095660047"/>
    <x v="38"/>
    <s v="Botticelli Tomato Basil Pasta 48 oz"/>
    <m/>
    <x v="2"/>
    <d v="2022-05-22T00:00:00"/>
    <d v="2023-04-23T00:00:00"/>
    <s v="instacart"/>
    <s v=""/>
    <n v="261729"/>
    <x v="1"/>
    <s v="Missing"/>
    <x v="1"/>
    <x v="1"/>
  </r>
  <r>
    <s v="026825007017"/>
    <x v="116"/>
    <s v="Gia Russia Low Sodium Pasta Sauce - 24 Oz"/>
    <n v="24"/>
    <x v="0"/>
    <d v="2021-10-29T00:00:00"/>
    <d v="2026-02-05T00:00:00"/>
    <s v="instacart"/>
    <n v="311592"/>
    <n v="267070"/>
    <x v="0"/>
    <s v="Available"/>
    <x v="0"/>
    <x v="0"/>
  </r>
  <r>
    <s v="891752001021"/>
    <x v="4"/>
    <s v="Nanina's In The Park Tomato &amp; Basil Premium Quality Gourmet Pasta Sauce, 24 oz"/>
    <m/>
    <x v="2"/>
    <d v="2021-10-31T00:00:00"/>
    <d v="2023-07-26T00:00:00"/>
    <s v="instacart"/>
    <s v=""/>
    <n v="264431"/>
    <x v="1"/>
    <s v="Available"/>
    <x v="1"/>
    <x v="0"/>
  </r>
  <r>
    <s v="860004856023"/>
    <x v="232"/>
    <s v="Pink Crema Pasta Sauce - 26 Oz"/>
    <n v="25"/>
    <x v="0"/>
    <d v="2022-10-27T00:00:00"/>
    <d v="2026-02-06T00:00:00"/>
    <s v="instacart"/>
    <n v="26220681"/>
    <n v="264125"/>
    <x v="0"/>
    <s v="Available"/>
    <x v="0"/>
    <x v="0"/>
  </r>
  <r>
    <s v="041335336372"/>
    <x v="244"/>
    <s v="Ken's Steak House Marinara Sauce"/>
    <n v="2"/>
    <x v="0"/>
    <d v="2021-10-28T00:00:00"/>
    <d v="2026-02-03T00:00:00"/>
    <s v="instacart"/>
    <n v="18179392"/>
    <n v="264136"/>
    <x v="0"/>
    <s v="Available"/>
    <x v="0"/>
    <x v="0"/>
  </r>
  <r>
    <s v="876045006525"/>
    <x v="177"/>
    <s v="Little Italy in the Bronx Rosa Alfredo with Parmigiano-Reggiano Cheese Sauce, 15 oz"/>
    <n v="15"/>
    <x v="0"/>
    <d v="2022-07-10T00:00:00"/>
    <d v="2026-02-06T00:00:00"/>
    <s v="instacart"/>
    <n v="27550238"/>
    <n v="266351"/>
    <x v="0"/>
    <s v="Available"/>
    <x v="0"/>
    <x v="0"/>
  </r>
  <r>
    <s v="677294999022"/>
    <x v="3"/>
    <s v="Monte Bene Tomato Basil Pasta Sauce, 24 oz"/>
    <n v="24"/>
    <x v="0"/>
    <d v="2021-10-28T00:00:00"/>
    <d v="2026-02-06T00:00:00"/>
    <s v="instacart"/>
    <n v="53416"/>
    <n v="266831"/>
    <x v="0"/>
    <s v="Available"/>
    <x v="0"/>
    <x v="0"/>
  </r>
  <r>
    <s v="073214009503"/>
    <x v="14"/>
    <s v="Mezzetta Family Recipes Three Cheese Sauce - 25 Oz"/>
    <n v="25"/>
    <x v="0"/>
    <d v="2021-10-28T00:00:00"/>
    <d v="2026-02-06T00:00:00"/>
    <s v="instacart"/>
    <n v="24823"/>
    <n v="266401"/>
    <x v="0"/>
    <s v="Available"/>
    <x v="0"/>
    <x v="0"/>
  </r>
  <r>
    <s v="041736000308"/>
    <x v="43"/>
    <s v="Filippo Berio Oregano and Mild Garlic Marinara Sauce, 24 oz"/>
    <n v="24"/>
    <x v="0"/>
    <d v="2024-06-16T00:00:00"/>
    <d v="2026-02-06T00:00:00"/>
    <s v="instacart"/>
    <n v="21866473"/>
    <n v="261776"/>
    <x v="0"/>
    <s v="Available"/>
    <x v="0"/>
    <x v="0"/>
  </r>
  <r>
    <s v="747479004015"/>
    <x v="2"/>
    <s v="RAOS 40OZ VODKA SAUCE"/>
    <n v="40"/>
    <x v="0"/>
    <d v="2021-10-28T00:00:00"/>
    <d v="2025-03-07T00:00:00"/>
    <s v="instacart"/>
    <s v=""/>
    <n v="264102"/>
    <x v="1"/>
    <s v="Available"/>
    <x v="1"/>
    <x v="0"/>
  </r>
  <r>
    <s v="074908000325"/>
    <x v="38"/>
    <s v="Delgrosso Pasta Sauce Immaculate Marinara"/>
    <m/>
    <x v="2"/>
    <d v="2022-10-06T00:00:00"/>
    <d v="2024-03-03T00:00:00"/>
    <s v="instacart"/>
    <s v=""/>
    <n v="261818"/>
    <x v="1"/>
    <s v="Missing"/>
    <x v="1"/>
    <x v="1"/>
  </r>
  <r>
    <s v="048176843823"/>
    <x v="38"/>
    <s v="Mantova Organic Vodka Sauce"/>
    <n v="17"/>
    <x v="0"/>
    <d v="2021-10-31T00:00:00"/>
    <d v="2025-12-19T00:00:00"/>
    <s v="instacart"/>
    <s v=""/>
    <n v="267016"/>
    <x v="1"/>
    <s v="Missing"/>
    <x v="1"/>
    <x v="1"/>
  </r>
  <r>
    <s v="811497008475"/>
    <x v="50"/>
    <s v="TantilloÂ® Reserve Roasted Garlic Pasta Sauce"/>
    <n v="21.2"/>
    <x v="0"/>
    <d v="2021-12-08T00:00:00"/>
    <d v="2026-02-05T00:00:00"/>
    <s v="instacart"/>
    <n v="26251266"/>
    <n v="264586"/>
    <x v="0"/>
    <s v="Available"/>
    <x v="0"/>
    <x v="0"/>
  </r>
  <r>
    <s v="860001364712"/>
    <x v="245"/>
    <s v="Vodka Sauce, 24 OZ"/>
    <n v="24"/>
    <x v="0"/>
    <d v="2021-10-28T00:00:00"/>
    <d v="2026-02-06T00:00:00"/>
    <s v="instacart"/>
    <s v=""/>
    <n v="266505"/>
    <x v="1"/>
    <s v="Available"/>
    <x v="1"/>
    <x v="0"/>
  </r>
  <r>
    <s v="859935002012"/>
    <x v="38"/>
    <s v="Spinato's Tomato Basil Sauce"/>
    <n v="24"/>
    <x v="0"/>
    <d v="2021-10-28T00:00:00"/>
    <d v="2026-02-06T00:00:00"/>
    <s v="instacart"/>
    <n v="17071336"/>
    <n v="266395"/>
    <x v="0"/>
    <s v="Missing"/>
    <x v="0"/>
    <x v="1"/>
  </r>
  <r>
    <s v="810095661662"/>
    <x v="44"/>
    <s v="Organic Sensitive Marinara Sauce, 24 OZ"/>
    <n v="24"/>
    <x v="0"/>
    <d v="2025-01-29T00:00:00"/>
    <d v="2026-01-08T00:00:00"/>
    <s v="instacart"/>
    <s v=""/>
    <n v="266354"/>
    <x v="1"/>
    <s v="Available"/>
    <x v="1"/>
    <x v="0"/>
  </r>
  <r>
    <s v="036200431764"/>
    <x v="15"/>
    <s v="Ragu Simply Tomato Basil Pasta Sauce"/>
    <n v="24"/>
    <x v="0"/>
    <d v="2023-04-19T00:00:00"/>
    <d v="2026-02-05T00:00:00"/>
    <s v="instacart"/>
    <n v="29770630"/>
    <n v="266642"/>
    <x v="0"/>
    <s v="Available"/>
    <x v="0"/>
    <x v="0"/>
  </r>
  <r>
    <s v="747479500487"/>
    <x v="38"/>
    <s v="Rao's HomemadeÂ® Limited Reserve Porcini"/>
    <n v="19"/>
    <x v="0"/>
    <d v="2025-06-12T00:00:00"/>
    <d v="2026-02-05T00:00:00"/>
    <s v="instacart"/>
    <n v="76042671"/>
    <n v="267109"/>
    <x v="0"/>
    <s v="Missing"/>
    <x v="0"/>
    <x v="1"/>
  </r>
  <r>
    <s v="856781008359"/>
    <x v="121"/>
    <s v="Le Sauce &amp; Co. Tomato Basil Gourmet Pasta Sauce, 8.8 oz, 2 Serving Pouch"/>
    <n v="8.8000000000000007"/>
    <x v="0"/>
    <d v="2024-08-13T00:00:00"/>
    <d v="2026-02-06T00:00:00"/>
    <s v="instacart"/>
    <n v="53639633"/>
    <n v="261496"/>
    <x v="0"/>
    <s v="Available"/>
    <x v="0"/>
    <x v="0"/>
  </r>
  <r>
    <s v="747479101981"/>
    <x v="49"/>
    <s v="Rao's Homemade Sauce, Four Cheese 32 oz"/>
    <n v="32"/>
    <x v="0"/>
    <d v="2025-03-17T00:00:00"/>
    <d v="2026-02-06T00:00:00"/>
    <s v="instacart"/>
    <n v="64213205"/>
    <n v="264365"/>
    <x v="0"/>
    <s v="Available"/>
    <x v="0"/>
    <x v="0"/>
  </r>
  <r>
    <s v="855019000172"/>
    <x v="44"/>
    <s v="Botticelli Premium Traditional Pasta Sauce 24 oz"/>
    <n v="24"/>
    <x v="0"/>
    <d v="2021-10-31T00:00:00"/>
    <d v="2026-02-06T00:00:00"/>
    <s v="instacart"/>
    <n v="3346280"/>
    <n v="264303"/>
    <x v="0"/>
    <s v="Available"/>
    <x v="0"/>
    <x v="0"/>
  </r>
  <r>
    <s v="854693000850"/>
    <x v="144"/>
    <s v="Mutti Marinara Sauce - 24 Oz"/>
    <n v="24"/>
    <x v="0"/>
    <d v="2022-04-14T00:00:00"/>
    <d v="2026-02-06T00:00:00"/>
    <s v="instacart"/>
    <n v="29063059"/>
    <n v="266515"/>
    <x v="0"/>
    <s v="Available"/>
    <x v="0"/>
    <x v="0"/>
  </r>
  <r>
    <s v="868099000307"/>
    <x v="246"/>
    <s v="Basha Hot n' Zesty Spaghetti Sauce"/>
    <n v="15.9"/>
    <x v="0"/>
    <d v="2022-10-27T00:00:00"/>
    <d v="2024-01-14T00:00:00"/>
    <s v="instacart"/>
    <s v=""/>
    <n v="264096"/>
    <x v="1"/>
    <s v="Available"/>
    <x v="1"/>
    <x v="0"/>
  </r>
  <r>
    <s v="785614136429"/>
    <x v="120"/>
    <s v="Yo Mama's Foods Keto Friendly Gourmet Pasta Sauce Collection, 6 PK"/>
    <m/>
    <x v="2"/>
    <d v="2022-11-01T00:00:00"/>
    <d v="2023-06-28T00:00:00"/>
    <s v="instacart"/>
    <s v=""/>
    <n v="262041"/>
    <x v="1"/>
    <s v="Available"/>
    <x v="1"/>
    <x v="0"/>
  </r>
  <r>
    <s v="648505507206"/>
    <x v="163"/>
    <s v="Lucini Italia Organic Rustic Tomato Basil Sauce 24 Oz"/>
    <n v="24"/>
    <x v="0"/>
    <d v="2021-10-28T00:00:00"/>
    <d v="2026-02-06T00:00:00"/>
    <s v="instacart"/>
    <n v="53401"/>
    <n v="266315"/>
    <x v="0"/>
    <s v="Available"/>
    <x v="0"/>
    <x v="0"/>
  </r>
  <r>
    <s v="850020861026"/>
    <x v="247"/>
    <s v="Truff Pasta Sauce Black Truffle Pomodoro - 17 Oz"/>
    <n v="17"/>
    <x v="0"/>
    <d v="2021-10-28T00:00:00"/>
    <d v="2026-02-06T00:00:00"/>
    <s v="instacart"/>
    <n v="23791880"/>
    <n v="261542"/>
    <x v="0"/>
    <s v="Available"/>
    <x v="0"/>
    <x v="0"/>
  </r>
  <r>
    <s v="747479101912"/>
    <x v="49"/>
    <s v="Rao's Homemade Sauce, Fire Grilled Vegetable 24 oz"/>
    <n v="24"/>
    <x v="0"/>
    <d v="2024-01-31T00:00:00"/>
    <d v="2026-02-06T00:00:00"/>
    <s v="instacart"/>
    <n v="36930271"/>
    <n v="261803"/>
    <x v="0"/>
    <s v="Available"/>
    <x v="0"/>
    <x v="0"/>
  </r>
  <r>
    <s v="041129088203"/>
    <x v="19"/>
    <s v="Classico Four Cheese Spaghetti Pasta Sauce Value Size, 44 oz Jar"/>
    <n v="44"/>
    <x v="0"/>
    <d v="2021-10-28T00:00:00"/>
    <d v="2026-02-07T00:00:00"/>
    <s v="instacart"/>
    <n v="98535"/>
    <n v="261498"/>
    <x v="0"/>
    <s v="Available"/>
    <x v="0"/>
    <x v="0"/>
  </r>
  <r>
    <s v="051000093240"/>
    <x v="45"/>
    <s v="PregoÂ® Tomato Basil Garlic Pasta Sauce 24.000 Oz"/>
    <n v="24"/>
    <x v="0"/>
    <d v="2021-10-28T00:00:00"/>
    <d v="2026-02-07T00:00:00"/>
    <s v="instacart"/>
    <n v="77108"/>
    <n v="264750"/>
    <x v="0"/>
    <s v="Available"/>
    <x v="0"/>
    <x v="0"/>
  </r>
  <r>
    <s v="733636331056"/>
    <x v="47"/>
    <s v="Sonoma Gourmet - Tomato Basil Alfredo"/>
    <n v="15.5"/>
    <x v="0"/>
    <d v="2022-08-25T00:00:00"/>
    <d v="2026-02-06T00:00:00"/>
    <s v="instacart"/>
    <n v="27840116"/>
    <n v="262640"/>
    <x v="0"/>
    <s v="Available"/>
    <x v="0"/>
    <x v="0"/>
  </r>
  <r>
    <s v="851799003006"/>
    <x v="38"/>
    <s v="Pompilios Marinara Classico Pasta Sauce"/>
    <n v="29.5"/>
    <x v="0"/>
    <d v="2021-10-31T00:00:00"/>
    <d v="2026-02-04T00:00:00"/>
    <s v="instacart"/>
    <n v="2387367"/>
    <n v="264652"/>
    <x v="0"/>
    <s v="Missing"/>
    <x v="0"/>
    <x v="1"/>
  </r>
  <r>
    <s v="753182257297"/>
    <x v="150"/>
    <s v="Cortazzo Fresh Tomatoes &amp; Basil Marinara Pasta Sauce"/>
    <n v="25"/>
    <x v="0"/>
    <d v="2021-10-28T00:00:00"/>
    <d v="2025-07-20T00:00:00"/>
    <s v="instacart"/>
    <s v=""/>
    <n v="266859"/>
    <x v="1"/>
    <s v="Available"/>
    <x v="1"/>
    <x v="0"/>
  </r>
  <r>
    <s v="087872993043"/>
    <x v="38"/>
    <s v="Stella Rosa Arrabbiata Sauce"/>
    <n v="24"/>
    <x v="0"/>
    <d v="2021-11-01T00:00:00"/>
    <d v="2026-02-05T00:00:00"/>
    <s v="instacart"/>
    <n v="3079003"/>
    <n v="266818"/>
    <x v="0"/>
    <s v="Missing"/>
    <x v="0"/>
    <x v="1"/>
  </r>
  <r>
    <s v="850004639634"/>
    <x v="37"/>
    <s v="Primal Kitchen - Vodka Sauce ND"/>
    <n v="23.162237000000001"/>
    <x v="1"/>
    <d v="2021-10-28T00:00:00"/>
    <d v="2024-05-30T00:00:00"/>
    <s v="instacart"/>
    <s v=""/>
    <n v="266857"/>
    <x v="1"/>
    <s v="Available"/>
    <x v="1"/>
    <x v="0"/>
  </r>
  <r>
    <s v="850020861033"/>
    <x v="247"/>
    <s v="Truff Pasta Sauce Black Truffle Arrabbiata - 17 Oz"/>
    <n v="17"/>
    <x v="0"/>
    <d v="2021-10-28T00:00:00"/>
    <d v="2026-02-06T00:00:00"/>
    <s v="instacart"/>
    <n v="23791997"/>
    <n v="267042"/>
    <x v="0"/>
    <s v="Available"/>
    <x v="0"/>
    <x v="0"/>
  </r>
  <r>
    <s v="063211026542"/>
    <x v="5"/>
    <s v="Prego - Pasta Sauce - Original"/>
    <n v="21.809698000000001"/>
    <x v="1"/>
    <d v="2021-10-28T00:00:00"/>
    <d v="2026-02-05T00:00:00"/>
    <s v="instacart"/>
    <s v=""/>
    <n v="266378"/>
    <x v="1"/>
    <s v="Available"/>
    <x v="1"/>
    <x v="0"/>
  </r>
  <r>
    <s v="677294991132"/>
    <x v="85"/>
    <s v="Cucina Antica Cooking Sauce, Premium, La Vodka"/>
    <n v="25"/>
    <x v="0"/>
    <d v="2021-10-28T00:00:00"/>
    <d v="2026-02-06T00:00:00"/>
    <s v="instacart"/>
    <n v="24826"/>
    <n v="261565"/>
    <x v="0"/>
    <s v="Available"/>
    <x v="0"/>
    <x v="0"/>
  </r>
  <r>
    <s v="065302300012"/>
    <x v="108"/>
    <s v="Authentica - World Cuisine Siciliana Sauce"/>
    <n v="17.921147000000001"/>
    <x v="1"/>
    <d v="2021-10-28T00:00:00"/>
    <d v="2026-01-25T00:00:00"/>
    <s v="instacart"/>
    <s v=""/>
    <n v="264267"/>
    <x v="1"/>
    <s v="Available"/>
    <x v="1"/>
    <x v="0"/>
  </r>
  <r>
    <s v="036200014981"/>
    <x v="15"/>
    <s v="Ragu Chunky Garden Combination Pasta Sauce, 45 oz"/>
    <n v="45"/>
    <x v="0"/>
    <d v="2021-10-28T00:00:00"/>
    <d v="2026-02-07T00:00:00"/>
    <s v="instacart"/>
    <n v="73904"/>
    <n v="264138"/>
    <x v="0"/>
    <s v="Available"/>
    <x v="0"/>
    <x v="0"/>
  </r>
  <r>
    <s v="850041276199"/>
    <x v="115"/>
    <s v="Cracked Pepper &amp; Parmesan, 25 OZ"/>
    <n v="25"/>
    <x v="0"/>
    <d v="2024-09-26T00:00:00"/>
    <d v="2026-02-06T00:00:00"/>
    <s v="instacart"/>
    <n v="57422773"/>
    <n v="266400"/>
    <x v="0"/>
    <s v="Available"/>
    <x v="0"/>
    <x v="0"/>
  </r>
  <r>
    <s v="783860700029"/>
    <x v="38"/>
    <s v="Giannotti Special Marinara With Blended Imported Cheeses Pasta Sauce"/>
    <n v="26"/>
    <x v="0"/>
    <d v="2021-10-29T00:00:00"/>
    <d v="2026-02-03T00:00:00"/>
    <s v="instacart"/>
    <n v="312692"/>
    <n v="261835"/>
    <x v="0"/>
    <s v="Missing"/>
    <x v="0"/>
    <x v="1"/>
  </r>
  <r>
    <s v="850148004251"/>
    <x v="248"/>
    <s v="Vesper Bros. Foods Tomato Sauce, Signature, Tomato Basil"/>
    <n v="24"/>
    <x v="0"/>
    <d v="2021-10-31T00:00:00"/>
    <d v="2026-02-06T00:00:00"/>
    <s v="instacart"/>
    <n v="577767"/>
    <n v="261743"/>
    <x v="0"/>
    <s v="Available"/>
    <x v="0"/>
    <x v="0"/>
  </r>
  <r>
    <s v="810177550150"/>
    <x v="54"/>
    <s v="Carbone Bolognese Sauce"/>
    <n v="24"/>
    <x v="0"/>
    <d v="2025-10-09T00:00:00"/>
    <d v="2026-02-06T00:00:00"/>
    <s v="instacart"/>
    <n v="89944336"/>
    <n v="267006"/>
    <x v="0"/>
    <s v="Available"/>
    <x v="0"/>
    <x v="0"/>
  </r>
  <r>
    <s v="046015165396"/>
    <x v="51"/>
    <s v="Organic Ville Sauce Pasta Italian Herb"/>
    <n v="24"/>
    <x v="0"/>
    <d v="2021-10-28T00:00:00"/>
    <d v="2026-02-06T00:00:00"/>
    <s v="instacart"/>
    <n v="23801232"/>
    <n v="261856"/>
    <x v="0"/>
    <s v="Available"/>
    <x v="0"/>
    <x v="0"/>
  </r>
  <r>
    <s v="850017808485"/>
    <x v="38"/>
    <s v="Botticelli Marinara Premium Pasta Sauce"/>
    <n v="35"/>
    <x v="0"/>
    <d v="2021-11-01T00:00:00"/>
    <d v="2026-02-06T00:00:00"/>
    <s v="instacart"/>
    <n v="25392841"/>
    <n v="262166"/>
    <x v="0"/>
    <s v="Missing"/>
    <x v="0"/>
    <x v="1"/>
  </r>
  <r>
    <s v="041129077009"/>
    <x v="19"/>
    <s v="Classico Fire Roasted Tomato &amp; Garlic Pasta Sauce - 24 Oz"/>
    <n v="24"/>
    <x v="0"/>
    <d v="2021-10-28T00:00:00"/>
    <d v="2026-02-07T00:00:00"/>
    <s v="instacart"/>
    <n v="73901"/>
    <n v="261853"/>
    <x v="0"/>
    <s v="Available"/>
    <x v="0"/>
    <x v="0"/>
  </r>
  <r>
    <s v="072343000245"/>
    <x v="32"/>
    <s v="Mid's Pasta Sauce, Sausage Style, Quart Size 32 Oz"/>
    <n v="32"/>
    <x v="0"/>
    <d v="2021-10-28T00:00:00"/>
    <d v="2024-05-29T00:00:00"/>
    <s v="instacart"/>
    <s v=""/>
    <n v="266847"/>
    <x v="1"/>
    <s v="Available"/>
    <x v="1"/>
    <x v="0"/>
  </r>
  <r>
    <s v="648505540500"/>
    <x v="98"/>
    <s v="Lucini Organic Savory Golden Tomato Pasta Sauce, 16.5 Oz"/>
    <n v="16.5"/>
    <x v="0"/>
    <d v="2023-10-11T00:00:00"/>
    <d v="2026-02-04T00:00:00"/>
    <s v="instacart"/>
    <s v=""/>
    <n v="267073"/>
    <x v="1"/>
    <s v="Available"/>
    <x v="1"/>
    <x v="0"/>
  </r>
  <r>
    <s v="861820000119"/>
    <x v="249"/>
    <s v="Marinara, 16 OZ"/>
    <n v="16"/>
    <x v="0"/>
    <d v="2021-10-31T00:00:00"/>
    <d v="2026-02-04T00:00:00"/>
    <s v="instacart"/>
    <n v="3321442"/>
    <n v="264570"/>
    <x v="0"/>
    <s v="Available"/>
    <x v="0"/>
    <x v="0"/>
  </r>
  <r>
    <s v="057000330156"/>
    <x v="19"/>
    <s v="Classico Sweet Basil Marinara Spaghetti Pasta Sauce, Basil Marinara Pasta Sauce"/>
    <n v="21.978764999999999"/>
    <x v="1"/>
    <d v="2021-10-28T00:00:00"/>
    <d v="2026-01-25T00:00:00"/>
    <s v="instacart"/>
    <s v=""/>
    <n v="264375"/>
    <x v="1"/>
    <s v="Available"/>
    <x v="1"/>
    <x v="0"/>
  </r>
  <r>
    <s v="850009885715"/>
    <x v="250"/>
    <s v="Tutta Bella Rustic Marinara Sauce | Made with Fresh Premium Italian Plum Tomatoes and an Authentic Italian Kitchen Recipe | All Natural Ingredients and No Sugar Added | 24 oz."/>
    <n v="24"/>
    <x v="0"/>
    <d v="2021-11-21T00:00:00"/>
    <d v="2026-02-03T00:00:00"/>
    <s v="instacart"/>
    <n v="26134768"/>
    <n v="266582"/>
    <x v="0"/>
    <s v="Available"/>
    <x v="0"/>
    <x v="0"/>
  </r>
  <r>
    <s v="673388196124"/>
    <x v="27"/>
    <s v="Clevelands Own Little Italy Pasta Sauce - 32 Oz"/>
    <n v="32"/>
    <x v="0"/>
    <d v="2021-10-28T00:00:00"/>
    <d v="2026-02-06T00:00:00"/>
    <s v="instacart"/>
    <s v="16314088, 49031089"/>
    <s v="267024, 267023"/>
    <x v="0"/>
    <s v="Available"/>
    <x v="0"/>
    <x v="0"/>
  </r>
  <r>
    <s v="850009885722"/>
    <x v="250"/>
    <s v="Tutta Bella Traditional Bolognese Sauce | Made with Fresh Premium Italian Plum Tomatoes And an Authentic Italian Kitchen Recipe | All Natural Ingredients and No Sugar Added | 24 oz."/>
    <n v="24"/>
    <x v="0"/>
    <d v="2021-11-21T00:00:00"/>
    <d v="2026-02-03T00:00:00"/>
    <s v="instacart"/>
    <n v="26134750"/>
    <n v="264229"/>
    <x v="0"/>
    <s v="Available"/>
    <x v="0"/>
    <x v="0"/>
  </r>
  <r>
    <s v="786173932026"/>
    <x v="7"/>
    <s v="Rao's Homemade | Arrabbiata Sauce | 24 oz"/>
    <n v="24"/>
    <x v="0"/>
    <d v="2021-10-28T00:00:00"/>
    <d v="2026-02-04T00:00:00"/>
    <s v="instacart"/>
    <n v="24805"/>
    <n v="261683"/>
    <x v="0"/>
    <s v="Available"/>
    <x v="0"/>
    <x v="0"/>
  </r>
  <r>
    <s v="036200014998"/>
    <x v="15"/>
    <s v="Ragu Chunky Super Chunky Mushroom Pasta Sauce, 45 oz"/>
    <n v="45"/>
    <x v="0"/>
    <d v="2021-10-28T00:00:00"/>
    <d v="2026-02-07T00:00:00"/>
    <s v="instacart"/>
    <n v="73906"/>
    <n v="266326"/>
    <x v="0"/>
    <s v="Available"/>
    <x v="0"/>
    <x v="0"/>
  </r>
  <r>
    <s v="037677022103"/>
    <x v="251"/>
    <s v="Triple D's Roasted Portabella Mushroom Sauce"/>
    <m/>
    <x v="2"/>
    <d v="2022-11-01T00:00:00"/>
    <d v="2023-06-22T00:00:00"/>
    <s v="instacart"/>
    <s v=""/>
    <n v="266443"/>
    <x v="1"/>
    <s v="Available"/>
    <x v="1"/>
    <x v="0"/>
  </r>
  <r>
    <s v="073214009404"/>
    <x v="145"/>
    <s v="Mezzetta Marinara Sauce, Spicy, 25 Ounce"/>
    <n v="24"/>
    <x v="1"/>
    <d v="2021-10-28T00:00:00"/>
    <d v="2026-02-07T00:00:00"/>
    <s v="instacart"/>
    <n v="18648"/>
    <n v="261535"/>
    <x v="0"/>
    <s v="Available"/>
    <x v="0"/>
    <x v="0"/>
  </r>
  <r>
    <s v="074908360269"/>
    <x v="252"/>
    <s v="La Famiglia Del Grosso Aunt Mary Ann's Marinara Sauce, 26 oz"/>
    <n v="26"/>
    <x v="0"/>
    <d v="2021-10-28T00:00:00"/>
    <d v="2026-02-06T00:00:00"/>
    <s v="instacart"/>
    <n v="95025"/>
    <n v="264062"/>
    <x v="0"/>
    <s v="Available"/>
    <x v="0"/>
    <x v="0"/>
  </r>
  <r>
    <s v="051000286222"/>
    <x v="5"/>
    <s v="Prego Chunky Tomato and Three Cheese Pasta Sauce"/>
    <n v="23.75"/>
    <x v="0"/>
    <d v="2023-02-12T00:00:00"/>
    <d v="2026-02-06T00:00:00"/>
    <s v="instacart"/>
    <n v="29503419"/>
    <n v="267007"/>
    <x v="0"/>
    <s v="Available"/>
    <x v="0"/>
    <x v="0"/>
  </r>
  <r>
    <s v="086341606163"/>
    <x v="127"/>
    <s v="The Silver Palate San Marzano Blend Tomato Basil Pasta Sauce 25 oz (708 g)"/>
    <n v="25"/>
    <x v="0"/>
    <d v="2021-10-28T00:00:00"/>
    <d v="2026-02-06T00:00:00"/>
    <s v="instacart"/>
    <n v="98547"/>
    <n v="262588"/>
    <x v="0"/>
    <s v="Available"/>
    <x v="0"/>
    <x v="0"/>
  </r>
  <r>
    <s v="863996000207"/>
    <x v="114"/>
    <s v="Marinara Sauce, 25 OZ"/>
    <n v="25"/>
    <x v="0"/>
    <d v="2021-10-28T00:00:00"/>
    <d v="2026-02-06T00:00:00"/>
    <s v="instacart"/>
    <n v="3343081"/>
    <n v="261686"/>
    <x v="0"/>
    <s v="Available"/>
    <x v="0"/>
    <x v="0"/>
  </r>
  <r>
    <s v="860395000418"/>
    <x v="216"/>
    <s v="The Jersey Tomato Co. Tomato Basil Sauce, 25 oz"/>
    <n v="25"/>
    <x v="0"/>
    <d v="2021-10-28T00:00:00"/>
    <d v="2026-02-04T00:00:00"/>
    <s v="instacart"/>
    <n v="17438567"/>
    <n v="262329"/>
    <x v="0"/>
    <s v="Available"/>
    <x v="0"/>
    <x v="0"/>
  </r>
  <r>
    <s v="051000292834"/>
    <x v="5"/>
    <s v="Prego Spicy Vodka Pasta Sauc"/>
    <n v="23.75"/>
    <x v="0"/>
    <d v="2025-03-12T00:00:00"/>
    <d v="2026-02-06T00:00:00"/>
    <s v="instacart"/>
    <n v="64392531"/>
    <n v="264283"/>
    <x v="0"/>
    <s v="Available"/>
    <x v="0"/>
    <x v="0"/>
  </r>
  <r>
    <s v="860010171110"/>
    <x v="36"/>
    <s v="Sturdy Sauce Marinara - 16 OZ"/>
    <n v="16"/>
    <x v="0"/>
    <d v="2024-09-08T00:00:00"/>
    <d v="2026-02-06T00:00:00"/>
    <s v="instacart"/>
    <n v="56340183"/>
    <n v="264524"/>
    <x v="0"/>
    <s v="Available"/>
    <x v="0"/>
    <x v="0"/>
  </r>
  <r>
    <s v="076808008814"/>
    <x v="38"/>
    <s v="BARILLA SC RSTD GARLIC 24OZ"/>
    <m/>
    <x v="2"/>
    <d v="2021-11-02T00:00:00"/>
    <d v="2023-06-11T00:00:00"/>
    <s v="instacart"/>
    <s v=""/>
    <n v="264241"/>
    <x v="1"/>
    <s v="Missing"/>
    <x v="1"/>
    <x v="1"/>
  </r>
  <r>
    <s v="074908360498"/>
    <x v="75"/>
    <s v="Del Grosso 45oz. Meatless"/>
    <n v="45"/>
    <x v="0"/>
    <d v="2021-10-28T00:00:00"/>
    <d v="2026-02-03T00:00:00"/>
    <s v="instacart"/>
    <s v=""/>
    <n v="261786"/>
    <x v="1"/>
    <s v="Available"/>
    <x v="1"/>
    <x v="0"/>
  </r>
  <r>
    <s v="863850000107"/>
    <x v="160"/>
    <s v="Pasta Too Sauce, Tomato, Original"/>
    <n v="26"/>
    <x v="0"/>
    <d v="2021-10-28T00:00:00"/>
    <d v="2026-02-06T00:00:00"/>
    <s v="instacart"/>
    <n v="18683585"/>
    <n v="266964"/>
    <x v="0"/>
    <s v="Available"/>
    <x v="0"/>
    <x v="0"/>
  </r>
  <r>
    <s v="051000227461"/>
    <x v="5"/>
    <s v="PREGO FARMERS MARKET ROASTED GARLIC SAUCE"/>
    <n v="23.5"/>
    <x v="0"/>
    <d v="2021-10-28T00:00:00"/>
    <d v="2026-02-06T00:00:00"/>
    <s v="instacart"/>
    <n v="3280025"/>
    <n v="261890"/>
    <x v="0"/>
    <s v="Available"/>
    <x v="0"/>
    <x v="0"/>
  </r>
  <r>
    <s v="739276000499"/>
    <x v="29"/>
    <s v="Taste Of The Hill - Tomato Alfredo (16 Oz)"/>
    <n v="16"/>
    <x v="0"/>
    <d v="2021-11-14T00:00:00"/>
    <d v="2026-02-02T00:00:00"/>
    <s v="instacart"/>
    <n v="2812438"/>
    <n v="261877"/>
    <x v="0"/>
    <s v="Available"/>
    <x v="0"/>
    <x v="0"/>
  </r>
  <r>
    <s v="077441000333"/>
    <x v="242"/>
    <s v="FANNY'S All Natural Marinara Sauce"/>
    <n v="24"/>
    <x v="0"/>
    <d v="2021-11-01T00:00:00"/>
    <d v="2026-02-06T00:00:00"/>
    <s v="instacart"/>
    <n v="162275"/>
    <n v="261873"/>
    <x v="0"/>
    <s v="Available"/>
    <x v="0"/>
    <x v="0"/>
  </r>
  <r>
    <s v="041736000339"/>
    <x v="43"/>
    <s v="Filippo Berio Roasted Garlic Pasta Sauce 24oz - 24 OZ"/>
    <n v="24"/>
    <x v="0"/>
    <d v="2024-06-17T00:00:00"/>
    <d v="2026-02-06T00:00:00"/>
    <s v="instacart"/>
    <n v="48699361"/>
    <n v="262132"/>
    <x v="0"/>
    <s v="Available"/>
    <x v="0"/>
    <x v="0"/>
  </r>
  <r>
    <s v="859429051908"/>
    <x v="253"/>
    <s v="Buona Signature Marinara Sauce 24 oz (680 g)"/>
    <n v="24"/>
    <x v="0"/>
    <d v="2022-01-18T00:00:00"/>
    <d v="2026-02-05T00:00:00"/>
    <s v="instacart"/>
    <n v="26511872"/>
    <n v="261490"/>
    <x v="0"/>
    <s v="Available"/>
    <x v="0"/>
    <x v="0"/>
  </r>
  <r>
    <s v="868391000364"/>
    <x v="254"/>
    <s v="Yo Mama's Foods Keto Chianti Wine Pasta Sauce - Pack of (1) - No Sugar Added, Low Carb, Low Sodium, Gluten Free, Paleo Friendly, and Made with Whole, Non-GMO Tomatoes"/>
    <n v="25"/>
    <x v="0"/>
    <d v="2021-10-28T00:00:00"/>
    <d v="2026-02-06T00:00:00"/>
    <s v="instacart"/>
    <n v="19316288"/>
    <n v="264204"/>
    <x v="0"/>
    <s v="Available"/>
    <x v="0"/>
    <x v="0"/>
  </r>
  <r>
    <s v="850008623127"/>
    <x v="140"/>
    <s v="SIMMER Cherry Tomato Marinara Sauce, 16 OZ"/>
    <n v="16"/>
    <x v="0"/>
    <d v="2024-01-03T00:00:00"/>
    <d v="2025-08-08T00:00:00"/>
    <s v="instacart"/>
    <s v=""/>
    <n v="266413"/>
    <x v="1"/>
    <s v="Available"/>
    <x v="1"/>
    <x v="0"/>
  </r>
  <r>
    <s v="074908360627"/>
    <x v="75"/>
    <s v="DelGrosso Pasta Sauce, Marinara, Classic Style"/>
    <n v="24"/>
    <x v="0"/>
    <d v="2021-10-28T00:00:00"/>
    <d v="2026-02-06T00:00:00"/>
    <s v="instacart"/>
    <n v="3363861"/>
    <n v="261848"/>
    <x v="0"/>
    <s v="Available"/>
    <x v="0"/>
    <x v="0"/>
  </r>
  <r>
    <s v="051000280725"/>
    <x v="5"/>
    <s v="Prego Roasted Garlic and Herb Pasta Sauce, Jars, 3 pk./45 oz."/>
    <n v="135"/>
    <x v="0"/>
    <d v="2021-10-28T00:00:00"/>
    <d v="2026-01-23T00:00:00"/>
    <s v="instacart"/>
    <n v="25836412"/>
    <n v="261876"/>
    <x v="0"/>
    <s v="Available"/>
    <x v="0"/>
    <x v="0"/>
  </r>
  <r>
    <s v="085494706904"/>
    <x v="49"/>
    <s v="Rao's Homemade Sensitive Marinara Sauce 24oz"/>
    <n v="24"/>
    <x v="0"/>
    <d v="2023-06-11T00:00:00"/>
    <d v="2026-02-03T00:00:00"/>
    <s v="instacart"/>
    <s v="34627147, 53411"/>
    <s v="266600, 266601"/>
    <x v="0"/>
    <s v="Available"/>
    <x v="0"/>
    <x v="0"/>
  </r>
  <r>
    <s v="854160002011"/>
    <x v="255"/>
    <s v="Marinara Sauce, 16 OZ"/>
    <n v="16"/>
    <x v="0"/>
    <d v="2021-10-31T00:00:00"/>
    <d v="2026-02-04T00:00:00"/>
    <s v="instacart"/>
    <n v="110839"/>
    <n v="261693"/>
    <x v="0"/>
    <s v="Available"/>
    <x v="0"/>
    <x v="0"/>
  </r>
  <r>
    <s v="036200430682"/>
    <x v="256"/>
    <s v="Bertolli Traditional Marinara Sauce, Spaghetti Tomato Pasta Sauce, 24 oz"/>
    <n v="24"/>
    <x v="0"/>
    <d v="2021-10-28T00:00:00"/>
    <d v="2026-02-07T00:00:00"/>
    <s v="instacart"/>
    <n v="34645477"/>
    <n v="264113"/>
    <x v="0"/>
    <s v="Available"/>
    <x v="0"/>
    <x v="0"/>
  </r>
  <r>
    <s v="070234017921"/>
    <x v="192"/>
    <s v="VICTORIA SAUCE ALFREDO VEGAN RSTD PEPPE 18 OZ"/>
    <n v="18"/>
    <x v="0"/>
    <d v="2021-10-28T00:00:00"/>
    <d v="2026-02-06T00:00:00"/>
    <s v="instacart"/>
    <n v="135706"/>
    <n v="266412"/>
    <x v="0"/>
    <s v="Available"/>
    <x v="0"/>
    <x v="0"/>
  </r>
  <r>
    <s v="850017990074"/>
    <x v="122"/>
    <s v="Carmine's Fra Diavolo"/>
    <n v="24"/>
    <x v="0"/>
    <d v="2025-02-05T00:00:00"/>
    <d v="2026-02-06T00:00:00"/>
    <s v="instacart"/>
    <n v="33224753"/>
    <n v="264257"/>
    <x v="0"/>
    <s v="Available"/>
    <x v="0"/>
    <x v="0"/>
  </r>
  <r>
    <s v="854796008005"/>
    <x v="257"/>
    <s v="IT'S A UTICA THING! Marinara Sauce"/>
    <n v="24"/>
    <x v="0"/>
    <d v="2021-10-29T00:00:00"/>
    <d v="2026-02-06T00:00:00"/>
    <s v="instacart"/>
    <n v="19832369"/>
    <n v="262174"/>
    <x v="0"/>
    <s v="Available"/>
    <x v="0"/>
    <x v="0"/>
  </r>
  <r>
    <s v="015532000121"/>
    <x v="159"/>
    <s v="Montebello Verdure Sauce 19.75 oz"/>
    <n v="19.75"/>
    <x v="0"/>
    <d v="2021-10-28T00:00:00"/>
    <d v="2025-09-18T00:00:00"/>
    <s v="instacart"/>
    <s v=""/>
    <n v="262612"/>
    <x v="1"/>
    <s v="Available"/>
    <x v="1"/>
    <x v="0"/>
  </r>
  <r>
    <s v="850004639078"/>
    <x v="37"/>
    <s v="Primal Kitchen Tomato Basil Marinara Sauce 24 oz"/>
    <n v="24"/>
    <x v="0"/>
    <d v="2021-10-28T00:00:00"/>
    <d v="2026-02-06T00:00:00"/>
    <s v="instacart"/>
    <n v="20218111"/>
    <n v="264167"/>
    <x v="0"/>
    <s v="Available"/>
    <x v="0"/>
    <x v="0"/>
  </r>
  <r>
    <s v="085917230627"/>
    <x v="106"/>
    <s v="Organic Arrabbiata Pasta Sauce, 13.9 OZ"/>
    <n v="13.9"/>
    <x v="0"/>
    <d v="2025-02-06T00:00:00"/>
    <d v="2026-02-06T00:00:00"/>
    <s v="instacart"/>
    <s v=""/>
    <n v="264530"/>
    <x v="1"/>
    <s v="Available"/>
    <x v="1"/>
    <x v="0"/>
  </r>
  <r>
    <s v="728119198714"/>
    <x v="101"/>
    <s v="Cucina &amp; Amore Pasta Sauce Italian Formaggio Tomato Ricott &amp; Parmigiano Reggiano Jar - 16.8 Oz"/>
    <n v="16.8"/>
    <x v="0"/>
    <d v="2021-10-28T00:00:00"/>
    <d v="2026-02-06T00:00:00"/>
    <s v="instacart"/>
    <n v="3258014"/>
    <n v="261658"/>
    <x v="0"/>
    <s v="Available"/>
    <x v="0"/>
    <x v="0"/>
  </r>
  <r>
    <s v="855019000417"/>
    <x v="38"/>
    <s v="Botticeli Porcini"/>
    <n v="24"/>
    <x v="0"/>
    <d v="2021-10-28T00:00:00"/>
    <d v="2026-02-06T00:00:00"/>
    <s v="instacart"/>
    <s v=""/>
    <n v="264308"/>
    <x v="1"/>
    <s v="Missing"/>
    <x v="1"/>
    <x v="1"/>
  </r>
  <r>
    <s v="051000250315"/>
    <x v="5"/>
    <s v="Prego Traditional No Sugar Added Pasta Sauce - 23.5 Oz"/>
    <n v="23.5"/>
    <x v="0"/>
    <d v="2021-10-28T00:00:00"/>
    <d v="2026-02-07T00:00:00"/>
    <s v="instacart"/>
    <n v="18510112"/>
    <n v="264566"/>
    <x v="0"/>
    <s v="Available"/>
    <x v="0"/>
    <x v="0"/>
  </r>
  <r>
    <s v="884337007716"/>
    <x v="93"/>
    <s v="Sauce Bolognese, 16 OZ"/>
    <n v="16"/>
    <x v="0"/>
    <d v="2021-10-31T00:00:00"/>
    <d v="2026-02-04T00:00:00"/>
    <s v="instacart"/>
    <s v=""/>
    <n v="267063"/>
    <x v="1"/>
    <s v="Available"/>
    <x v="1"/>
    <x v="0"/>
  </r>
  <r>
    <s v="854693000973"/>
    <x v="144"/>
    <s v="Mutti Pasta Sauce Arrabiata - 24 OZ"/>
    <n v="24"/>
    <x v="0"/>
    <d v="2023-08-13T00:00:00"/>
    <d v="2026-02-06T00:00:00"/>
    <s v="instacart"/>
    <n v="29063059"/>
    <n v="261885"/>
    <x v="0"/>
    <s v="Available"/>
    <x v="0"/>
    <x v="0"/>
  </r>
  <r>
    <s v="041349000474"/>
    <x v="258"/>
    <s v="Club Lucky Mariara Alla Bava Sauce - 26 Oz"/>
    <n v="26"/>
    <x v="0"/>
    <d v="2021-10-29T00:00:00"/>
    <d v="2026-02-05T00:00:00"/>
    <s v="instacart"/>
    <n v="53424"/>
    <n v="261897"/>
    <x v="0"/>
    <s v="Available"/>
    <x v="0"/>
    <x v="0"/>
  </r>
  <r>
    <s v="677294991040"/>
    <x v="38"/>
    <s v="Cucina Antica - Garlc Marinara Sauce"/>
    <n v="16"/>
    <x v="0"/>
    <d v="2021-10-31T00:00:00"/>
    <d v="2025-10-31T00:00:00"/>
    <s v="instacart"/>
    <n v="110841"/>
    <n v="264756"/>
    <x v="0"/>
    <s v="Missing"/>
    <x v="0"/>
    <x v="1"/>
  </r>
  <r>
    <s v="070234004556"/>
    <x v="63"/>
    <s v="Victoria Pasta Sauce, Fradiavolo"/>
    <n v="24"/>
    <x v="0"/>
    <d v="2021-10-28T00:00:00"/>
    <d v="2026-02-06T00:00:00"/>
    <s v="instacart"/>
    <n v="98563"/>
    <n v="261861"/>
    <x v="0"/>
    <s v="Available"/>
    <x v="0"/>
    <x v="0"/>
  </r>
  <r>
    <s v="850041276243"/>
    <x v="214"/>
    <s v="Sauz | Miso Garlic Marinara (Single Jar) Thick &amp; Creamy- Gluten-Free, Non-GMO, and 100% Delicious - Crafted in Small Batches for Michelin-Star Delight - Clean ingredients 25 OZ"/>
    <n v="25"/>
    <x v="0"/>
    <d v="2025-02-14T00:00:00"/>
    <d v="2026-02-06T00:00:00"/>
    <s v="instacart"/>
    <n v="73538910"/>
    <n v="264146"/>
    <x v="0"/>
    <s v="Available"/>
    <x v="0"/>
    <x v="0"/>
  </r>
  <r>
    <s v="072117000044"/>
    <x v="38"/>
    <s v="Schiavone's Marinara Spaghetti Sauce"/>
    <n v="28"/>
    <x v="0"/>
    <d v="2021-11-03T00:00:00"/>
    <d v="2026-02-05T00:00:00"/>
    <s v="instacart"/>
    <n v="1741595"/>
    <n v="266402"/>
    <x v="0"/>
    <s v="Missing"/>
    <x v="0"/>
    <x v="1"/>
  </r>
  <r>
    <s v="029737600444"/>
    <x v="18"/>
    <s v="Vodka Cream Sauce, 12 OZ"/>
    <n v="12"/>
    <x v="0"/>
    <d v="2024-03-17T00:00:00"/>
    <d v="2026-02-05T00:00:00"/>
    <s v="instacart"/>
    <n v="44979140"/>
    <n v="266873"/>
    <x v="0"/>
    <s v="Available"/>
    <x v="0"/>
    <x v="0"/>
  </r>
  <r>
    <s v="810095660221"/>
    <x v="44"/>
    <s v="Botticelli Premium Pasta Sauce Roasted Garlic"/>
    <n v="34.799999999999997"/>
    <x v="0"/>
    <d v="2022-08-02T00:00:00"/>
    <d v="2024-07-07T00:00:00"/>
    <s v="instacart"/>
    <s v=""/>
    <n v="266850"/>
    <x v="1"/>
    <s v="Available"/>
    <x v="1"/>
    <x v="0"/>
  </r>
  <r>
    <s v="020662001498"/>
    <x v="34"/>
    <s v="Newmans Own Newmans Own  Pasta Sauce, 45 oz"/>
    <n v="45"/>
    <x v="0"/>
    <d v="2021-11-26T00:00:00"/>
    <d v="2025-01-28T00:00:00"/>
    <s v="instacart"/>
    <s v=""/>
    <n v="266856"/>
    <x v="1"/>
    <s v="Available"/>
    <x v="1"/>
    <x v="0"/>
  </r>
  <r>
    <s v="033157000074"/>
    <x v="12"/>
    <s v="Orti Di Calabria Sicilian Pasta Sauce, 24.3 oz"/>
    <n v="24.3"/>
    <x v="0"/>
    <d v="2021-10-28T00:00:00"/>
    <d v="2026-02-05T00:00:00"/>
    <s v="instacart"/>
    <n v="333901"/>
    <n v="266309"/>
    <x v="0"/>
    <s v="Available"/>
    <x v="0"/>
    <x v="0"/>
  </r>
  <r>
    <s v="051000286550"/>
    <x v="5"/>
    <s v="Prego Bolognese Meat Sauce - 23.5 Oz"/>
    <n v="23.5"/>
    <x v="0"/>
    <d v="2023-06-11T00:00:00"/>
    <d v="2026-02-06T00:00:00"/>
    <s v="instacart"/>
    <n v="29627849"/>
    <n v="261825"/>
    <x v="0"/>
    <s v="Available"/>
    <x v="0"/>
    <x v="0"/>
  </r>
  <r>
    <s v="094368512503"/>
    <x v="259"/>
    <s v="Maria's Marinara Tomato Sauce"/>
    <n v="24"/>
    <x v="0"/>
    <d v="2021-10-29T00:00:00"/>
    <d v="2025-10-22T00:00:00"/>
    <s v="instacart"/>
    <s v=""/>
    <n v="266855"/>
    <x v="1"/>
    <s v="Available"/>
    <x v="1"/>
    <x v="0"/>
  </r>
  <r>
    <s v="609231000300"/>
    <x v="81"/>
    <s v="Bove's Spicy Marinara"/>
    <n v="24"/>
    <x v="0"/>
    <d v="2021-10-29T00:00:00"/>
    <d v="2025-10-22T00:00:00"/>
    <s v="instacart"/>
    <s v=""/>
    <n v="261653"/>
    <x v="1"/>
    <s v="Available"/>
    <x v="1"/>
    <x v="0"/>
  </r>
  <r>
    <s v="863996000214"/>
    <x v="114"/>
    <s v="Hoboken Farms Pasta Vodka Sauce - 25 Oz"/>
    <n v="25"/>
    <x v="0"/>
    <d v="2021-10-28T00:00:00"/>
    <d v="2026-02-06T00:00:00"/>
    <s v="instacart"/>
    <n v="16401813"/>
    <n v="264288"/>
    <x v="0"/>
    <s v="Available"/>
    <x v="0"/>
    <x v="0"/>
  </r>
  <r>
    <s v="855019000325"/>
    <x v="44"/>
    <s v="Botticelli Pasta Sauce, Premium, Tomato &amp; Basil 24 Oz"/>
    <n v="24"/>
    <x v="0"/>
    <d v="2021-10-28T00:00:00"/>
    <d v="2026-02-06T00:00:00"/>
    <s v="instacart"/>
    <n v="32956382"/>
    <n v="261679"/>
    <x v="0"/>
    <s v="Available"/>
    <x v="0"/>
    <x v="0"/>
  </r>
  <r>
    <s v="027000500057"/>
    <x v="24"/>
    <s v="Hunt's Premium, No Added Sugar 24 oz"/>
    <n v="1"/>
    <x v="0"/>
    <d v="2021-10-28T00:00:00"/>
    <d v="2026-02-06T00:00:00"/>
    <s v="instacart"/>
    <n v="2642372"/>
    <n v="264563"/>
    <x v="0"/>
    <s v="Available"/>
    <x v="0"/>
    <x v="0"/>
  </r>
  <r>
    <s v="860395000401"/>
    <x v="260"/>
    <s v="Jersey Tomato Sauce Marinara - 25 Oz"/>
    <n v="25"/>
    <x v="0"/>
    <d v="2021-10-28T00:00:00"/>
    <d v="2026-01-29T00:00:00"/>
    <s v="instacart"/>
    <n v="17438764"/>
    <n v="266589"/>
    <x v="0"/>
    <s v="Available"/>
    <x v="0"/>
    <x v="0"/>
  </r>
  <r>
    <s v="747479000031"/>
    <x v="2"/>
    <s v="Rao's Sauce, Marinara 15.5 oz"/>
    <n v="15.5"/>
    <x v="0"/>
    <d v="2021-10-28T00:00:00"/>
    <d v="2026-02-06T00:00:00"/>
    <s v="instacart"/>
    <n v="98551"/>
    <n v="266911"/>
    <x v="0"/>
    <s v="Available"/>
    <x v="0"/>
    <x v="0"/>
  </r>
  <r>
    <s v="850024735873"/>
    <x v="54"/>
    <s v="Carbone Mediterranean Marinara Sauce, No Sugar Added, Non GMO, Kosher"/>
    <n v="24"/>
    <x v="0"/>
    <d v="2025-01-22T00:00:00"/>
    <d v="2026-02-06T00:00:00"/>
    <s v="instacart"/>
    <n v="64570527"/>
    <n v="261702"/>
    <x v="0"/>
    <s v="Available"/>
    <x v="0"/>
    <x v="0"/>
  </r>
  <r>
    <s v="081319819347"/>
    <x v="65"/>
    <s v="Casa Visco Meatless Sauce"/>
    <n v="64"/>
    <x v="0"/>
    <d v="2021-10-29T00:00:00"/>
    <d v="2025-03-28T00:00:00"/>
    <s v="instacart"/>
    <s v=""/>
    <n v="261811"/>
    <x v="1"/>
    <s v="Available"/>
    <x v="1"/>
    <x v="0"/>
  </r>
  <r>
    <s v="027000391037"/>
    <x v="24"/>
    <s v="Hunt's Basil, Garlic &amp; Oregano Tomato Sauce, 8 oz"/>
    <n v="8"/>
    <x v="0"/>
    <d v="2021-10-28T00:00:00"/>
    <d v="2026-02-07T00:00:00"/>
    <s v="instacart"/>
    <n v="38974"/>
    <n v="264035"/>
    <x v="0"/>
    <s v="Available"/>
    <x v="0"/>
    <x v="0"/>
  </r>
  <r>
    <s v="036200431214"/>
    <x v="15"/>
    <s v="RAGU SIMPLY SAUCE ROASTED GARLIC"/>
    <n v="24"/>
    <x v="0"/>
    <d v="2021-10-28T00:00:00"/>
    <d v="2026-02-07T00:00:00"/>
    <s v="instacart"/>
    <n v="19820553"/>
    <n v="262029"/>
    <x v="0"/>
    <s v="Available"/>
    <x v="0"/>
    <x v="0"/>
  </r>
  <r>
    <s v="857028000044"/>
    <x v="38"/>
    <s v="ROMANOS PASTA SAUCE GARLIC AND BASIL 26 OZ"/>
    <n v="26"/>
    <x v="0"/>
    <d v="2021-10-31T00:00:00"/>
    <d v="2026-02-05T00:00:00"/>
    <s v="instacart"/>
    <n v="49021489"/>
    <n v="266983"/>
    <x v="0"/>
    <s v="Missing"/>
    <x v="0"/>
    <x v="1"/>
  </r>
  <r>
    <s v="731338899577"/>
    <x v="132"/>
    <s v="Michaels of Brooklyn Pasta Sauce, Arrabbiata, 32 oz"/>
    <n v="32"/>
    <x v="0"/>
    <d v="2021-10-28T00:00:00"/>
    <d v="2026-02-03T00:00:00"/>
    <s v="instacart"/>
    <n v="17330579"/>
    <n v="262623"/>
    <x v="0"/>
    <s v="Available"/>
    <x v="0"/>
    <x v="0"/>
  </r>
  <r>
    <s v="798235725514"/>
    <x v="55"/>
    <s v="Cucina Antica Tomato Basil Sauce, 25 oz"/>
    <n v="25"/>
    <x v="0"/>
    <d v="2021-11-01T00:00:00"/>
    <d v="2026-02-04T00:00:00"/>
    <s v="instacart"/>
    <n v="80811"/>
    <n v="264457"/>
    <x v="0"/>
    <s v="Available"/>
    <x v="0"/>
    <x v="0"/>
  </r>
  <r>
    <s v="850036076025"/>
    <x v="38"/>
    <s v="BRN SMPL ORG SPCY ARRB PASTA SAUCE"/>
    <n v="18"/>
    <x v="0"/>
    <d v="2022-09-28T00:00:00"/>
    <d v="2025-11-05T00:00:00"/>
    <s v="instacart"/>
    <n v="27661492"/>
    <n v="262629"/>
    <x v="0"/>
    <s v="Missing"/>
    <x v="0"/>
    <x v="1"/>
  </r>
  <r>
    <s v="860010086049"/>
    <x v="48"/>
    <s v="Jersey Italian Gravy Vodka Sauce, 6 PK"/>
    <m/>
    <x v="2"/>
    <d v="2023-03-24T00:00:00"/>
    <d v="2023-06-22T00:00:00"/>
    <s v="instacart"/>
    <s v=""/>
    <n v="266344"/>
    <x v="1"/>
    <s v="Available"/>
    <x v="1"/>
    <x v="0"/>
  </r>
  <r>
    <s v="876045006471"/>
    <x v="177"/>
    <s v="Little Italy In The Bronx Pasta Sauce, Cherry Tomato Marinara 24 oz"/>
    <n v="24"/>
    <x v="0"/>
    <d v="2021-10-28T00:00:00"/>
    <d v="2026-02-05T00:00:00"/>
    <s v="instacart"/>
    <n v="20166009"/>
    <n v="262578"/>
    <x v="0"/>
    <s v="Available"/>
    <x v="0"/>
    <x v="0"/>
  </r>
  <r>
    <s v="850036076001"/>
    <x v="36"/>
    <s v="Born Simple Sauce Marinara Premium Organ - 18 OZ"/>
    <n v="18"/>
    <x v="0"/>
    <d v="2022-08-17T00:00:00"/>
    <d v="2026-02-05T00:00:00"/>
    <s v="instacart"/>
    <n v="27663317"/>
    <n v="262545"/>
    <x v="0"/>
    <s v="Available"/>
    <x v="0"/>
    <x v="0"/>
  </r>
  <r>
    <s v="677294981362"/>
    <x v="85"/>
    <s v="Cucina Antica Rosa Alfredo 16.9 oz"/>
    <n v="16.899999999999999"/>
    <x v="0"/>
    <d v="2022-08-18T00:00:00"/>
    <d v="2026-02-06T00:00:00"/>
    <s v="instacart"/>
    <n v="27494712"/>
    <n v="261737"/>
    <x v="0"/>
    <s v="Available"/>
    <x v="0"/>
    <x v="0"/>
  </r>
  <r>
    <s v="074683099422"/>
    <x v="261"/>
    <s v="Emeril's Pasta Sauce, Tomato &amp; Basil 25 oz"/>
    <n v="25"/>
    <x v="0"/>
    <d v="2021-10-28T00:00:00"/>
    <d v="2026-02-06T00:00:00"/>
    <s v="instacart"/>
    <n v="98560"/>
    <n v="261580"/>
    <x v="0"/>
    <s v="Available"/>
    <x v="0"/>
    <x v="0"/>
  </r>
  <r>
    <s v="051000286208"/>
    <x v="45"/>
    <s v="PregoÂ® Chunky Roasted Garlic And Herb Pasta Sauce 23.750 oz"/>
    <n v="23.75"/>
    <x v="0"/>
    <d v="2023-02-12T00:00:00"/>
    <d v="2026-02-07T00:00:00"/>
    <s v="instacart"/>
    <n v="29503633"/>
    <n v="266393"/>
    <x v="0"/>
    <s v="Available"/>
    <x v="0"/>
    <x v="0"/>
  </r>
  <r>
    <s v="726768731603"/>
    <x v="38"/>
    <s v="Capozzi's Spaghetti Marinara Sauce"/>
    <n v="26"/>
    <x v="0"/>
    <d v="2021-11-03T00:00:00"/>
    <d v="2026-02-04T00:00:00"/>
    <s v="instacart"/>
    <n v="19739879"/>
    <n v="264464"/>
    <x v="0"/>
    <s v="Missing"/>
    <x v="0"/>
    <x v="1"/>
  </r>
  <r>
    <s v="051000173454"/>
    <x v="45"/>
    <s v="Prego Sauce, Heart Smart Traditional"/>
    <n v="23.5"/>
    <x v="0"/>
    <d v="2021-10-28T00:00:00"/>
    <d v="2026-02-07T00:00:00"/>
    <s v="instacart"/>
    <n v="34157"/>
    <n v="264722"/>
    <x v="0"/>
    <s v="Available"/>
    <x v="0"/>
    <x v="0"/>
  </r>
  <r>
    <s v="733636330028"/>
    <x v="47"/>
    <s v="Sonoma Gourmet Organic Cherry Tomato with Basil Pasta Sauce, 25 oz"/>
    <n v="25"/>
    <x v="0"/>
    <d v="2021-10-28T00:00:00"/>
    <d v="2026-02-06T00:00:00"/>
    <s v="instacart"/>
    <n v="2219082"/>
    <n v="266936"/>
    <x v="0"/>
    <s v="Available"/>
    <x v="0"/>
    <x v="0"/>
  </r>
  <r>
    <s v="051000270146"/>
    <x v="45"/>
    <s v="PregoÂ® Italian Sausage And Garlic Meat Sauce 44.000 oz"/>
    <n v="44"/>
    <x v="0"/>
    <d v="2021-10-28T00:00:00"/>
    <d v="2026-02-07T00:00:00"/>
    <s v="instacart"/>
    <n v="20021629"/>
    <n v="264741"/>
    <x v="0"/>
    <s v="Available"/>
    <x v="0"/>
    <x v="0"/>
  </r>
  <r>
    <s v="080602026783"/>
    <x v="77"/>
    <s v="Sclafani Tomato Basil Sauce, 32 oz"/>
    <n v="32"/>
    <x v="0"/>
    <d v="2021-10-31T00:00:00"/>
    <d v="2026-02-06T00:00:00"/>
    <s v="instacart"/>
    <n v="226646"/>
    <n v="266498"/>
    <x v="0"/>
    <s v="Available"/>
    <x v="0"/>
    <x v="0"/>
  </r>
  <r>
    <s v="036200223024"/>
    <x v="6"/>
    <s v="Bertolli Olive Oil, Basil &amp; Garlic Organic Sauce - 24 Ounce"/>
    <n v="24"/>
    <x v="0"/>
    <d v="2021-10-28T00:00:00"/>
    <d v="2026-02-07T00:00:00"/>
    <s v="instacart"/>
    <n v="2915073"/>
    <n v="264628"/>
    <x v="0"/>
    <s v="Available"/>
    <x v="0"/>
    <x v="0"/>
  </r>
  <r>
    <s v="686457030212"/>
    <x v="7"/>
    <s v="Rao's Homemade Arrabbiata Sauce, 32 oz, Tomato Sauce, All Purpose, Keto Friendly Pasta Sauce, Premium Quality Tomatoes from Italy &amp; Crushed Red Pepper"/>
    <n v="32"/>
    <x v="0"/>
    <d v="2021-11-01T00:00:00"/>
    <d v="2026-02-02T00:00:00"/>
    <s v="instacart"/>
    <n v="18628190"/>
    <n v="261595"/>
    <x v="0"/>
    <s v="Available"/>
    <x v="0"/>
    <x v="0"/>
  </r>
  <r>
    <s v="810048160174"/>
    <x v="154"/>
    <s v="Di Bruno Bros. Tomato Basil Tomato Sauce, 24 oz"/>
    <n v="24"/>
    <x v="0"/>
    <d v="2024-09-13T00:00:00"/>
    <d v="2026-02-04T00:00:00"/>
    <s v="instacart"/>
    <s v=""/>
    <n v="264667"/>
    <x v="1"/>
    <s v="Available"/>
    <x v="1"/>
    <x v="0"/>
  </r>
  <r>
    <s v="609231000096"/>
    <x v="38"/>
    <s v="Bove's - 3Chs Tom Pasta Sce"/>
    <n v="24"/>
    <x v="0"/>
    <d v="2021-10-28T00:00:00"/>
    <d v="2026-02-06T00:00:00"/>
    <s v="instacart"/>
    <s v=""/>
    <n v="264209"/>
    <x v="1"/>
    <s v="Missing"/>
    <x v="1"/>
    <x v="1"/>
  </r>
  <r>
    <s v="725342132256"/>
    <x v="40"/>
    <s v="Muir Glen Organic Roasted Garlic Pasta Sauce, No Sugar Added"/>
    <n v="23.5"/>
    <x v="0"/>
    <d v="2022-09-11T00:00:00"/>
    <d v="2026-02-06T00:00:00"/>
    <s v="instacart"/>
    <n v="34623727"/>
    <n v="267043"/>
    <x v="0"/>
    <s v="Available"/>
    <x v="0"/>
    <x v="0"/>
  </r>
  <r>
    <s v="677294991507"/>
    <x v="85"/>
    <s v="Sunday Sauce, 25 OZ"/>
    <n v="25"/>
    <x v="0"/>
    <d v="2024-01-31T00:00:00"/>
    <d v="2026-02-04T00:00:00"/>
    <s v="instacart"/>
    <s v=""/>
    <n v="266543"/>
    <x v="1"/>
    <s v="Available"/>
    <x v="1"/>
    <x v="0"/>
  </r>
  <r>
    <s v="076808003031"/>
    <x v="174"/>
    <s v="Barilla Savory Oregano Traditional Pasta Sauce - 24 Oz"/>
    <n v="24"/>
    <x v="0"/>
    <d v="2021-10-28T00:00:00"/>
    <d v="2026-02-06T00:00:00"/>
    <s v="instacart"/>
    <n v="73881"/>
    <n v="266901"/>
    <x v="0"/>
    <s v="Available"/>
    <x v="0"/>
    <x v="0"/>
  </r>
  <r>
    <s v="400021952386"/>
    <x v="203"/>
    <s v="RagÃº Old World Style Traditional Sauce, 45 oz"/>
    <n v="45"/>
    <x v="0"/>
    <d v="2021-10-28T00:00:00"/>
    <d v="2026-02-07T00:00:00"/>
    <s v="instacart"/>
    <n v="77085"/>
    <n v="261870"/>
    <x v="0"/>
    <s v="Available"/>
    <x v="0"/>
    <x v="0"/>
  </r>
  <r>
    <s v="072368420387"/>
    <x v="99"/>
    <s v="DeLallo Ultimate Sauce Collection Marinara Sauce Fat Free Jar - 26 Oz"/>
    <n v="24"/>
    <x v="0"/>
    <d v="2021-10-28T00:00:00"/>
    <d v="2026-02-06T00:00:00"/>
    <s v="instacart"/>
    <n v="2503683"/>
    <n v="261882"/>
    <x v="0"/>
    <s v="Available"/>
    <x v="0"/>
    <x v="0"/>
  </r>
  <r>
    <s v="855615002716"/>
    <x v="190"/>
    <s v="Organic Tomato Basil Pasta Sauce, 20 OZ"/>
    <n v="24"/>
    <x v="0"/>
    <d v="2025-01-22T00:00:00"/>
    <d v="2026-02-04T00:00:00"/>
    <s v="instacart"/>
    <n v="55079690"/>
    <n v="264203"/>
    <x v="0"/>
    <s v="Available"/>
    <x v="0"/>
    <x v="0"/>
  </r>
  <r>
    <s v="793232516554"/>
    <x v="142"/>
    <s v="Rustichella D Abruzzo Tomato Sauce with Basil Pomodoro e Basilico Jar - 23.9 Oz"/>
    <n v="23.9"/>
    <x v="0"/>
    <d v="2021-10-28T00:00:00"/>
    <d v="2026-02-06T00:00:00"/>
    <s v="instacart"/>
    <n v="2786310"/>
    <n v="264086"/>
    <x v="0"/>
    <s v="Available"/>
    <x v="0"/>
    <x v="0"/>
  </r>
  <r>
    <s v="041129424605"/>
    <x v="19"/>
    <s v="Classico Family Favorites Traditional Smooth &amp; Rich Pasta Sauce - 24 Oz"/>
    <n v="24"/>
    <x v="0"/>
    <d v="2021-10-28T00:00:00"/>
    <d v="2026-02-06T00:00:00"/>
    <s v="instacart"/>
    <n v="125443"/>
    <n v="266538"/>
    <x v="0"/>
    <s v="Available"/>
    <x v="0"/>
    <x v="0"/>
  </r>
  <r>
    <s v="085917230559"/>
    <x v="38"/>
    <s v="Sundried Tomato &amp; Olive"/>
    <n v="6"/>
    <x v="0"/>
    <d v="2023-11-15T00:00:00"/>
    <d v="2026-02-06T00:00:00"/>
    <s v="instacart"/>
    <n v="35595100"/>
    <n v="261795"/>
    <x v="0"/>
    <s v="Missing"/>
    <x v="0"/>
    <x v="1"/>
  </r>
  <r>
    <s v="072368420301"/>
    <x v="99"/>
    <s v="Delallo Sauce Spaghetti Trdtnl - 24 Oz"/>
    <n v="24"/>
    <x v="0"/>
    <d v="2021-10-28T00:00:00"/>
    <d v="2026-02-06T00:00:00"/>
    <s v="instacart"/>
    <n v="1499839"/>
    <n v="262557"/>
    <x v="0"/>
    <s v="Available"/>
    <x v="0"/>
    <x v="0"/>
  </r>
  <r>
    <s v="800501678278"/>
    <x v="262"/>
    <s v="Cipriani Organic Pomodoro Sauce - 11.99 Oz"/>
    <n v="11.99"/>
    <x v="0"/>
    <d v="2022-06-02T00:00:00"/>
    <d v="2026-02-06T00:00:00"/>
    <s v="instacart"/>
    <n v="16635325"/>
    <n v="264345"/>
    <x v="0"/>
    <s v="Available"/>
    <x v="0"/>
    <x v="0"/>
  </r>
  <r>
    <s v="850036076018"/>
    <x v="36"/>
    <s v="Born Simple Sauce Tomato &amp; Basil Organic - 18 OZ"/>
    <n v="18"/>
    <x v="0"/>
    <d v="2022-08-10T00:00:00"/>
    <d v="2026-02-05T00:00:00"/>
    <s v="instacart"/>
    <n v="27662188"/>
    <n v="267079"/>
    <x v="0"/>
    <s v="Available"/>
    <x v="0"/>
    <x v="0"/>
  </r>
  <r>
    <s v="850008833052"/>
    <x v="254"/>
    <s v="Yo Mama's Foods Keto RosÃ© Wine Pasta Sauce - Pack of (1) - No Sugar Added, Low Carb, Low Sodium, Gluten Free, Paleo Friendly, Non-GMO, and Vegan"/>
    <n v="25"/>
    <x v="0"/>
    <d v="2021-11-01T00:00:00"/>
    <d v="2026-02-06T00:00:00"/>
    <s v="instacart"/>
    <n v="22685595"/>
    <n v="267080"/>
    <x v="0"/>
    <s v="Available"/>
    <x v="0"/>
    <x v="0"/>
  </r>
  <r>
    <s v="798235725507"/>
    <x v="55"/>
    <s v="Cucina Antica Garlic Marinara Sauce, 25 oz"/>
    <n v="25"/>
    <x v="0"/>
    <d v="2021-10-28T00:00:00"/>
    <d v="2026-02-04T00:00:00"/>
    <s v="instacart"/>
    <n v="53396"/>
    <n v="261765"/>
    <x v="0"/>
    <s v="Available"/>
    <x v="0"/>
    <x v="0"/>
  </r>
  <r>
    <s v="879026010108"/>
    <x v="167"/>
    <s v="Bono Pasta Sauce, with 100% Italian Tomatoes, Marinara"/>
    <n v="24"/>
    <x v="0"/>
    <d v="2023-01-26T00:00:00"/>
    <d v="2026-02-06T00:00:00"/>
    <s v="instacart"/>
    <n v="19962763"/>
    <n v="261512"/>
    <x v="0"/>
    <s v="Available"/>
    <x v="0"/>
    <x v="0"/>
  </r>
  <r>
    <s v="001522941161"/>
    <x v="21"/>
    <s v="Sacia Tomatos Cherry Marinara - 24 Oz"/>
    <n v="24"/>
    <x v="0"/>
    <d v="2021-10-28T00:00:00"/>
    <d v="2026-02-06T00:00:00"/>
    <s v="instacart"/>
    <n v="18301267"/>
    <n v="261688"/>
    <x v="0"/>
    <s v="Available"/>
    <x v="0"/>
    <x v="0"/>
  </r>
  <r>
    <s v="855615002280"/>
    <x v="263"/>
    <s v="Bianco Dinapoli, Sauce Pasta Arrabbiata Organic, 20 Ounce"/>
    <n v="24"/>
    <x v="0"/>
    <d v="2025-01-22T00:00:00"/>
    <d v="2026-02-04T00:00:00"/>
    <s v="instacart"/>
    <n v="55410668"/>
    <n v="264034"/>
    <x v="0"/>
    <s v="Available"/>
    <x v="0"/>
    <x v="0"/>
  </r>
  <r>
    <s v="015229411629"/>
    <x v="21"/>
    <s v="Sacia Tomatos Cherry N Olives - 24 Oz"/>
    <n v="24"/>
    <x v="0"/>
    <d v="2021-10-28T00:00:00"/>
    <d v="2026-02-06T00:00:00"/>
    <s v="instacart"/>
    <s v=""/>
    <n v="266371"/>
    <x v="1"/>
    <s v="Available"/>
    <x v="1"/>
    <x v="0"/>
  </r>
  <r>
    <s v="066086090120"/>
    <x v="124"/>
    <s v="Pastene Marinara Sauce 24 oz"/>
    <n v="24"/>
    <x v="0"/>
    <d v="2021-10-28T00:00:00"/>
    <d v="2026-02-06T00:00:00"/>
    <s v="instacart"/>
    <n v="3340287"/>
    <n v="267001"/>
    <x v="0"/>
    <s v="Available"/>
    <x v="0"/>
    <x v="0"/>
  </r>
  <r>
    <s v="710069175013"/>
    <x v="69"/>
    <s v="Gefen Classic Marinara Pasta Sauce - 26 Oz"/>
    <n v="26"/>
    <x v="0"/>
    <d v="2021-10-28T00:00:00"/>
    <d v="2026-02-06T00:00:00"/>
    <s v="instacart"/>
    <n v="145157"/>
    <n v="262028"/>
    <x v="0"/>
    <s v="Available"/>
    <x v="0"/>
    <x v="0"/>
  </r>
  <r>
    <s v="747479000123"/>
    <x v="2"/>
    <s v="Rao's Bolognese Sauce"/>
    <n v="24"/>
    <x v="0"/>
    <d v="2021-10-28T00:00:00"/>
    <d v="2026-02-07T00:00:00"/>
    <s v="instacart"/>
    <n v="18957838"/>
    <n v="267034"/>
    <x v="0"/>
    <s v="Available"/>
    <x v="0"/>
    <x v="0"/>
  </r>
  <r>
    <s v="057000012588"/>
    <x v="19"/>
    <s v="Classico - Di Piemonte Red Wine &amp; Herb"/>
    <n v="20.288091000000001"/>
    <x v="1"/>
    <d v="2024-12-05T00:00:00"/>
    <d v="2026-02-05T00:00:00"/>
    <s v="instacart"/>
    <s v=""/>
    <n v="267062"/>
    <x v="1"/>
    <s v="Available"/>
    <x v="1"/>
    <x v="0"/>
  </r>
  <r>
    <s v="854693000836"/>
    <x v="144"/>
    <s v="Mutti No Added Sugar Rossoro Tomatoes and Parmigiano Reggiano Pasta Sauce 24 oz"/>
    <n v="24"/>
    <x v="0"/>
    <d v="2022-04-14T00:00:00"/>
    <d v="2026-02-06T00:00:00"/>
    <s v="instacart"/>
    <n v="34713974"/>
    <n v="264048"/>
    <x v="0"/>
    <s v="Available"/>
    <x v="0"/>
    <x v="0"/>
  </r>
  <r>
    <s v="863850000190"/>
    <x v="160"/>
    <s v="Pasta Too Pasta Sauce, Tomato, Original, Family Size"/>
    <m/>
    <x v="2"/>
    <d v="2021-10-28T00:00:00"/>
    <d v="2026-02-06T00:00:00"/>
    <s v="instacart"/>
    <s v=""/>
    <n v="264338"/>
    <x v="1"/>
    <s v="Available"/>
    <x v="1"/>
    <x v="0"/>
  </r>
  <r>
    <s v="041129632109"/>
    <x v="19"/>
    <s v="Classico Caramelized Onion &amp; Roasted Garlic Pasta Sauce 24 oz (1 lb 8 oz) 680 g"/>
    <n v="24"/>
    <x v="0"/>
    <d v="2021-10-28T00:00:00"/>
    <d v="2026-02-06T00:00:00"/>
    <s v="instacart"/>
    <n v="98538"/>
    <n v="266366"/>
    <x v="0"/>
    <s v="Available"/>
    <x v="0"/>
    <x v="0"/>
  </r>
  <r>
    <s v="605615111136"/>
    <x v="264"/>
    <s v="Chef Silvio's Sundae Sauce"/>
    <n v="25.5"/>
    <x v="0"/>
    <d v="2021-10-31T00:00:00"/>
    <d v="2026-02-01T00:00:00"/>
    <s v="instacart"/>
    <n v="228678"/>
    <n v="266509"/>
    <x v="0"/>
    <s v="Available"/>
    <x v="0"/>
    <x v="0"/>
  </r>
  <r>
    <s v="896175002112"/>
    <x v="156"/>
    <s v="Ethnic Cottage Tomato Basil Jersey Tomato Sauce, 25 oz"/>
    <n v="25"/>
    <x v="0"/>
    <d v="2021-10-31T00:00:00"/>
    <d v="2026-02-06T00:00:00"/>
    <s v="instacart"/>
    <n v="138169"/>
    <n v="267047"/>
    <x v="0"/>
    <s v="Available"/>
    <x v="0"/>
    <x v="0"/>
  </r>
  <r>
    <s v="628719692073"/>
    <x v="265"/>
    <s v="Yo Mamaâ€™s - Roasted Garlic Tomato Sauce"/>
    <n v="24.007574000000002"/>
    <x v="1"/>
    <d v="2025-11-20T00:00:00"/>
    <d v="2026-02-05T00:00:00"/>
    <s v="instacart"/>
    <s v=""/>
    <n v="261710"/>
    <x v="1"/>
    <s v="Available"/>
    <x v="1"/>
    <x v="0"/>
  </r>
  <r>
    <s v="026825008915"/>
    <x v="116"/>
    <s v="Gia Russa Pasta Sauce, Select, Alla Vodka 24 oz"/>
    <n v="24"/>
    <x v="0"/>
    <d v="2021-10-28T00:00:00"/>
    <d v="2026-02-06T00:00:00"/>
    <s v="instacart"/>
    <n v="91490"/>
    <n v="261775"/>
    <x v="0"/>
    <s v="Available"/>
    <x v="0"/>
    <x v="0"/>
  </r>
  <r>
    <s v="090972500042"/>
    <x v="266"/>
    <s v="Belletieri's Tomato Pasta Sauce"/>
    <n v="24"/>
    <x v="0"/>
    <d v="2021-10-28T00:00:00"/>
    <d v="2026-02-06T00:00:00"/>
    <s v="instacart"/>
    <n v="17316065"/>
    <n v="266493"/>
    <x v="0"/>
    <s v="Available"/>
    <x v="0"/>
    <x v="0"/>
  </r>
  <r>
    <s v="860006000387"/>
    <x v="164"/>
    <s v="Frik And Frak Sweetheart Pasta Sauce - 24 Oz"/>
    <n v="24"/>
    <x v="0"/>
    <d v="2023-06-08T00:00:00"/>
    <d v="2026-02-06T00:00:00"/>
    <s v="instacart"/>
    <n v="30517044"/>
    <n v="261874"/>
    <x v="0"/>
    <s v="Available"/>
    <x v="0"/>
    <x v="0"/>
  </r>
  <r>
    <s v="648505540340"/>
    <x v="113"/>
    <s v="Lucini Sauce Organic Savory Golden Tomato Jar - 24 Oz"/>
    <n v="24"/>
    <x v="0"/>
    <d v="2021-10-28T00:00:00"/>
    <d v="2026-02-06T00:00:00"/>
    <s v="instacart"/>
    <n v="24727950"/>
    <n v="266419"/>
    <x v="0"/>
    <s v="Available"/>
    <x v="0"/>
    <x v="0"/>
  </r>
  <r>
    <s v="860010171127"/>
    <x v="36"/>
    <s v="Sturdy Sauce Sweet Basil - 16 OZ"/>
    <n v="16"/>
    <x v="0"/>
    <d v="2024-12-27T00:00:00"/>
    <d v="2026-02-06T00:00:00"/>
    <s v="instacart"/>
    <n v="56340269"/>
    <n v="262604"/>
    <x v="0"/>
    <s v="Available"/>
    <x v="0"/>
    <x v="0"/>
  </r>
  <r>
    <s v="605615111150"/>
    <x v="264"/>
    <s v="Chef Silvio's Gourmet Fra Diavolo Pasta Sauce"/>
    <n v="25.5"/>
    <x v="0"/>
    <d v="2021-10-31T00:00:00"/>
    <d v="2025-10-31T00:00:00"/>
    <s v="instacart"/>
    <n v="227976"/>
    <n v="266428"/>
    <x v="0"/>
    <s v="Available"/>
    <x v="0"/>
    <x v="0"/>
  </r>
  <r>
    <s v="070234004303"/>
    <x v="63"/>
    <s v="VictoriaÂ® Roasted Garlic Sauce"/>
    <n v="24"/>
    <x v="0"/>
    <d v="2021-10-28T00:00:00"/>
    <d v="2026-02-06T00:00:00"/>
    <s v="instacart"/>
    <n v="91463"/>
    <n v="264720"/>
    <x v="0"/>
    <s v="Available"/>
    <x v="0"/>
    <x v="0"/>
  </r>
  <r>
    <s v="036200018002"/>
    <x v="15"/>
    <s v="Ragu Old World Style Traditional Sauce - 4.1 Pound - 1 Count"/>
    <n v="66"/>
    <x v="0"/>
    <d v="2021-10-28T00:00:00"/>
    <d v="2026-02-07T00:00:00"/>
    <s v="instacart"/>
    <n v="77099"/>
    <n v="264640"/>
    <x v="0"/>
    <s v="Available"/>
    <x v="0"/>
    <x v="0"/>
  </r>
  <r>
    <s v="073214008445"/>
    <x v="14"/>
    <s v="Mezzetta Italian Plum Tomato Marinara - 24 Oz"/>
    <n v="24"/>
    <x v="0"/>
    <d v="2021-10-28T00:00:00"/>
    <d v="2026-02-06T00:00:00"/>
    <s v="instacart"/>
    <n v="23897839"/>
    <n v="266324"/>
    <x v="0"/>
    <s v="Available"/>
    <x v="0"/>
    <x v="0"/>
  </r>
  <r>
    <s v="027000500514"/>
    <x v="24"/>
    <s v="Huntâ€™s Tomato Basil Pasta Sauce, 24 Oz. Can"/>
    <n v="24"/>
    <x v="0"/>
    <d v="2021-10-28T00:00:00"/>
    <d v="2026-02-07T00:00:00"/>
    <s v="instacart"/>
    <n v="18593074"/>
    <n v="261520"/>
    <x v="0"/>
    <s v="Available"/>
    <x v="0"/>
    <x v="0"/>
  </r>
  <r>
    <s v="710069312036"/>
    <x v="220"/>
    <s v="Tuscanini Zesty Marinara Sauce, 24.3 oz"/>
    <n v="24.3"/>
    <x v="0"/>
    <d v="2021-10-28T00:00:00"/>
    <d v="2026-02-06T00:00:00"/>
    <s v="instacart"/>
    <n v="17457609"/>
    <n v="264543"/>
    <x v="0"/>
    <s v="Available"/>
    <x v="0"/>
    <x v="0"/>
  </r>
  <r>
    <s v="072940758075"/>
    <x v="82"/>
    <s v="Tuttorosso Pasta Sauce Tomato &amp; Basil"/>
    <n v="24"/>
    <x v="0"/>
    <d v="2021-10-28T00:00:00"/>
    <d v="2026-02-06T00:00:00"/>
    <s v="instacart"/>
    <n v="143289"/>
    <n v="264140"/>
    <x v="0"/>
    <s v="Available"/>
    <x v="0"/>
    <x v="0"/>
  </r>
  <r>
    <s v="020662003911"/>
    <x v="34"/>
    <s v="Newman's Own Pasta Sauce, Organic, Tomato &amp; Basil 23.5 oz"/>
    <n v="23.5"/>
    <x v="0"/>
    <d v="2021-10-28T00:00:00"/>
    <d v="2026-02-06T00:00:00"/>
    <s v="instacart"/>
    <n v="118422"/>
    <n v="261820"/>
    <x v="0"/>
    <s v="Available"/>
    <x v="0"/>
    <x v="0"/>
  </r>
  <r>
    <s v="891752001069"/>
    <x v="4"/>
    <s v="Nanina's In The Park Marinara Premium Quality Gourmet Pasta Sauce, 23.25 oz"/>
    <n v="23.25"/>
    <x v="0"/>
    <d v="2023-05-03T00:00:00"/>
    <d v="2026-02-04T00:00:00"/>
    <s v="instacart"/>
    <n v="29474934"/>
    <n v="266394"/>
    <x v="0"/>
    <s v="Available"/>
    <x v="0"/>
    <x v="0"/>
  </r>
  <r>
    <s v="492124003713"/>
    <x v="55"/>
    <s v="Cucina Antica Tomato Basil Sauce, 25 oz"/>
    <n v="25"/>
    <x v="0"/>
    <d v="2021-11-01T00:00:00"/>
    <d v="2026-02-04T00:00:00"/>
    <s v="instacart"/>
    <n v="80811"/>
    <n v="264465"/>
    <x v="0"/>
    <s v="Available"/>
    <x v="0"/>
    <x v="0"/>
  </r>
  <r>
    <s v="748252561749"/>
    <x v="147"/>
    <s v="Terlato Kitchen Sauce Vodka Jar - 24 Oz"/>
    <n v="24"/>
    <x v="0"/>
    <d v="2021-10-28T00:00:00"/>
    <d v="2026-02-05T00:00:00"/>
    <s v="instacart"/>
    <n v="3242669"/>
    <n v="266917"/>
    <x v="0"/>
    <s v="Available"/>
    <x v="0"/>
    <x v="0"/>
  </r>
  <r>
    <s v="036200004883"/>
    <x v="15"/>
    <s v="RAGU HEARTY ROASTED GARLIC SAUCE"/>
    <n v="24"/>
    <x v="0"/>
    <d v="2021-10-28T00:00:00"/>
    <d v="2026-02-06T00:00:00"/>
    <s v="instacart"/>
    <n v="77114"/>
    <n v="262207"/>
    <x v="0"/>
    <s v="Available"/>
    <x v="0"/>
    <x v="0"/>
  </r>
  <r>
    <s v="080602024710"/>
    <x v="77"/>
    <s v="Sclafani Home Style Spaghetti Sauce, 32 oz"/>
    <n v="32"/>
    <x v="0"/>
    <d v="2021-10-31T00:00:00"/>
    <d v="2026-02-06T00:00:00"/>
    <s v="instacart"/>
    <n v="226644"/>
    <n v="267110"/>
    <x v="0"/>
    <s v="Available"/>
    <x v="0"/>
    <x v="0"/>
  </r>
  <r>
    <s v="051000012104"/>
    <x v="45"/>
    <s v="PregoÂ® Chunky Mushroom and Green Pepper Pasta Sauce, 23.75 oz Jar"/>
    <n v="23.75"/>
    <x v="0"/>
    <d v="2021-10-28T00:00:00"/>
    <d v="2026-02-07T00:00:00"/>
    <s v="instacart"/>
    <n v="207543"/>
    <n v="261568"/>
    <x v="0"/>
    <s v="Available"/>
    <x v="0"/>
    <x v="0"/>
  </r>
  <r>
    <s v="041129424551"/>
    <x v="19"/>
    <s v="Classico Smooth &amp; Rich Meat Sauce 24 Oz"/>
    <n v="24"/>
    <x v="0"/>
    <d v="2021-10-28T00:00:00"/>
    <d v="2026-02-05T00:00:00"/>
    <s v="instacart"/>
    <n v="125442"/>
    <n v="261875"/>
    <x v="0"/>
    <s v="Available"/>
    <x v="0"/>
    <x v="0"/>
  </r>
  <r>
    <s v="075717952096"/>
    <x v="267"/>
    <s v="Rienzi Red Clam Sauce"/>
    <n v="15"/>
    <x v="0"/>
    <d v="2021-10-28T00:00:00"/>
    <d v="2026-02-06T00:00:00"/>
    <s v="instacart"/>
    <n v="73909"/>
    <n v="262624"/>
    <x v="0"/>
    <s v="Available"/>
    <x v="0"/>
    <x v="0"/>
  </r>
  <r>
    <s v="086395500028"/>
    <x v="268"/>
    <s v="The Meatball Shop Classic Tomato Sauce - 24 Oz"/>
    <n v="24"/>
    <x v="0"/>
    <d v="2021-10-31T00:00:00"/>
    <d v="2026-02-05T00:00:00"/>
    <s v="instacart"/>
    <n v="288575"/>
    <n v="261491"/>
    <x v="0"/>
    <s v="Available"/>
    <x v="0"/>
    <x v="0"/>
  </r>
  <r>
    <s v="048176843724"/>
    <x v="38"/>
    <s v="Mantova Organic Marinara sa"/>
    <n v="17.600000000000001"/>
    <x v="0"/>
    <d v="2021-10-31T00:00:00"/>
    <d v="2026-02-06T00:00:00"/>
    <s v="instacart"/>
    <s v=""/>
    <n v="266296"/>
    <x v="1"/>
    <s v="Missing"/>
    <x v="1"/>
    <x v="1"/>
  </r>
  <r>
    <s v="036200431917"/>
    <x v="26"/>
    <s v="Ragu Hidden Heroes Pasta Sauce for Kids, Captain Marinara, 14 oz"/>
    <n v="14"/>
    <x v="0"/>
    <d v="2024-02-25T00:00:00"/>
    <d v="2026-01-26T00:00:00"/>
    <s v="instacart"/>
    <n v="42887395"/>
    <n v="264417"/>
    <x v="0"/>
    <s v="Available"/>
    <x v="0"/>
    <x v="0"/>
  </r>
  <r>
    <s v="733636330073"/>
    <x v="47"/>
    <s v="Sonoma Gourmet Butternut Squash"/>
    <n v="25"/>
    <x v="0"/>
    <d v="2021-10-28T00:00:00"/>
    <d v="2026-02-04T00:00:00"/>
    <s v="instacart"/>
    <n v="2183191"/>
    <n v="266303"/>
    <x v="0"/>
    <s v="Available"/>
    <x v="0"/>
    <x v="0"/>
  </r>
  <r>
    <s v="057000012489"/>
    <x v="19"/>
    <s v="Classico Roasted Garlic &amp; Onion Pasta Sauce, Classico Tomato &amp; Onion 600ML"/>
    <n v="20.288091000000001"/>
    <x v="1"/>
    <d v="2024-12-05T00:00:00"/>
    <d v="2026-02-05T00:00:00"/>
    <s v="instacart"/>
    <s v=""/>
    <n v="266959"/>
    <x v="1"/>
    <s v="Available"/>
    <x v="1"/>
    <x v="0"/>
  </r>
  <r>
    <s v="860006000325"/>
    <x v="36"/>
    <s v="Frik &amp; Frak Cognac Pasta Sauce - 24 Oz"/>
    <n v="24"/>
    <x v="0"/>
    <d v="2021-10-31T00:00:00"/>
    <d v="2026-02-06T00:00:00"/>
    <s v="instacart"/>
    <s v=""/>
    <n v="261588"/>
    <x v="1"/>
    <s v="Available"/>
    <x v="1"/>
    <x v="0"/>
  </r>
  <r>
    <s v="609231000997"/>
    <x v="38"/>
    <s v="Boves Sodium Free Marinara Pasta Sauce"/>
    <n v="24"/>
    <x v="0"/>
    <d v="2022-02-15T00:00:00"/>
    <d v="2025-10-22T00:00:00"/>
    <s v="instacart"/>
    <s v=""/>
    <n v="264704"/>
    <x v="1"/>
    <s v="Missing"/>
    <x v="1"/>
    <x v="1"/>
  </r>
  <r>
    <s v="710996009023"/>
    <x v="100"/>
    <s v="NONNA PIAS Arrabiata Pasta Sauce, 19.4 OZ"/>
    <n v="19.399999999999999"/>
    <x v="0"/>
    <d v="2025-01-23T00:00:00"/>
    <d v="2026-02-06T00:00:00"/>
    <s v="instacart"/>
    <n v="59118033"/>
    <n v="261708"/>
    <x v="0"/>
    <s v="Available"/>
    <x v="0"/>
    <x v="0"/>
  </r>
  <r>
    <s v="727839168861"/>
    <x v="269"/>
    <s v="Ledo Pizza Creamy Vodka Pasta Sauce"/>
    <n v="24"/>
    <x v="0"/>
    <d v="2021-11-24T00:00:00"/>
    <d v="2025-07-21T00:00:00"/>
    <s v="instacart"/>
    <s v=""/>
    <n v="266846"/>
    <x v="1"/>
    <s v="Available"/>
    <x v="1"/>
    <x v="0"/>
  </r>
  <r>
    <s v="863955000200"/>
    <x v="268"/>
    <s v="The Meatball Shop Classic Tomato Sauce"/>
    <n v="24"/>
    <x v="0"/>
    <d v="2021-10-31T00:00:00"/>
    <d v="2026-02-06T00:00:00"/>
    <s v="instacart"/>
    <n v="3321051"/>
    <n v="261841"/>
    <x v="0"/>
    <s v="Available"/>
    <x v="0"/>
    <x v="0"/>
  </r>
  <r>
    <s v="400041500017"/>
    <x v="58"/>
    <s v="Fody Pasta Sauce Arrabbiata - 19.4 Oz"/>
    <n v="2.5"/>
    <x v="0"/>
    <d v="2021-10-28T00:00:00"/>
    <d v="2026-02-06T00:00:00"/>
    <s v="instacart"/>
    <n v="20111494"/>
    <n v="266307"/>
    <x v="0"/>
    <s v="Available"/>
    <x v="0"/>
    <x v="0"/>
  </r>
  <r>
    <s v="710069312029"/>
    <x v="220"/>
    <s v="Tuscanini Pizza Classic Marina Frozen - 24.3 Oz"/>
    <n v="24.3"/>
    <x v="0"/>
    <d v="2021-10-28T00:00:00"/>
    <d v="2026-02-06T00:00:00"/>
    <s v="instacart"/>
    <n v="17457614"/>
    <n v="264083"/>
    <x v="0"/>
    <s v="Available"/>
    <x v="0"/>
    <x v="0"/>
  </r>
  <r>
    <s v="036200014943"/>
    <x v="203"/>
    <s v="RagÃº Chunky Tomato, Garlic &amp; Onion Sauce, 45 oz"/>
    <n v="45"/>
    <x v="0"/>
    <d v="2021-10-28T00:00:00"/>
    <d v="2026-02-07T00:00:00"/>
    <s v="instacart"/>
    <n v="77105"/>
    <n v="267086"/>
    <x v="0"/>
    <s v="Available"/>
    <x v="0"/>
    <x v="0"/>
  </r>
  <r>
    <s v="004601516540"/>
    <x v="51"/>
    <s v="Organicville Marinara Pasta Sauce - 24 OZ"/>
    <n v="24"/>
    <x v="0"/>
    <d v="2021-10-28T00:00:00"/>
    <d v="2026-02-05T00:00:00"/>
    <s v="instacart"/>
    <n v="23801230"/>
    <n v="262191"/>
    <x v="0"/>
    <s v="Available"/>
    <x v="0"/>
    <x v="0"/>
  </r>
  <r>
    <s v="850687400064"/>
    <x v="46"/>
    <s v="California Olive Ranch Sauce, Parmesan Vodka 24 oz"/>
    <n v="25"/>
    <x v="0"/>
    <d v="2022-02-15T00:00:00"/>
    <d v="2026-02-06T00:00:00"/>
    <s v="instacart"/>
    <n v="27741062"/>
    <n v="267071"/>
    <x v="0"/>
    <s v="Available"/>
    <x v="0"/>
    <x v="0"/>
  </r>
  <r>
    <s v="074908360276"/>
    <x v="75"/>
    <s v="DelGrosso Uncle Joe's Vodka Sauce, 26 oz"/>
    <n v="26"/>
    <x v="0"/>
    <d v="2021-10-28T00:00:00"/>
    <d v="2026-02-05T00:00:00"/>
    <s v="instacart"/>
    <n v="135699"/>
    <n v="266979"/>
    <x v="0"/>
    <s v="Available"/>
    <x v="0"/>
    <x v="0"/>
  </r>
  <r>
    <s v="081319922733"/>
    <x v="65"/>
    <s v="Casa Visco Organic Homestyle Sauce"/>
    <n v="32"/>
    <x v="0"/>
    <d v="2021-10-30T00:00:00"/>
    <d v="2025-03-28T00:00:00"/>
    <s v="instacart"/>
    <s v=""/>
    <n v="266449"/>
    <x v="1"/>
    <s v="Available"/>
    <x v="1"/>
    <x v="0"/>
  </r>
  <r>
    <s v="624756995337"/>
    <x v="226"/>
    <s v="Prairie Harvest - Organic Tomato Basil Pasta Sauce"/>
    <n v="21.978764999999999"/>
    <x v="1"/>
    <d v="2021-10-28T00:00:00"/>
    <d v="2026-01-22T00:00:00"/>
    <s v="instacart"/>
    <s v=""/>
    <n v="261613"/>
    <x v="1"/>
    <s v="Available"/>
    <x v="1"/>
    <x v="0"/>
  </r>
  <r>
    <s v="074683099477"/>
    <x v="191"/>
    <s v="EMERIL PASTA SC VODKA"/>
    <n v="25"/>
    <x v="0"/>
    <d v="2021-10-28T00:00:00"/>
    <d v="2026-02-06T00:00:00"/>
    <s v="instacart"/>
    <n v="73920"/>
    <n v="264197"/>
    <x v="0"/>
    <s v="Available"/>
    <x v="0"/>
    <x v="0"/>
  </r>
  <r>
    <s v="074908360207"/>
    <x v="75"/>
    <s v="DelGrosso Extra Tomatoes Onions &amp; Garlic Pasta Sauce"/>
    <n v="24"/>
    <x v="0"/>
    <d v="2021-10-28T00:00:00"/>
    <d v="2025-07-21T00:00:00"/>
    <s v="instacart"/>
    <s v=""/>
    <n v="264101"/>
    <x v="1"/>
    <s v="Available"/>
    <x v="1"/>
    <x v="0"/>
  </r>
  <r>
    <s v="086341605166"/>
    <x v="127"/>
    <s v="The Silver Palate San Marzano Vodka Pasta Sauce 24 oz (680 g)"/>
    <n v="24"/>
    <x v="0"/>
    <d v="2021-10-28T00:00:00"/>
    <d v="2026-02-06T00:00:00"/>
    <s v="instacart"/>
    <n v="143398"/>
    <n v="261609"/>
    <x v="0"/>
    <s v="Available"/>
    <x v="0"/>
    <x v="0"/>
  </r>
  <r>
    <s v="036200004418"/>
    <x v="26"/>
    <s v="RAGU Chunky Mushroom and Green Pepper Pasta Sauce, 24 oz"/>
    <n v="24"/>
    <x v="0"/>
    <d v="2021-10-28T00:00:00"/>
    <d v="2026-02-07T00:00:00"/>
    <s v="instacart"/>
    <s v="24648941, 34890"/>
    <s v="264353, 264352"/>
    <x v="0"/>
    <s v="Available"/>
    <x v="0"/>
    <x v="0"/>
  </r>
  <r>
    <s v="852662649024"/>
    <x v="88"/>
    <s v="Pirros Pasta Sauce Marinara - 24 Oz"/>
    <n v="24"/>
    <x v="0"/>
    <d v="2021-10-28T00:00:00"/>
    <d v="2025-10-31T00:00:00"/>
    <s v="instacart"/>
    <s v=""/>
    <n v="261717"/>
    <x v="1"/>
    <s v="Available"/>
    <x v="1"/>
    <x v="0"/>
  </r>
  <r>
    <s v="673388196117"/>
    <x v="270"/>
    <s v="Clevelands Own Marinara Sauce"/>
    <n v="32"/>
    <x v="0"/>
    <d v="2021-10-28T00:00:00"/>
    <d v="2026-02-06T00:00:00"/>
    <s v="instacart"/>
    <n v="16314085"/>
    <n v="261768"/>
    <x v="0"/>
    <s v="Available"/>
    <x v="0"/>
    <x v="0"/>
  </r>
  <r>
    <s v="850069997014"/>
    <x v="31"/>
    <s v="Cravings By Chrissy Teigen Spicy Thai Basil Marinara Pasta Sauce"/>
    <n v="24"/>
    <x v="0"/>
    <d v="2025-11-13T00:00:00"/>
    <d v="2026-02-06T00:00:00"/>
    <s v="instacart"/>
    <n v="74007072"/>
    <n v="264438"/>
    <x v="0"/>
    <s v="Available"/>
    <x v="0"/>
    <x v="0"/>
  </r>
  <r>
    <s v="072368024349"/>
    <x v="99"/>
    <s v="De Lallo Pomodoro Fresco, Marinara 25.25 oz"/>
    <n v="25.25"/>
    <x v="0"/>
    <d v="2021-10-28T00:00:00"/>
    <d v="2026-02-06T00:00:00"/>
    <s v="instacart"/>
    <n v="152791"/>
    <n v="262256"/>
    <x v="0"/>
    <s v="Available"/>
    <x v="0"/>
    <x v="0"/>
  </r>
  <r>
    <s v="041129000571"/>
    <x v="19"/>
    <s v="Classico Creamy RosÃ© Pasta Sauce, 15 Oz Jar"/>
    <n v="15"/>
    <x v="0"/>
    <d v="2024-05-12T00:00:00"/>
    <d v="2026-02-07T00:00:00"/>
    <s v="instacart"/>
    <n v="43438518"/>
    <n v="261557"/>
    <x v="0"/>
    <s v="Available"/>
    <x v="0"/>
    <x v="0"/>
  </r>
  <r>
    <s v="049539524861"/>
    <x v="59"/>
    <s v="Cascones Cascone's Marinara Sauce 26oz"/>
    <n v="26"/>
    <x v="0"/>
    <d v="2021-10-28T00:00:00"/>
    <d v="2026-02-03T00:00:00"/>
    <s v="instacart"/>
    <s v=""/>
    <n v="264215"/>
    <x v="1"/>
    <s v="Available"/>
    <x v="1"/>
    <x v="0"/>
  </r>
  <r>
    <s v="747479000048"/>
    <x v="2"/>
    <s v="Rao's Arrabbiata Sauce, 24oz"/>
    <n v="24"/>
    <x v="0"/>
    <d v="2021-10-28T00:00:00"/>
    <d v="2026-02-07T00:00:00"/>
    <s v="instacart"/>
    <n v="24805"/>
    <n v="262617"/>
    <x v="0"/>
    <s v="Available"/>
    <x v="0"/>
    <x v="0"/>
  </r>
  <r>
    <s v="760229002000"/>
    <x v="271"/>
    <s v="Rizzo's Sauce, Homemade Spaghetti"/>
    <n v="24"/>
    <x v="0"/>
    <d v="2021-10-28T00:00:00"/>
    <d v="2026-02-06T00:00:00"/>
    <s v="instacart"/>
    <s v=""/>
    <n v="266451"/>
    <x v="1"/>
    <s v="Available"/>
    <x v="1"/>
    <x v="0"/>
  </r>
  <r>
    <s v="854021001108"/>
    <x v="53"/>
    <s v="Valentinos Sweet Basil Spaghetti Sauce"/>
    <n v="24"/>
    <x v="0"/>
    <d v="2023-02-23T00:00:00"/>
    <d v="2026-02-04T00:00:00"/>
    <s v="instacart"/>
    <s v=""/>
    <n v="266638"/>
    <x v="1"/>
    <s v="Available"/>
    <x v="1"/>
    <x v="0"/>
  </r>
  <r>
    <s v="738529000460"/>
    <x v="236"/>
    <s v="Rg Tomato Sauce With Cheese - 8 Oz"/>
    <n v="8"/>
    <x v="0"/>
    <d v="2021-10-28T00:00:00"/>
    <d v="2026-02-06T00:00:00"/>
    <s v="instacart"/>
    <n v="16560542"/>
    <n v="267040"/>
    <x v="0"/>
    <s v="Available"/>
    <x v="0"/>
    <x v="0"/>
  </r>
  <r>
    <s v="859935002005"/>
    <x v="38"/>
    <s v="Spinato's Marinara Sauce"/>
    <n v="24"/>
    <x v="0"/>
    <d v="2021-10-28T00:00:00"/>
    <d v="2026-02-06T00:00:00"/>
    <s v="instacart"/>
    <n v="17071006"/>
    <n v="264583"/>
    <x v="0"/>
    <s v="Missing"/>
    <x v="0"/>
    <x v="1"/>
  </r>
  <r>
    <s v="677294991118"/>
    <x v="38"/>
    <s v="Cucina Antica la vo"/>
    <n v="16"/>
    <x v="0"/>
    <d v="2021-10-31T00:00:00"/>
    <d v="2026-02-06T00:00:00"/>
    <s v="instacart"/>
    <s v=""/>
    <n v="264247"/>
    <x v="1"/>
    <s v="Missing"/>
    <x v="1"/>
    <x v="1"/>
  </r>
  <r>
    <s v="745051932084"/>
    <x v="120"/>
    <s v="Yo Mama's Foods Keto Vodka Pasta Sauce, No Sugar Added, Low Carb"/>
    <m/>
    <x v="2"/>
    <d v="2022-11-01T00:00:00"/>
    <d v="2023-06-22T00:00:00"/>
    <s v="instacart"/>
    <s v=""/>
    <n v="264429"/>
    <x v="1"/>
    <s v="Available"/>
    <x v="1"/>
    <x v="0"/>
  </r>
  <r>
    <s v="710033916338"/>
    <x v="207"/>
    <s v="Nonna Carmen Italian Style Marinara Sauce, 24 oz"/>
    <n v="24"/>
    <x v="0"/>
    <d v="2022-06-01T00:00:00"/>
    <d v="2026-02-04T00:00:00"/>
    <s v="instacart"/>
    <n v="21511066"/>
    <n v="262133"/>
    <x v="0"/>
    <s v="Available"/>
    <x v="0"/>
    <x v="0"/>
  </r>
  <r>
    <s v="852300001023"/>
    <x v="238"/>
    <s v="Il Mulino Pasta Sauce, Pomodoro 24 oz"/>
    <n v="24"/>
    <x v="0"/>
    <d v="2021-10-28T00:00:00"/>
    <d v="2026-02-06T00:00:00"/>
    <s v="instacart"/>
    <n v="424842"/>
    <n v="264764"/>
    <x v="0"/>
    <s v="Available"/>
    <x v="0"/>
    <x v="0"/>
  </r>
  <r>
    <s v="036200014219"/>
    <x v="15"/>
    <s v="Ragu Old World Style Traditional Sauce"/>
    <n v="45"/>
    <x v="0"/>
    <d v="2021-11-01T00:00:00"/>
    <d v="2025-03-28T00:00:00"/>
    <s v="instacart"/>
    <s v=""/>
    <n v="264706"/>
    <x v="1"/>
    <s v="Available"/>
    <x v="1"/>
    <x v="0"/>
  </r>
  <r>
    <s v="854021001115"/>
    <x v="53"/>
    <s v="Valentinos Spaghetti Sauce"/>
    <n v="24"/>
    <x v="0"/>
    <d v="2023-02-23T00:00:00"/>
    <d v="2026-02-04T00:00:00"/>
    <s v="instacart"/>
    <s v=""/>
    <n v="261571"/>
    <x v="1"/>
    <s v="Available"/>
    <x v="1"/>
    <x v="0"/>
  </r>
  <r>
    <s v="609231000072"/>
    <x v="81"/>
    <s v="Boves Pasta Sauce Basil - 24 Oz"/>
    <n v="24"/>
    <x v="0"/>
    <d v="2021-10-28T00:00:00"/>
    <d v="2026-02-06T00:00:00"/>
    <s v="instacart"/>
    <n v="98559"/>
    <n v="264281"/>
    <x v="0"/>
    <s v="Available"/>
    <x v="0"/>
    <x v="0"/>
  </r>
  <r>
    <s v="051000270153"/>
    <x v="5"/>
    <s v="Prego Mushroom Pasta Sauce, 45 oz"/>
    <n v="45"/>
    <x v="0"/>
    <d v="2021-10-28T00:00:00"/>
    <d v="2026-02-07T00:00:00"/>
    <s v="instacart"/>
    <n v="19950576"/>
    <n v="266329"/>
    <x v="0"/>
    <s v="Available"/>
    <x v="0"/>
    <x v="0"/>
  </r>
  <r>
    <s v="074908360139"/>
    <x v="272"/>
    <s v="Del Grosso Garden Style Pasta Sauce"/>
    <n v="24"/>
    <x v="0"/>
    <d v="2021-10-31T00:00:00"/>
    <d v="2026-02-06T00:00:00"/>
    <s v="instacart"/>
    <s v=""/>
    <n v="264025"/>
    <x v="1"/>
    <s v="Available"/>
    <x v="1"/>
    <x v="0"/>
  </r>
  <r>
    <s v="706010112961"/>
    <x v="174"/>
    <s v="Barilla Premium Tomato &amp; Basil Pasta Sauce 24 Oz"/>
    <n v="24"/>
    <x v="0"/>
    <d v="2021-10-28T00:00:00"/>
    <d v="2026-02-06T00:00:00"/>
    <s v="instacart"/>
    <n v="2581475"/>
    <n v="264660"/>
    <x v="0"/>
    <s v="Available"/>
    <x v="0"/>
    <x v="0"/>
  </r>
  <r>
    <s v="080602026301"/>
    <x v="77"/>
    <s v="Sclafani Filetto Di Pomodoro Sauce"/>
    <n v="32"/>
    <x v="0"/>
    <d v="2021-10-31T00:00:00"/>
    <d v="2026-02-06T00:00:00"/>
    <s v="instacart"/>
    <n v="227969"/>
    <n v="266391"/>
    <x v="0"/>
    <s v="Available"/>
    <x v="0"/>
    <x v="0"/>
  </r>
  <r>
    <s v="073214009480"/>
    <x v="14"/>
    <s v="Mezzetta Marinara Sauce 24.5 oz (1 lb 8.5 oz) 695 g"/>
    <n v="24"/>
    <x v="1"/>
    <d v="2021-10-28T00:00:00"/>
    <d v="2026-02-07T00:00:00"/>
    <s v="instacart"/>
    <n v="24822"/>
    <n v="261798"/>
    <x v="0"/>
    <s v="Available"/>
    <x v="0"/>
    <x v="0"/>
  </r>
  <r>
    <s v="719433100033"/>
    <x v="273"/>
    <s v="Roasted Tomato Marinara Sauce, 11 OZ"/>
    <n v="11"/>
    <x v="0"/>
    <d v="2021-10-31T00:00:00"/>
    <d v="2026-02-04T00:00:00"/>
    <s v="instacart"/>
    <s v=""/>
    <n v="266435"/>
    <x v="1"/>
    <s v="Available"/>
    <x v="1"/>
    <x v="0"/>
  </r>
  <r>
    <s v="090972500035"/>
    <x v="266"/>
    <s v="Belletieri's Marinara Sauce"/>
    <n v="24"/>
    <x v="0"/>
    <d v="2021-10-28T00:00:00"/>
    <d v="2026-02-06T00:00:00"/>
    <s v="instacart"/>
    <n v="17316372"/>
    <n v="261718"/>
    <x v="0"/>
    <s v="Available"/>
    <x v="0"/>
    <x v="0"/>
  </r>
  <r>
    <s v="896175002327"/>
    <x v="156"/>
    <s v="Ethnic Cottage Garden Vegetable Jersey Tomato Sauce, 25 oz"/>
    <n v="25"/>
    <x v="0"/>
    <d v="2021-10-31T00:00:00"/>
    <d v="2026-02-06T00:00:00"/>
    <s v="instacart"/>
    <n v="159299"/>
    <n v="264469"/>
    <x v="0"/>
    <s v="Available"/>
    <x v="0"/>
    <x v="0"/>
  </r>
  <r>
    <s v="860008191830"/>
    <x v="36"/>
    <s v="Gradys Garden Chunky Pasta Sauce - 24 OZ"/>
    <n v="24"/>
    <x v="0"/>
    <d v="2024-08-25T00:00:00"/>
    <d v="2026-02-05T00:00:00"/>
    <s v="instacart"/>
    <s v=""/>
    <n v="261865"/>
    <x v="1"/>
    <s v="Available"/>
    <x v="1"/>
    <x v="0"/>
  </r>
  <r>
    <s v="878877000047"/>
    <x v="38"/>
    <s v="Agromonte Arrabbiata Pasta Sauce"/>
    <n v="20.46"/>
    <x v="0"/>
    <d v="2021-10-28T00:00:00"/>
    <d v="2026-02-06T00:00:00"/>
    <s v="instacart"/>
    <n v="19853670"/>
    <n v="262127"/>
    <x v="0"/>
    <s v="Missing"/>
    <x v="0"/>
    <x v="1"/>
  </r>
  <r>
    <s v="074908360481"/>
    <x v="75"/>
    <s v="Del Grosso 45oz. Meat Flavored"/>
    <n v="45"/>
    <x v="0"/>
    <d v="2021-10-28T00:00:00"/>
    <d v="2026-02-06T00:00:00"/>
    <s v="instacart"/>
    <n v="16983264"/>
    <n v="261740"/>
    <x v="0"/>
    <s v="Available"/>
    <x v="0"/>
    <x v="0"/>
  </r>
  <r>
    <s v="029737600406"/>
    <x v="18"/>
    <s v="Marinara Sauce, 12 OZ"/>
    <n v="12"/>
    <x v="0"/>
    <d v="2023-09-27T00:00:00"/>
    <d v="2026-02-05T00:00:00"/>
    <s v="instacart"/>
    <n v="34648749"/>
    <n v="261833"/>
    <x v="0"/>
    <s v="Available"/>
    <x v="0"/>
    <x v="0"/>
  </r>
  <r>
    <s v="086000925864"/>
    <x v="86"/>
    <s v="Pasta Jays Classic Marinara Sauce - 26 Oz"/>
    <n v="26"/>
    <x v="0"/>
    <d v="2023-01-19T00:00:00"/>
    <d v="2026-02-06T00:00:00"/>
    <s v="instacart"/>
    <n v="29142063"/>
    <n v="261767"/>
    <x v="0"/>
    <s v="Available"/>
    <x v="0"/>
    <x v="0"/>
  </r>
  <r>
    <s v="860009258617"/>
    <x v="86"/>
    <s v="Pasta Jays Creamy Tomato Sauce - 26 Oz"/>
    <n v="26"/>
    <x v="0"/>
    <d v="2023-01-08T00:00:00"/>
    <d v="2026-02-06T00:00:00"/>
    <s v="instacart"/>
    <n v="29141971"/>
    <n v="264313"/>
    <x v="0"/>
    <s v="Available"/>
    <x v="0"/>
    <x v="0"/>
  </r>
  <r>
    <s v="689076798389"/>
    <x v="38"/>
    <s v="Michaels Meat Sauce"/>
    <n v="32"/>
    <x v="0"/>
    <d v="2021-10-28T00:00:00"/>
    <d v="2026-02-05T00:00:00"/>
    <s v="instacart"/>
    <n v="17454830"/>
    <n v="267105"/>
    <x v="0"/>
    <s v="Missing"/>
    <x v="0"/>
    <x v="1"/>
  </r>
  <r>
    <s v="027000500118"/>
    <x v="24"/>
    <s v="Hunt's Garlic &amp; Herb Pasta Sauce - 24 Oz"/>
    <n v="24"/>
    <x v="0"/>
    <d v="2021-10-28T00:00:00"/>
    <d v="2026-02-07T00:00:00"/>
    <s v="instacart"/>
    <n v="16409978"/>
    <n v="266454"/>
    <x v="0"/>
    <s v="Available"/>
    <x v="0"/>
    <x v="0"/>
  </r>
  <r>
    <s v="855019000356"/>
    <x v="44"/>
    <s v="Botticelli Pasta Sauce Premium Roasted Garlic - 24 Oz"/>
    <n v="24"/>
    <x v="0"/>
    <d v="2021-10-28T00:00:00"/>
    <d v="2026-02-06T00:00:00"/>
    <s v="instacart"/>
    <n v="3356571"/>
    <n v="266407"/>
    <x v="0"/>
    <s v="Available"/>
    <x v="0"/>
    <x v="0"/>
  </r>
  <r>
    <s v="033157500123"/>
    <x v="103"/>
    <s v="Don Pomodoro Sauce Traditional Marianara Jar - 24.3 Oz"/>
    <n v="24.3"/>
    <x v="0"/>
    <d v="2021-10-28T00:00:00"/>
    <d v="2026-02-06T00:00:00"/>
    <s v="instacart"/>
    <n v="168531"/>
    <n v="264232"/>
    <x v="0"/>
    <s v="Available"/>
    <x v="0"/>
    <x v="0"/>
  </r>
  <r>
    <s v="024000523727"/>
    <x v="134"/>
    <s v="Del Monte, Chunky Pasta Sauce, Garlic &amp; Herb, 24 oz, Shelf Stable, Aluminum Can"/>
    <n v="24"/>
    <x v="0"/>
    <d v="2021-10-28T00:00:00"/>
    <d v="2026-02-06T00:00:00"/>
    <s v="instacart"/>
    <n v="333876"/>
    <n v="266829"/>
    <x v="0"/>
    <s v="Available"/>
    <x v="0"/>
    <x v="0"/>
  </r>
  <r>
    <s v="677294999015"/>
    <x v="3"/>
    <s v="Monte Bene Garlic Marinara Pasta Sauce, 24 oz"/>
    <n v="24"/>
    <x v="0"/>
    <d v="2021-10-28T00:00:00"/>
    <d v="2026-02-05T00:00:00"/>
    <s v="instacart"/>
    <n v="53417"/>
    <n v="261543"/>
    <x v="0"/>
    <s v="Available"/>
    <x v="0"/>
    <x v="0"/>
  </r>
  <r>
    <s v="041129274453"/>
    <x v="274"/>
    <s v="Classico Cabernet Marinara With Herbs Pasta Sauce, 24 oz Jar"/>
    <n v="24"/>
    <x v="0"/>
    <d v="2021-10-28T00:00:00"/>
    <d v="2026-02-06T00:00:00"/>
    <s v="instacart"/>
    <n v="91511"/>
    <n v="264471"/>
    <x v="0"/>
    <s v="Available"/>
    <x v="0"/>
    <x v="0"/>
  </r>
  <r>
    <s v="037363987822"/>
    <x v="42"/>
    <s v="Michael Angelo's Sauce, Roasted Garlic, Vine-Ripened Tomatoes, Slow Simmered"/>
    <n v="24"/>
    <x v="0"/>
    <d v="2023-01-09T00:00:00"/>
    <d v="2026-02-07T00:00:00"/>
    <s v="instacart"/>
    <n v="29203294"/>
    <n v="267037"/>
    <x v="0"/>
    <s v="Available"/>
    <x v="0"/>
    <x v="0"/>
  </r>
  <r>
    <s v="860004511519"/>
    <x v="225"/>
    <s v="Pasta Sauce, Vodka Cream 26 oz"/>
    <n v="26"/>
    <x v="0"/>
    <d v="2021-11-02T00:00:00"/>
    <d v="2025-01-26T00:00:00"/>
    <s v="instacart"/>
    <s v=""/>
    <n v="261810"/>
    <x v="1"/>
    <s v="Available"/>
    <x v="1"/>
    <x v="0"/>
  </r>
  <r>
    <s v="041129077429"/>
    <x v="19"/>
    <s v="Classico Spicy Red Pepper Pasta Sauce, 24 oz Jar"/>
    <n v="24"/>
    <x v="0"/>
    <d v="2021-10-28T00:00:00"/>
    <d v="2026-02-06T00:00:00"/>
    <s v="instacart"/>
    <n v="73908"/>
    <n v="262289"/>
    <x v="0"/>
    <s v="Available"/>
    <x v="0"/>
    <x v="0"/>
  </r>
  <r>
    <s v="057000012595"/>
    <x v="19"/>
    <s v="Classico - Tuscan Olive and Garlic Sauce"/>
    <n v="20.288091000000001"/>
    <x v="1"/>
    <d v="2024-12-05T00:00:00"/>
    <d v="2026-02-05T00:00:00"/>
    <s v="instacart"/>
    <s v=""/>
    <n v="261579"/>
    <x v="1"/>
    <s v="Available"/>
    <x v="1"/>
    <x v="0"/>
  </r>
  <r>
    <s v="747479000604"/>
    <x v="49"/>
    <s v="Rao's Homemade Sensitive Marinara Pasta Sauce, Keto Friendly, Low Carb 24 oz"/>
    <n v="24"/>
    <x v="0"/>
    <d v="2021-10-28T00:00:00"/>
    <d v="2026-02-07T00:00:00"/>
    <s v="instacart"/>
    <s v="34627147, 53411"/>
    <s v="267106, 267107"/>
    <x v="0"/>
    <s v="Available"/>
    <x v="0"/>
    <x v="0"/>
  </r>
  <r>
    <s v="051000015884"/>
    <x v="5"/>
    <s v="PREGO TRADITIONAL SAUCE"/>
    <n v="67"/>
    <x v="0"/>
    <d v="2021-10-28T00:00:00"/>
    <d v="2026-02-07T00:00:00"/>
    <s v="instacart"/>
    <n v="36107"/>
    <n v="262628"/>
    <x v="0"/>
    <s v="Available"/>
    <x v="0"/>
    <x v="0"/>
  </r>
  <r>
    <s v="753469010065"/>
    <x v="73"/>
    <s v="Dave's Gourmet Gluten Free Butternut Squash Pasta Sauce 24 oz"/>
    <n v="25.5"/>
    <x v="0"/>
    <d v="2021-10-28T00:00:00"/>
    <d v="2026-02-06T00:00:00"/>
    <s v="instacart"/>
    <n v="49168"/>
    <n v="264067"/>
    <x v="0"/>
    <s v="Available"/>
    <x v="0"/>
    <x v="0"/>
  </r>
  <r>
    <s v="810095661860"/>
    <x v="44"/>
    <s v="Traditional Sauce, 24 OZ"/>
    <n v="24"/>
    <x v="0"/>
    <d v="2025-01-29T00:00:00"/>
    <d v="2026-02-06T00:00:00"/>
    <s v="instacart"/>
    <n v="66362429"/>
    <n v="261745"/>
    <x v="0"/>
    <s v="Available"/>
    <x v="0"/>
    <x v="0"/>
  </r>
  <r>
    <s v="074908370046"/>
    <x v="75"/>
    <s v="Delgrosso Organic Pasta Sce Marinara Org - 24 Oz"/>
    <n v="24"/>
    <x v="0"/>
    <d v="2021-10-28T00:00:00"/>
    <d v="2026-02-06T00:00:00"/>
    <s v="instacart"/>
    <n v="17849966"/>
    <n v="264248"/>
    <x v="0"/>
    <s v="Available"/>
    <x v="0"/>
    <x v="0"/>
  </r>
  <r>
    <s v="051000276551"/>
    <x v="45"/>
    <s v="PregoÂ® Hidden Super Veggies Traditional Pasta Sauce, 24 oz Jar"/>
    <n v="24"/>
    <x v="0"/>
    <d v="2021-10-28T00:00:00"/>
    <d v="2026-02-06T00:00:00"/>
    <s v="instacart"/>
    <n v="21829876"/>
    <n v="262208"/>
    <x v="0"/>
    <s v="Available"/>
    <x v="0"/>
    <x v="0"/>
  </r>
  <r>
    <s v="747479101714"/>
    <x v="7"/>
    <s v="Rao's Homemade | Vodka Arrabbiata Sauce | 24 oz"/>
    <n v="24"/>
    <x v="0"/>
    <d v="2023-06-04T00:00:00"/>
    <d v="2026-02-06T00:00:00"/>
    <s v="instacart"/>
    <n v="30373545"/>
    <n v="266618"/>
    <x v="0"/>
    <s v="Available"/>
    <x v="0"/>
    <x v="0"/>
  </r>
  <r>
    <s v="860009258624"/>
    <x v="86"/>
    <s v="Pasta Jays Basil Tomato Sauce - 26 Oz"/>
    <n v="26"/>
    <x v="0"/>
    <d v="2023-01-08T00:00:00"/>
    <d v="2026-02-06T00:00:00"/>
    <s v="instacart"/>
    <n v="29148223"/>
    <n v="261892"/>
    <x v="0"/>
    <s v="Available"/>
    <x v="0"/>
    <x v="0"/>
  </r>
  <r>
    <s v="046015165419"/>
    <x v="51"/>
    <s v="Organicville Tomato Basil Pasta Sauce - 24 OZ"/>
    <n v="24"/>
    <x v="0"/>
    <d v="2021-10-28T00:00:00"/>
    <d v="2026-02-06T00:00:00"/>
    <s v="instacart"/>
    <n v="23801236"/>
    <n v="264730"/>
    <x v="0"/>
    <s v="Available"/>
    <x v="0"/>
    <x v="0"/>
  </r>
  <r>
    <s v="850017990012"/>
    <x v="38"/>
    <s v="Carmine's - Marinara Sauce"/>
    <n v="32"/>
    <x v="0"/>
    <d v="2023-01-22T00:00:00"/>
    <d v="2026-02-06T00:00:00"/>
    <s v="instacart"/>
    <n v="27593138"/>
    <n v="266283"/>
    <x v="0"/>
    <s v="Missing"/>
    <x v="0"/>
    <x v="1"/>
  </r>
  <r>
    <s v="036200226285"/>
    <x v="6"/>
    <s v="Bertolli Pasta Sauce with Portobello Mushrooms, Spaghetti Tomato Sauce, 24 oz"/>
    <n v="24"/>
    <x v="0"/>
    <d v="2021-10-28T00:00:00"/>
    <d v="2026-02-06T00:00:00"/>
    <s v="instacart"/>
    <n v="283663"/>
    <n v="266869"/>
    <x v="0"/>
    <s v="Available"/>
    <x v="0"/>
    <x v="0"/>
  </r>
  <r>
    <s v="024000523666"/>
    <x v="134"/>
    <s v="Del Monte Mushroom Pasta Sauce, 24 oz"/>
    <n v="24"/>
    <x v="0"/>
    <d v="2021-10-28T00:00:00"/>
    <d v="2026-02-06T00:00:00"/>
    <s v="instacart"/>
    <n v="252568"/>
    <n v="261867"/>
    <x v="0"/>
    <s v="Available"/>
    <x v="0"/>
    <x v="0"/>
  </r>
  <r>
    <s v="852300001153"/>
    <x v="238"/>
    <s v="Il Mulino Vodka Sauce - 24 OZ"/>
    <n v="24"/>
    <x v="0"/>
    <d v="2021-11-02T00:00:00"/>
    <d v="2026-02-06T00:00:00"/>
    <s v="instacart"/>
    <n v="288441"/>
    <n v="261849"/>
    <x v="0"/>
    <s v="Available"/>
    <x v="0"/>
    <x v="0"/>
  </r>
  <r>
    <s v="039153500174"/>
    <x v="275"/>
    <s v="Colavita Marinara Sauce, 13.76 oz"/>
    <n v="13.76"/>
    <x v="0"/>
    <d v="2021-10-31T00:00:00"/>
    <d v="2026-02-06T00:00:00"/>
    <s v="instacart"/>
    <n v="25110687"/>
    <n v="261779"/>
    <x v="0"/>
    <s v="Available"/>
    <x v="0"/>
    <x v="0"/>
  </r>
  <r>
    <s v="860002303642"/>
    <x v="23"/>
    <s v="Gino Angelini Limone Pasta Sauce GF"/>
    <n v="15"/>
    <x v="0"/>
    <d v="2021-10-28T00:00:00"/>
    <d v="2024-04-04T00:00:00"/>
    <s v="instacart"/>
    <s v=""/>
    <n v="264428"/>
    <x v="1"/>
    <s v="Available"/>
    <x v="1"/>
    <x v="0"/>
  </r>
  <r>
    <s v="062639373191"/>
    <x v="83"/>
    <s v="Only Goodness - Organic Tomato Basil Pasta Sauce"/>
    <n v="22.993169999999999"/>
    <x v="1"/>
    <d v="2023-11-03T00:00:00"/>
    <d v="2025-12-04T00:00:00"/>
    <s v="instacart"/>
    <s v=""/>
    <n v="261792"/>
    <x v="1"/>
    <s v="Available"/>
    <x v="1"/>
    <x v="0"/>
  </r>
  <r>
    <s v="816106020121"/>
    <x v="86"/>
    <s v="Pasta Jay'sÂ® Tomato Basil Italian Pasta Sauce"/>
    <n v="25"/>
    <x v="0"/>
    <d v="2021-10-28T00:00:00"/>
    <d v="2025-09-18T00:00:00"/>
    <s v="instacart"/>
    <s v=""/>
    <n v="267056"/>
    <x v="1"/>
    <s v="Available"/>
    <x v="1"/>
    <x v="0"/>
  </r>
  <r>
    <s v="036200431221"/>
    <x v="15"/>
    <s v="Ragu Simply Traditional Pasta Sauce"/>
    <n v="45"/>
    <x v="0"/>
    <d v="2021-10-28T00:00:00"/>
    <d v="2025-03-28T00:00:00"/>
    <s v="instacart"/>
    <s v=""/>
    <n v="264435"/>
    <x v="1"/>
    <s v="Available"/>
    <x v="1"/>
    <x v="0"/>
  </r>
  <r>
    <s v="041129274606"/>
    <x v="19"/>
    <s v="Classico Tomato &amp; Basil Pasta Sauce, 3 pk./32 oz."/>
    <n v="32"/>
    <x v="0"/>
    <d v="2021-10-28T00:00:00"/>
    <d v="2026-02-06T00:00:00"/>
    <s v="instacart"/>
    <s v=""/>
    <n v="264171"/>
    <x v="1"/>
    <s v="Available"/>
    <x v="1"/>
    <x v="0"/>
  </r>
  <r>
    <s v="036200431788"/>
    <x v="102"/>
    <s v="Cucina Moderna Robust Marinara Pasta Sauce - 20 Oz"/>
    <n v="20"/>
    <x v="0"/>
    <d v="2023-06-25T00:00:00"/>
    <d v="2026-02-06T00:00:00"/>
    <s v="instacart"/>
    <n v="31998942"/>
    <n v="261600"/>
    <x v="0"/>
    <s v="Available"/>
    <x v="0"/>
    <x v="0"/>
  </r>
  <r>
    <s v="070796900273"/>
    <x v="276"/>
    <s v="Tomato Basil Pasta Sauce, 25.5 OZ"/>
    <n v="25.5"/>
    <x v="0"/>
    <d v="2025-01-23T00:00:00"/>
    <d v="2026-02-04T00:00:00"/>
    <s v="instacart"/>
    <s v=""/>
    <n v="262576"/>
    <x v="1"/>
    <s v="Available"/>
    <x v="1"/>
    <x v="0"/>
  </r>
  <r>
    <s v="710069175259"/>
    <x v="69"/>
    <s v="Gefen Pasta Sauce, Tomato Basil"/>
    <n v="26"/>
    <x v="0"/>
    <d v="2021-10-28T00:00:00"/>
    <d v="2026-02-06T00:00:00"/>
    <s v="instacart"/>
    <n v="1387308"/>
    <n v="264408"/>
    <x v="0"/>
    <s v="Available"/>
    <x v="0"/>
    <x v="0"/>
  </r>
  <r>
    <s v="628719692011"/>
    <x v="265"/>
    <s v="Yo Mamaâ€™s - Tomato Basil Pasta Sauce"/>
    <n v="24.007574000000002"/>
    <x v="1"/>
    <d v="2025-11-20T00:00:00"/>
    <d v="2026-02-05T00:00:00"/>
    <s v="instacart"/>
    <s v=""/>
    <n v="264321"/>
    <x v="1"/>
    <s v="Available"/>
    <x v="1"/>
    <x v="0"/>
  </r>
  <r>
    <s v="036200431160"/>
    <x v="6"/>
    <s v="Bertolli Parmesan And Romano Sauce, Authentic Tuscan Style Pasta Sauce Made With Vine Ripened Tomatoes, Cheeses And Cracked Black Pepper, 24 Oz 24 oz"/>
    <n v="24"/>
    <x v="0"/>
    <d v="2021-10-28T00:00:00"/>
    <d v="2026-02-06T00:00:00"/>
    <s v="instacart"/>
    <n v="20034385"/>
    <n v="261753"/>
    <x v="0"/>
    <s v="Available"/>
    <x v="0"/>
    <x v="0"/>
  </r>
  <r>
    <s v="855019004033"/>
    <x v="96"/>
    <s v="Michaels Of Brooklyn Puttanesca Sauce 32 oz"/>
    <n v="32"/>
    <x v="0"/>
    <d v="2021-10-28T00:00:00"/>
    <d v="2026-02-06T00:00:00"/>
    <s v="instacart"/>
    <n v="110868"/>
    <n v="266425"/>
    <x v="0"/>
    <s v="Available"/>
    <x v="0"/>
    <x v="0"/>
  </r>
  <r>
    <s v="860000689502"/>
    <x v="277"/>
    <s v="Not Just 10 Veggie Pasta Sauce, 16 oz"/>
    <n v="16"/>
    <x v="0"/>
    <d v="2023-10-02T00:00:00"/>
    <d v="2025-10-31T00:00:00"/>
    <s v="instacart"/>
    <s v=""/>
    <n v="264028"/>
    <x v="1"/>
    <s v="Available"/>
    <x v="1"/>
    <x v="0"/>
  </r>
  <r>
    <s v="725342293469"/>
    <x v="38"/>
    <s v="Muir Glen - Muirglen Rst Tom Psta Sauce"/>
    <n v="1"/>
    <x v="0"/>
    <d v="2021-10-28T00:00:00"/>
    <d v="2026-02-06T00:00:00"/>
    <s v="instacart"/>
    <s v=""/>
    <n v="267061"/>
    <x v="1"/>
    <s v="Missing"/>
    <x v="1"/>
    <x v="1"/>
  </r>
  <r>
    <s v="747479001137"/>
    <x v="2"/>
    <s v="Raos Sauce Vodka - 32 Oz"/>
    <n v="32"/>
    <x v="0"/>
    <d v="2021-10-28T00:00:00"/>
    <d v="2026-02-07T00:00:00"/>
    <s v="instacart"/>
    <n v="20128007"/>
    <n v="266382"/>
    <x v="0"/>
    <s v="Available"/>
    <x v="0"/>
    <x v="0"/>
  </r>
  <r>
    <s v="816106020145"/>
    <x v="86"/>
    <s v="Pasta Jays Sauce Pasta Marinara - 25 Oz"/>
    <n v="25"/>
    <x v="0"/>
    <d v="2021-10-28T00:00:00"/>
    <d v="2025-09-18T00:00:00"/>
    <s v="instacart"/>
    <s v=""/>
    <n v="267060"/>
    <x v="1"/>
    <s v="Available"/>
    <x v="1"/>
    <x v="0"/>
  </r>
  <r>
    <s v="747479001069"/>
    <x v="7"/>
    <s v="Rao's, Tomato Basil Sauce Family Size, 40 OZ"/>
    <n v="40"/>
    <x v="0"/>
    <d v="2025-04-09T00:00:00"/>
    <d v="2026-02-06T00:00:00"/>
    <s v="instacart"/>
    <n v="19461179"/>
    <n v="262218"/>
    <x v="0"/>
    <s v="Available"/>
    <x v="0"/>
    <x v="0"/>
  </r>
  <r>
    <s v="077644900409"/>
    <x v="0"/>
    <s v="Francesco Rinaldi Tomato, Garlic &amp; Onion Sauce, 24 oz"/>
    <n v="24"/>
    <x v="0"/>
    <d v="2021-10-28T00:00:00"/>
    <d v="2026-02-06T00:00:00"/>
    <s v="instacart"/>
    <n v="39369"/>
    <n v="262152"/>
    <x v="0"/>
    <s v="Available"/>
    <x v="0"/>
    <x v="0"/>
  </r>
  <r>
    <s v="700982133092"/>
    <x v="66"/>
    <s v="Frank's All Natural New York Style Sicilian Gravy Pasta Sauce"/>
    <n v="26"/>
    <x v="0"/>
    <d v="2021-11-02T00:00:00"/>
    <d v="2025-06-09T00:00:00"/>
    <s v="instacart"/>
    <s v=""/>
    <n v="261478"/>
    <x v="1"/>
    <s v="Available"/>
    <x v="1"/>
    <x v="0"/>
  </r>
  <r>
    <s v="850024735095"/>
    <x v="54"/>
    <s v="Carbone Arrabbiata"/>
    <n v="32"/>
    <x v="0"/>
    <d v="2022-03-13T00:00:00"/>
    <d v="2026-02-06T00:00:00"/>
    <s v="instacart"/>
    <n v="27089174"/>
    <n v="261742"/>
    <x v="0"/>
    <s v="Available"/>
    <x v="0"/>
    <x v="0"/>
  </r>
  <r>
    <s v="051000027962"/>
    <x v="234"/>
    <s v="Prego Mushroom Pasta Sauce, 24 oz Jar"/>
    <n v="24"/>
    <x v="0"/>
    <d v="2021-10-28T00:00:00"/>
    <d v="2026-02-07T00:00:00"/>
    <s v="instacart"/>
    <n v="39353"/>
    <n v="266347"/>
    <x v="0"/>
    <s v="Available"/>
    <x v="0"/>
    <x v="0"/>
  </r>
  <r>
    <s v="057000012441"/>
    <x v="19"/>
    <s v="Classico - Tomato &amp; Basil"/>
    <n v="20.288091000000001"/>
    <x v="1"/>
    <d v="2024-09-27T00:00:00"/>
    <d v="2026-02-05T00:00:00"/>
    <s v="instacart"/>
    <s v=""/>
    <n v="264272"/>
    <x v="1"/>
    <s v="Available"/>
    <x v="1"/>
    <x v="0"/>
  </r>
  <r>
    <s v="850015101007"/>
    <x v="137"/>
    <s v="Just Like Home Marinara Buttery"/>
    <n v="25"/>
    <x v="0"/>
    <d v="2021-10-28T00:00:00"/>
    <d v="2026-02-05T00:00:00"/>
    <s v="instacart"/>
    <n v="23538514"/>
    <n v="264205"/>
    <x v="0"/>
    <s v="Available"/>
    <x v="0"/>
    <x v="0"/>
  </r>
  <r>
    <s v="027000500019"/>
    <x v="24"/>
    <s v="Hunt's Pasta Sauce, Zesty &amp; Spicy 24 Oz"/>
    <n v="24"/>
    <x v="0"/>
    <d v="2021-10-28T00:00:00"/>
    <d v="2026-02-06T00:00:00"/>
    <s v="instacart"/>
    <n v="36095"/>
    <n v="262291"/>
    <x v="0"/>
    <s v="Available"/>
    <x v="0"/>
    <x v="0"/>
  </r>
  <r>
    <s v="879026010184"/>
    <x v="167"/>
    <s v="Bono Pasta Sauce, Alla Vodka, Italian"/>
    <n v="24"/>
    <x v="0"/>
    <d v="2023-04-19T00:00:00"/>
    <d v="2026-02-04T00:00:00"/>
    <s v="instacart"/>
    <n v="30529941"/>
    <n v="264021"/>
    <x v="0"/>
    <s v="Available"/>
    <x v="0"/>
    <x v="0"/>
  </r>
  <r>
    <s v="039153500204"/>
    <x v="278"/>
    <s v="Colavita - Tomato Basil Pasta Sauce (13.76 Oz)"/>
    <n v="13.76"/>
    <x v="0"/>
    <d v="2021-10-31T00:00:00"/>
    <d v="2026-02-05T00:00:00"/>
    <s v="instacart"/>
    <n v="25055361"/>
    <n v="266825"/>
    <x v="0"/>
    <s v="Available"/>
    <x v="0"/>
    <x v="0"/>
  </r>
  <r>
    <s v="077644900454"/>
    <x v="0"/>
    <s v="Francesco Rinaldi Signature Sweet Sauce, 24 oz"/>
    <n v="24"/>
    <x v="0"/>
    <d v="2021-10-28T00:00:00"/>
    <d v="2026-02-06T00:00:00"/>
    <s v="instacart"/>
    <n v="73924"/>
    <n v="266327"/>
    <x v="0"/>
    <s v="Available"/>
    <x v="0"/>
    <x v="0"/>
  </r>
  <r>
    <s v="036200003008"/>
    <x v="15"/>
    <s v="Ragu Old World Style Meat Pasta Sauce - 24oz"/>
    <n v="23.9"/>
    <x v="0"/>
    <d v="2021-10-28T00:00:00"/>
    <d v="2026-02-07T00:00:00"/>
    <s v="instacart"/>
    <n v="39338"/>
    <n v="264358"/>
    <x v="0"/>
    <s v="Available"/>
    <x v="0"/>
    <x v="0"/>
  </r>
  <r>
    <s v="070234017174"/>
    <x v="63"/>
    <s v="Victoria Vegan White Bean Marinara Sauce"/>
    <n v="18"/>
    <x v="0"/>
    <d v="2021-10-29T00:00:00"/>
    <d v="2025-08-19T00:00:00"/>
    <s v="instacart"/>
    <n v="135704"/>
    <n v="262215"/>
    <x v="0"/>
    <s v="Available"/>
    <x v="0"/>
    <x v="0"/>
  </r>
  <r>
    <s v="020662002655"/>
    <x v="34"/>
    <s v="Newmans Own Pasta Sauce Roasted Garlic"/>
    <n v="24"/>
    <x v="0"/>
    <d v="2021-10-28T00:00:00"/>
    <d v="2025-02-11T00:00:00"/>
    <s v="instacart"/>
    <s v=""/>
    <n v="264040"/>
    <x v="1"/>
    <s v="Available"/>
    <x v="1"/>
    <x v="0"/>
  </r>
  <r>
    <s v="079706014338"/>
    <x v="38"/>
    <s v="la Pasta Marinara Sauce"/>
    <n v="15.3"/>
    <x v="0"/>
    <d v="2021-10-28T00:00:00"/>
    <d v="2026-02-06T00:00:00"/>
    <s v="instacart"/>
    <s v=""/>
    <n v="262200"/>
    <x v="1"/>
    <s v="Missing"/>
    <x v="1"/>
    <x v="1"/>
  </r>
  <r>
    <s v="750218730120"/>
    <x v="7"/>
    <s v="Rao's Homemade, Marinara Sauce, 32 oz"/>
    <n v="32"/>
    <x v="0"/>
    <d v="2021-11-02T00:00:00"/>
    <d v="2026-02-04T00:00:00"/>
    <s v="instacart"/>
    <n v="24809"/>
    <n v="262620"/>
    <x v="0"/>
    <s v="Available"/>
    <x v="0"/>
    <x v="0"/>
  </r>
  <r>
    <s v="058441003401"/>
    <x v="279"/>
    <s v="Olivieri - Creamy Rose Fresh Pasta &amp; Cooking Sauce"/>
    <n v="10.144045"/>
    <x v="1"/>
    <d v="2021-10-28T00:00:00"/>
    <d v="2026-02-05T00:00:00"/>
    <s v="instacart"/>
    <s v=""/>
    <n v="261691"/>
    <x v="1"/>
    <s v="Available"/>
    <x v="1"/>
    <x v="0"/>
  </r>
  <r>
    <s v="850017808584"/>
    <x v="44"/>
    <s v="Botticelli Premium Marinara Pasta Sauce (24 oz., 2 pk.)"/>
    <m/>
    <x v="2"/>
    <d v="2021-10-28T00:00:00"/>
    <d v="2023-06-11T00:00:00"/>
    <s v="instacart"/>
    <s v=""/>
    <n v="261488"/>
    <x v="1"/>
    <s v="Available"/>
    <x v="1"/>
    <x v="0"/>
  </r>
  <r>
    <s v="850017990050"/>
    <x v="122"/>
    <s v="Carmine's Vodka Sauce, 24 oz"/>
    <n v="24"/>
    <x v="0"/>
    <d v="2025-02-05T00:00:00"/>
    <d v="2026-02-06T00:00:00"/>
    <s v="instacart"/>
    <n v="33224734"/>
    <n v="266410"/>
    <x v="0"/>
    <s v="Available"/>
    <x v="0"/>
    <x v="0"/>
  </r>
  <r>
    <s v="711381321058"/>
    <x v="91"/>
    <s v="Stonewall Kitchen Sauce Roasted Garlic Basil Jar - 18.5 Oz"/>
    <n v="18.5"/>
    <x v="0"/>
    <d v="2021-10-28T00:00:00"/>
    <d v="2026-02-06T00:00:00"/>
    <s v="instacart"/>
    <n v="162268"/>
    <n v="266518"/>
    <x v="0"/>
    <s v="Available"/>
    <x v="0"/>
    <x v="0"/>
  </r>
  <r>
    <s v="704739100009"/>
    <x v="38"/>
    <s v="Figaretti's Spaghetti Sauce"/>
    <n v="32"/>
    <x v="0"/>
    <d v="2021-10-28T00:00:00"/>
    <d v="2026-02-05T00:00:00"/>
    <s v="instacart"/>
    <n v="17495657"/>
    <n v="266426"/>
    <x v="0"/>
    <s v="Missing"/>
    <x v="0"/>
    <x v="1"/>
  </r>
  <r>
    <s v="877448001674"/>
    <x v="280"/>
    <s v="Rana Sauce, Marinara 15 oz"/>
    <n v="15"/>
    <x v="0"/>
    <d v="2021-10-28T00:00:00"/>
    <d v="2026-02-06T00:00:00"/>
    <s v="instacart"/>
    <n v="2568393"/>
    <n v="264711"/>
    <x v="0"/>
    <s v="Available"/>
    <x v="0"/>
    <x v="0"/>
  </r>
  <r>
    <s v="753469015022"/>
    <x v="53"/>
    <s v="Dave's Gourmet Vegan Bolognese"/>
    <n v="16"/>
    <x v="0"/>
    <d v="2021-10-28T00:00:00"/>
    <d v="2025-10-31T00:00:00"/>
    <s v="instacart"/>
    <s v=""/>
    <n v="264540"/>
    <x v="1"/>
    <s v="Available"/>
    <x v="1"/>
    <x v="0"/>
  </r>
  <r>
    <s v="036200003503"/>
    <x v="15"/>
    <s v="Ragu Sauce, Mushroom, Old World Style 23.9 oz"/>
    <n v="23.9"/>
    <x v="0"/>
    <d v="2021-10-28T00:00:00"/>
    <d v="2026-02-06T00:00:00"/>
    <s v="instacart"/>
    <n v="77117"/>
    <n v="264262"/>
    <x v="0"/>
    <s v="Available"/>
    <x v="0"/>
    <x v="0"/>
  </r>
  <r>
    <s v="057000330064"/>
    <x v="19"/>
    <s v="Classico - A Bold Tomato and Spicy Red Pepper Sauce Recipe Characteristic of the Roma Province, in Lazio."/>
    <n v="21.978764999999999"/>
    <x v="1"/>
    <d v="2021-10-28T00:00:00"/>
    <d v="2025-02-20T00:00:00"/>
    <s v="instacart"/>
    <s v=""/>
    <n v="262038"/>
    <x v="1"/>
    <s v="Available"/>
    <x v="1"/>
    <x v="0"/>
  </r>
  <r>
    <s v="747479101943"/>
    <x v="49"/>
    <s v="Rao's Homemade Sauce, Lemon Parmesan"/>
    <n v="24"/>
    <x v="0"/>
    <d v="2025-01-30T00:00:00"/>
    <d v="2026-02-06T00:00:00"/>
    <s v="instacart"/>
    <n v="64212929"/>
    <n v="261752"/>
    <x v="0"/>
    <s v="Available"/>
    <x v="0"/>
    <x v="0"/>
  </r>
  <r>
    <s v="086000451158"/>
    <x v="225"/>
    <s v="Pasta Sauce, Tomato Basil 26 oz"/>
    <m/>
    <x v="2"/>
    <d v="2021-11-02T00:00:00"/>
    <d v="2023-06-06T00:00:00"/>
    <s v="instacart"/>
    <s v=""/>
    <n v="264095"/>
    <x v="1"/>
    <s v="Available"/>
    <x v="1"/>
    <x v="0"/>
  </r>
  <r>
    <s v="689823012355"/>
    <x v="120"/>
    <s v="Yo Mama's Foods Marinara Magnifica Gourmet Pasta Sauce, 4 PK"/>
    <m/>
    <x v="2"/>
    <d v="2022-11-01T00:00:00"/>
    <d v="2023-06-22T00:00:00"/>
    <s v="instacart"/>
    <s v=""/>
    <n v="262040"/>
    <x v="1"/>
    <s v="Available"/>
    <x v="1"/>
    <x v="0"/>
  </r>
  <r>
    <s v="855019000332"/>
    <x v="44"/>
    <s v="Botticelli Alla Vodka Premium Pasta Sauce, 24 oz"/>
    <n v="24"/>
    <x v="0"/>
    <d v="2021-10-28T00:00:00"/>
    <d v="2026-02-06T00:00:00"/>
    <s v="instacart"/>
    <n v="1926249"/>
    <n v="261515"/>
    <x v="0"/>
    <s v="Available"/>
    <x v="0"/>
    <x v="0"/>
  </r>
  <r>
    <s v="041129491409"/>
    <x v="19"/>
    <s v="Classico Four Cheese Pasta Sauce"/>
    <n v="24"/>
    <x v="0"/>
    <d v="2022-11-06T00:00:00"/>
    <d v="2026-02-02T00:00:00"/>
    <s v="instacart"/>
    <s v=""/>
    <n v="266438"/>
    <x v="1"/>
    <s v="Available"/>
    <x v="1"/>
    <x v="0"/>
  </r>
  <r>
    <s v="074908360641"/>
    <x v="75"/>
    <s v="DelGrosso Pasta Sauce, Roasted Garlic"/>
    <n v="24"/>
    <x v="0"/>
    <d v="2021-10-28T00:00:00"/>
    <d v="2026-02-06T00:00:00"/>
    <s v="instacart"/>
    <s v=""/>
    <n v="264526"/>
    <x v="1"/>
    <s v="Available"/>
    <x v="1"/>
    <x v="0"/>
  </r>
  <r>
    <s v="492124003744"/>
    <x v="55"/>
    <s v="Cucina Antica Garlic Marinara Sauce, 25 oz"/>
    <n v="25"/>
    <x v="0"/>
    <d v="2021-10-28T00:00:00"/>
    <d v="2026-02-04T00:00:00"/>
    <s v="instacart"/>
    <n v="53396"/>
    <n v="264269"/>
    <x v="0"/>
    <s v="Available"/>
    <x v="0"/>
    <x v="0"/>
  </r>
  <r>
    <s v="036921192272"/>
    <x v="146"/>
    <s v="Cajun Power Spaghetti Sauce 24oz"/>
    <n v="24"/>
    <x v="0"/>
    <d v="2024-09-11T00:00:00"/>
    <d v="2026-02-04T00:00:00"/>
    <s v="instacart"/>
    <n v="62644762"/>
    <n v="264474"/>
    <x v="0"/>
    <s v="Available"/>
    <x v="0"/>
    <x v="0"/>
  </r>
  <r>
    <s v="058807422860"/>
    <x v="24"/>
    <s v="Hunt's - Pasta Sauce, Thick &amp; Rich Roasted Garlic &amp; Herbs"/>
    <n v="22.993169999999999"/>
    <x v="1"/>
    <d v="2021-10-28T00:00:00"/>
    <d v="2026-02-05T00:00:00"/>
    <s v="instacart"/>
    <s v=""/>
    <n v="264120"/>
    <x v="1"/>
    <s v="Available"/>
    <x v="1"/>
    <x v="0"/>
  </r>
  <r>
    <s v="074908360528"/>
    <x v="75"/>
    <s v="DelGrosso Pasta Sauce, Tomato Basil, Olive Oil &amp; Herbs"/>
    <n v="45"/>
    <x v="0"/>
    <d v="2021-10-28T00:00:00"/>
    <d v="2026-02-06T00:00:00"/>
    <s v="instacart"/>
    <n v="16992672"/>
    <n v="261886"/>
    <x v="0"/>
    <s v="Available"/>
    <x v="0"/>
    <x v="0"/>
  </r>
  <r>
    <s v="677294991279"/>
    <x v="85"/>
    <s v="Cucina Antica - Garlic Marinara Pasta Sauce"/>
    <n v="22.655035000000002"/>
    <x v="1"/>
    <d v="2021-10-28T00:00:00"/>
    <d v="2025-02-27T00:00:00"/>
    <s v="instacart"/>
    <s v=""/>
    <n v="261816"/>
    <x v="1"/>
    <s v="Available"/>
    <x v="1"/>
    <x v="0"/>
  </r>
  <r>
    <s v="798304089004"/>
    <x v="33"/>
    <s v="Organic Pasta Sauce, 24 OZ"/>
    <n v="24"/>
    <x v="0"/>
    <d v="2021-10-28T00:00:00"/>
    <d v="2026-02-04T00:00:00"/>
    <s v="instacart"/>
    <n v="98557"/>
    <n v="261804"/>
    <x v="0"/>
    <s v="Available"/>
    <x v="0"/>
    <x v="0"/>
  </r>
  <r>
    <s v="037363987815"/>
    <x v="42"/>
    <s v="Michael Angelo's Tomato Basil Pasta Sauce - 24 Oz"/>
    <n v="24"/>
    <x v="0"/>
    <d v="2023-01-09T00:00:00"/>
    <d v="2026-02-07T00:00:00"/>
    <s v="instacart"/>
    <n v="29203013"/>
    <n v="264199"/>
    <x v="0"/>
    <s v="Available"/>
    <x v="0"/>
    <x v="0"/>
  </r>
  <r>
    <s v="710069175044"/>
    <x v="69"/>
    <s v="Gefen Sauce Pasta Vodka Made With Extra Virgin Olive Oil - 26 Oz"/>
    <n v="26"/>
    <x v="0"/>
    <d v="2021-10-28T00:00:00"/>
    <d v="2026-02-06T00:00:00"/>
    <s v="instacart"/>
    <n v="1387317"/>
    <n v="266824"/>
    <x v="0"/>
    <s v="Available"/>
    <x v="0"/>
    <x v="0"/>
  </r>
  <r>
    <s v="076050800242"/>
    <x v="13"/>
    <s v="Paesana Premium Organic Vodka Sauce, 25 oz"/>
    <n v="25"/>
    <x v="0"/>
    <d v="2021-11-02T00:00:00"/>
    <d v="2026-02-06T00:00:00"/>
    <s v="instacart"/>
    <n v="2767454"/>
    <n v="262019"/>
    <x v="0"/>
    <s v="Available"/>
    <x v="0"/>
    <x v="0"/>
  </r>
  <r>
    <s v="863645000466"/>
    <x v="38"/>
    <s v="DeMassimo's Authentic Vodka Sauce, 32 oz"/>
    <n v="32"/>
    <x v="0"/>
    <d v="2021-10-28T00:00:00"/>
    <d v="2026-02-06T00:00:00"/>
    <s v="instacart"/>
    <n v="25528182"/>
    <n v="264647"/>
    <x v="0"/>
    <s v="Missing"/>
    <x v="0"/>
    <x v="1"/>
  </r>
  <r>
    <s v="733636333005"/>
    <x v="20"/>
    <s v="Yo Mamas Roasted Garlic Tomato Sauce - 16 Oz"/>
    <n v="16"/>
    <x v="0"/>
    <d v="2021-10-31T00:00:00"/>
    <d v="2026-02-06T00:00:00"/>
    <s v="instacart"/>
    <s v=""/>
    <n v="264022"/>
    <x v="1"/>
    <s v="Available"/>
    <x v="1"/>
    <x v="0"/>
  </r>
  <r>
    <s v="071072004050"/>
    <x v="196"/>
    <s v="Alessi Puttanesca Sauce - 24 Oz"/>
    <n v="24"/>
    <x v="0"/>
    <d v="2021-10-28T00:00:00"/>
    <d v="2026-02-05T00:00:00"/>
    <s v="instacart"/>
    <n v="232524"/>
    <n v="267030"/>
    <x v="0"/>
    <s v="Available"/>
    <x v="0"/>
    <x v="0"/>
  </r>
  <r>
    <s v="049539990017"/>
    <x v="59"/>
    <s v="Cascone's Original Pasta Sauce"/>
    <n v="24"/>
    <x v="0"/>
    <d v="2023-11-23T00:00:00"/>
    <d v="2026-02-04T00:00:00"/>
    <s v="instacart"/>
    <n v="28129632"/>
    <n v="261751"/>
    <x v="0"/>
    <s v="Available"/>
    <x v="0"/>
    <x v="0"/>
  </r>
  <r>
    <s v="036200222843"/>
    <x v="6"/>
    <s v="Bertolli Organic Tomato and Basil Sauce - 24 Oz"/>
    <n v="24"/>
    <x v="0"/>
    <d v="2021-10-28T00:00:00"/>
    <d v="2026-02-06T00:00:00"/>
    <s v="instacart"/>
    <n v="91512"/>
    <n v="261608"/>
    <x v="0"/>
    <s v="Available"/>
    <x v="0"/>
    <x v="0"/>
  </r>
  <r>
    <s v="811497008345"/>
    <x v="50"/>
    <s v="TantilloÂ® Reserve Roasted Garlic Pasta Sauce"/>
    <m/>
    <x v="2"/>
    <d v="2021-11-01T00:00:00"/>
    <d v="2023-07-02T00:00:00"/>
    <s v="instacart"/>
    <s v=""/>
    <n v="264702"/>
    <x v="1"/>
    <s v="Available"/>
    <x v="1"/>
    <x v="0"/>
  </r>
  <r>
    <s v="051000271129"/>
    <x v="38"/>
    <s v="Prego Mushroom Italian Tomato Pasta Sauce, Value Size Jar, 38 oz"/>
    <n v="38"/>
    <x v="0"/>
    <d v="2023-01-03T00:00:00"/>
    <d v="2026-02-07T00:00:00"/>
    <s v="instacart"/>
    <n v="22160443"/>
    <n v="264317"/>
    <x v="0"/>
    <s v="Missing"/>
    <x v="0"/>
    <x v="1"/>
  </r>
  <r>
    <s v="051000025487"/>
    <x v="5"/>
    <s v="Prego Traditional Italian Sauce"/>
    <n v="14"/>
    <x v="0"/>
    <d v="2021-10-28T00:00:00"/>
    <d v="2026-02-07T00:00:00"/>
    <s v="instacart"/>
    <n v="91495"/>
    <n v="266346"/>
    <x v="0"/>
    <s v="Available"/>
    <x v="0"/>
    <x v="0"/>
  </r>
  <r>
    <s v="677294998049"/>
    <x v="38"/>
    <s v="Organico Bello - Sauce Kale Tmto Basil Org"/>
    <n v="25"/>
    <x v="0"/>
    <d v="2021-10-28T00:00:00"/>
    <d v="2026-02-06T00:00:00"/>
    <s v="instacart"/>
    <s v=""/>
    <n v="266330"/>
    <x v="1"/>
    <s v="Missing"/>
    <x v="1"/>
    <x v="1"/>
  </r>
  <r>
    <s v="747479101868"/>
    <x v="7"/>
    <s v="Rao's, Vodka Sauce, 15.5 Oz"/>
    <n v="15.5"/>
    <x v="0"/>
    <d v="2024-01-24T00:00:00"/>
    <d v="2026-02-04T00:00:00"/>
    <s v="instacart"/>
    <s v=""/>
    <n v="264573"/>
    <x v="1"/>
    <s v="Available"/>
    <x v="1"/>
    <x v="0"/>
  </r>
  <r>
    <s v="739276000390"/>
    <x v="210"/>
    <s v="Zias - Original Restaurant Recipe Pasta Sauce (26 Oz)"/>
    <n v="26"/>
    <x v="0"/>
    <d v="2021-11-04T00:00:00"/>
    <d v="2026-02-02T00:00:00"/>
    <s v="instacart"/>
    <n v="16742880"/>
    <n v="266961"/>
    <x v="0"/>
    <s v="Available"/>
    <x v="0"/>
    <x v="0"/>
  </r>
  <r>
    <s v="070900501808"/>
    <x v="30"/>
    <s v="DEI FRATELLI MARINARA SAUCE"/>
    <n v="24"/>
    <x v="0"/>
    <d v="2021-10-28T00:00:00"/>
    <d v="2026-02-05T00:00:00"/>
    <s v="instacart"/>
    <n v="2693821"/>
    <n v="261850"/>
    <x v="0"/>
    <s v="Available"/>
    <x v="0"/>
    <x v="0"/>
  </r>
  <r>
    <s v="884337000021"/>
    <x v="93"/>
    <s v="Sauce Tomato Vodka, 16 OZ"/>
    <n v="16"/>
    <x v="0"/>
    <d v="2021-10-28T00:00:00"/>
    <d v="2026-02-04T00:00:00"/>
    <s v="instacart"/>
    <n v="243573"/>
    <n v="264121"/>
    <x v="0"/>
    <s v="Available"/>
    <x v="0"/>
    <x v="0"/>
  </r>
  <r>
    <s v="058807422815"/>
    <x v="24"/>
    <s v="Hunt'sÂ® Original Thick &amp; Rich Pasta Sauce, 680 mL"/>
    <n v="22.993169999999999"/>
    <x v="1"/>
    <d v="2021-10-28T00:00:00"/>
    <d v="2026-02-05T00:00:00"/>
    <s v="instacart"/>
    <s v=""/>
    <n v="261826"/>
    <x v="1"/>
    <s v="Available"/>
    <x v="1"/>
    <x v="0"/>
  </r>
  <r>
    <s v="761956813525"/>
    <x v="53"/>
    <s v="Papa Ricos Medium Classic Red Sauce"/>
    <n v="24"/>
    <x v="0"/>
    <d v="2021-10-28T00:00:00"/>
    <d v="2026-02-04T00:00:00"/>
    <s v="instacart"/>
    <s v=""/>
    <n v="262249"/>
    <x v="1"/>
    <s v="Available"/>
    <x v="1"/>
    <x v="0"/>
  </r>
  <r>
    <s v="850687400033"/>
    <x v="46"/>
    <s v="California Olive Ranch Sauce, Roasted Garlic 25 oz"/>
    <n v="25"/>
    <x v="0"/>
    <d v="2022-02-15T00:00:00"/>
    <d v="2026-02-06T00:00:00"/>
    <s v="instacart"/>
    <n v="27583011"/>
    <n v="264073"/>
    <x v="0"/>
    <s v="Available"/>
    <x v="0"/>
    <x v="0"/>
  </r>
  <r>
    <s v="058807422839"/>
    <x v="24"/>
    <s v="Hunt'sÂ® Four Cheese Thick &amp; Rich Premium Pasta Sauce, 680 mL"/>
    <n v="22.993169999999999"/>
    <x v="1"/>
    <d v="2021-10-28T00:00:00"/>
    <d v="2026-02-05T00:00:00"/>
    <s v="instacart"/>
    <s v=""/>
    <n v="264051"/>
    <x v="1"/>
    <s v="Available"/>
    <x v="1"/>
    <x v="0"/>
  </r>
  <r>
    <s v="628693199032"/>
    <x v="131"/>
    <s v="Anducci - Vegan Ragu Sauce"/>
    <n v="16.906742000000001"/>
    <x v="1"/>
    <d v="2023-06-22T00:00:00"/>
    <d v="2026-02-05T00:00:00"/>
    <s v="instacart"/>
    <s v=""/>
    <n v="264549"/>
    <x v="1"/>
    <s v="Available"/>
    <x v="1"/>
    <x v="0"/>
  </r>
  <r>
    <s v="860010562017"/>
    <x v="53"/>
    <s v="CARINARA Sweet Basil Pasta Sauce"/>
    <n v="25"/>
    <x v="0"/>
    <d v="2024-05-30T00:00:00"/>
    <d v="2026-02-04T00:00:00"/>
    <s v="instacart"/>
    <s v=""/>
    <n v="266976"/>
    <x v="1"/>
    <s v="Available"/>
    <x v="1"/>
    <x v="0"/>
  </r>
  <r>
    <s v="087872993029"/>
    <x v="38"/>
    <s v="Stella Rosa Marinara Sauce"/>
    <n v="24"/>
    <x v="0"/>
    <d v="2021-11-01T00:00:00"/>
    <d v="2026-02-05T00:00:00"/>
    <s v="instacart"/>
    <n v="3079004"/>
    <n v="266432"/>
    <x v="0"/>
    <s v="Missing"/>
    <x v="0"/>
    <x v="1"/>
  </r>
  <r>
    <s v="036200018606"/>
    <x v="15"/>
    <s v="Ragu Chunky Tomato Garlic &amp; Onion Sauce"/>
    <n v="66"/>
    <x v="0"/>
    <d v="2021-10-28T00:00:00"/>
    <d v="2026-02-07T00:00:00"/>
    <s v="instacart"/>
    <n v="2488676"/>
    <n v="264212"/>
    <x v="0"/>
    <s v="Available"/>
    <x v="0"/>
    <x v="0"/>
  </r>
  <r>
    <s v="812334031533"/>
    <x v="38"/>
    <s v="Campo D'oro - Marinara Sauce"/>
    <n v="24"/>
    <x v="0"/>
    <d v="2024-03-31T00:00:00"/>
    <d v="2026-02-06T00:00:00"/>
    <s v="instacart"/>
    <n v="25037321"/>
    <n v="261863"/>
    <x v="0"/>
    <s v="Missing"/>
    <x v="0"/>
    <x v="1"/>
  </r>
  <r>
    <s v="086341600123"/>
    <x v="127"/>
    <s v="The Silver Palate Pasta Sauce, San Marzano Blend, Vegan Bolognese 25 oz"/>
    <n v="25"/>
    <x v="0"/>
    <d v="2021-10-28T00:00:00"/>
    <d v="2025-08-27T00:00:00"/>
    <s v="instacart"/>
    <n v="24360729"/>
    <n v="264152"/>
    <x v="0"/>
    <s v="Available"/>
    <x v="0"/>
    <x v="0"/>
  </r>
  <r>
    <s v="030271025105"/>
    <x v="281"/>
    <s v="Don Pepino Spaghetti Sauce, Italian Flavor, 28 oz Can"/>
    <n v="28"/>
    <x v="0"/>
    <d v="2021-10-28T00:00:00"/>
    <d v="2026-02-06T00:00:00"/>
    <s v="instacart"/>
    <n v="212230"/>
    <n v="262022"/>
    <x v="0"/>
    <s v="Available"/>
    <x v="0"/>
    <x v="0"/>
  </r>
  <r>
    <s v="020662006196"/>
    <x v="34"/>
    <s v="Newman's Own Tomato &amp; Basil Pasta Sauce 24 oz"/>
    <n v="24"/>
    <x v="0"/>
    <d v="2021-10-28T00:00:00"/>
    <d v="2026-02-06T00:00:00"/>
    <s v="instacart"/>
    <n v="16290487"/>
    <n v="261735"/>
    <x v="0"/>
    <s v="Available"/>
    <x v="0"/>
    <x v="0"/>
  </r>
  <r>
    <s v="641208990955"/>
    <x v="1"/>
    <s v="Carfagna's Pasta Sauce, Puttanesca Italiano"/>
    <n v="32"/>
    <x v="0"/>
    <d v="2021-10-28T00:00:00"/>
    <d v="2026-02-06T00:00:00"/>
    <s v="instacart"/>
    <n v="16948755"/>
    <n v="261755"/>
    <x v="0"/>
    <s v="Available"/>
    <x v="0"/>
    <x v="0"/>
  </r>
  <r>
    <s v="076937001212"/>
    <x v="224"/>
    <s v="Frescorti Pasta Sauce Marinara - 24 OZ"/>
    <n v="24"/>
    <x v="0"/>
    <d v="2023-08-09T00:00:00"/>
    <d v="2026-02-06T00:00:00"/>
    <s v="instacart"/>
    <n v="91449"/>
    <n v="264090"/>
    <x v="0"/>
    <s v="Available"/>
    <x v="0"/>
    <x v="0"/>
  </r>
  <r>
    <s v="798304211634"/>
    <x v="33"/>
    <s v="Organic Fat Free Low Sodium Pasta Sauce, 24 OZ"/>
    <n v="24"/>
    <x v="0"/>
    <d v="2021-10-28T00:00:00"/>
    <d v="2026-02-03T00:00:00"/>
    <s v="instacart"/>
    <n v="98558"/>
    <n v="261732"/>
    <x v="0"/>
    <s v="Available"/>
    <x v="0"/>
    <x v="0"/>
  </r>
  <r>
    <s v="081319819316"/>
    <x v="38"/>
    <s v="Casa Visco - Sauce Psta Meatless"/>
    <n v="32"/>
    <x v="0"/>
    <d v="2021-10-28T00:00:00"/>
    <d v="2026-02-06T00:00:00"/>
    <s v="instacart"/>
    <n v="98577"/>
    <n v="264231"/>
    <x v="0"/>
    <s v="Missing"/>
    <x v="0"/>
    <x v="1"/>
  </r>
  <r>
    <s v="072368224381"/>
    <x v="99"/>
    <s v="DeLallo Pomodoro Fresco Spicy Arrabbiata Sauce, 25.25 oz"/>
    <n v="25.25"/>
    <x v="0"/>
    <d v="2021-10-28T00:00:00"/>
    <d v="2026-02-06T00:00:00"/>
    <s v="instacart"/>
    <n v="152806"/>
    <n v="266580"/>
    <x v="0"/>
    <s v="Available"/>
    <x v="0"/>
    <x v="0"/>
  </r>
  <r>
    <s v="850017990043"/>
    <x v="122"/>
    <s v="Carmine's Marinara Sauce, 24 oz"/>
    <n v="24"/>
    <x v="0"/>
    <d v="2025-02-05T00:00:00"/>
    <d v="2026-02-06T00:00:00"/>
    <s v="instacart"/>
    <s v=""/>
    <n v="261794"/>
    <x v="1"/>
    <s v="Available"/>
    <x v="1"/>
    <x v="0"/>
  </r>
  <r>
    <s v="076808008739"/>
    <x v="38"/>
    <s v="vero gusto tomato basil"/>
    <n v="20"/>
    <x v="0"/>
    <d v="2021-10-28T00:00:00"/>
    <d v="2026-02-06T00:00:00"/>
    <s v="instacart"/>
    <n v="19831723"/>
    <n v="266433"/>
    <x v="0"/>
    <s v="Missing"/>
    <x v="0"/>
    <x v="1"/>
  </r>
  <r>
    <s v="064200010122"/>
    <x v="222"/>
    <s v="CATELLI - Garden Select Tomato &amp; Basil"/>
    <n v="20.288091000000001"/>
    <x v="1"/>
    <d v="2024-12-05T00:00:00"/>
    <d v="2026-02-05T00:00:00"/>
    <s v="instacart"/>
    <s v=""/>
    <n v="266503"/>
    <x v="1"/>
    <s v="Available"/>
    <x v="1"/>
    <x v="0"/>
  </r>
  <r>
    <s v="074908360634"/>
    <x v="75"/>
    <s v="DelGrosso Pasta Sauce, Garlic &amp; Cheese"/>
    <n v="24"/>
    <x v="0"/>
    <d v="2021-10-28T00:00:00"/>
    <d v="2026-02-06T00:00:00"/>
    <s v="instacart"/>
    <n v="16987093"/>
    <n v="264200"/>
    <x v="0"/>
    <s v="Available"/>
    <x v="0"/>
    <x v="0"/>
  </r>
  <r>
    <s v="057000330323"/>
    <x v="19"/>
    <s v="CLASSICO - Di Lucca Tuscan Style Olive &amp; Garlic Pasta Sauce"/>
    <n v="21.978764999999999"/>
    <x v="1"/>
    <d v="2021-10-28T00:00:00"/>
    <d v="2024-11-17T00:00:00"/>
    <s v="instacart"/>
    <s v=""/>
    <n v="266849"/>
    <x v="1"/>
    <s v="Available"/>
    <x v="1"/>
    <x v="0"/>
  </r>
  <r>
    <s v="855019004057"/>
    <x v="96"/>
    <s v="Michaels Of Brooklyn Sauce Marinara - 16 Oz"/>
    <n v="16"/>
    <x v="0"/>
    <d v="2021-10-28T00:00:00"/>
    <d v="2026-02-06T00:00:00"/>
    <s v="instacart"/>
    <n v="16369029"/>
    <n v="261777"/>
    <x v="0"/>
    <s v="Available"/>
    <x v="0"/>
    <x v="0"/>
  </r>
  <r>
    <s v="747479500371"/>
    <x v="143"/>
    <s v="Limited Reserve Cardoncelli Marinara, 19 OZ"/>
    <n v="19"/>
    <x v="0"/>
    <d v="2024-10-13T00:00:00"/>
    <d v="2026-02-06T00:00:00"/>
    <s v="instacart"/>
    <n v="46735671"/>
    <n v="261510"/>
    <x v="0"/>
    <s v="Available"/>
    <x v="0"/>
    <x v="0"/>
  </r>
  <r>
    <s v="786173953052"/>
    <x v="7"/>
    <s v="Rao's Homemade, Marinara Sauce, 32 oz"/>
    <n v="32"/>
    <x v="0"/>
    <d v="2021-11-02T00:00:00"/>
    <d v="2026-02-04T00:00:00"/>
    <s v="instacart"/>
    <n v="24809"/>
    <n v="262579"/>
    <x v="0"/>
    <s v="Available"/>
    <x v="0"/>
    <x v="0"/>
  </r>
  <r>
    <s v="072095032044"/>
    <x v="38"/>
    <s v="Aiellos Supremo Tomato Basil Pasta Sauce"/>
    <n v="26"/>
    <x v="0"/>
    <d v="2021-10-31T00:00:00"/>
    <d v="2026-02-05T00:00:00"/>
    <s v="instacart"/>
    <n v="266093"/>
    <n v="261842"/>
    <x v="0"/>
    <s v="Missing"/>
    <x v="0"/>
    <x v="1"/>
  </r>
  <r>
    <s v="711526123479"/>
    <x v="282"/>
    <s v="Pasta House - Spaghetti Sauce (26 Oz)"/>
    <n v="26"/>
    <x v="0"/>
    <d v="2021-11-14T00:00:00"/>
    <d v="2026-02-02T00:00:00"/>
    <s v="instacart"/>
    <n v="2812451"/>
    <n v="266554"/>
    <x v="0"/>
    <s v="Available"/>
    <x v="0"/>
    <x v="0"/>
  </r>
  <r>
    <s v="865041000200"/>
    <x v="28"/>
    <s v="De Massim Sauce Pasta Marinara - 32 Oz"/>
    <n v="32"/>
    <x v="0"/>
    <d v="2021-10-28T00:00:00"/>
    <d v="2026-02-06T00:00:00"/>
    <s v="instacart"/>
    <n v="18905025"/>
    <n v="266811"/>
    <x v="0"/>
    <s v="Available"/>
    <x v="0"/>
    <x v="0"/>
  </r>
  <r>
    <s v="852082002010"/>
    <x v="94"/>
    <s v="Mia Cucina Marinara with Merlot"/>
    <n v="24"/>
    <x v="0"/>
    <d v="2021-10-31T00:00:00"/>
    <d v="2026-02-06T00:00:00"/>
    <s v="instacart"/>
    <n v="18074820"/>
    <n v="266595"/>
    <x v="0"/>
    <s v="Available"/>
    <x v="0"/>
    <x v="0"/>
  </r>
  <r>
    <s v="072368424354"/>
    <x v="99"/>
    <s v="Delallo Pomodoro Fresco, Roasted Garlic"/>
    <n v="25.25"/>
    <x v="0"/>
    <d v="2021-10-28T00:00:00"/>
    <d v="2026-02-06T00:00:00"/>
    <s v="instacart"/>
    <n v="152805"/>
    <n v="261524"/>
    <x v="0"/>
    <s v="Available"/>
    <x v="0"/>
    <x v="0"/>
  </r>
  <r>
    <s v="036200431696"/>
    <x v="6"/>
    <s v="Bertolli d'Italia Creamy Rosa Sauce, 2 pk./24.7 oz."/>
    <n v="2"/>
    <x v="3"/>
    <d v="2024-06-06T00:00:00"/>
    <d v="2025-10-23T00:00:00"/>
    <s v="instacart"/>
    <s v=""/>
    <n v="266420"/>
    <x v="1"/>
    <s v="Available"/>
    <x v="1"/>
    <x v="0"/>
  </r>
  <r>
    <s v="850023196064"/>
    <x v="38"/>
    <s v="Not Just Crmy Basil Sauce"/>
    <n v="16"/>
    <x v="0"/>
    <d v="2023-10-02T00:00:00"/>
    <d v="2025-12-19T00:00:00"/>
    <s v="instacart"/>
    <s v=""/>
    <n v="261746"/>
    <x v="1"/>
    <s v="Missing"/>
    <x v="1"/>
    <x v="1"/>
  </r>
  <r>
    <s v="040784922006"/>
    <x v="10"/>
    <s v="San Marzano Sauce Tomato Basil - 24 Oz"/>
    <n v="24"/>
    <x v="0"/>
    <d v="2021-10-30T00:00:00"/>
    <d v="2026-02-06T00:00:00"/>
    <s v="instacart"/>
    <n v="18491097"/>
    <n v="264348"/>
    <x v="0"/>
    <s v="Available"/>
    <x v="0"/>
    <x v="0"/>
  </r>
  <r>
    <s v="074683099507"/>
    <x v="191"/>
    <s v="Emerils Kicked Up Tomato Pasta Sauce 25 oz"/>
    <n v="25"/>
    <x v="0"/>
    <d v="2021-10-28T00:00:00"/>
    <d v="2026-02-06T00:00:00"/>
    <s v="instacart"/>
    <n v="98562"/>
    <n v="264070"/>
    <x v="0"/>
    <s v="Available"/>
    <x v="0"/>
    <x v="0"/>
  </r>
  <r>
    <s v="799210900001"/>
    <x v="176"/>
    <s v="Bionaturae Organic Marinara Pasta Sauce - Tomato Sauce for Spaghetti, Pizza, &amp; Lasagna, Gluten Free, Non GMO, No Added Sugar, Kosher, Glyphosate Free, Made in Italy, Tastes like Homemade - 24 oz Jar"/>
    <n v="24"/>
    <x v="0"/>
    <d v="2025-01-22T00:00:00"/>
    <d v="2026-02-06T00:00:00"/>
    <s v="instacart"/>
    <n v="64419397"/>
    <n v="266363"/>
    <x v="0"/>
    <s v="Available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1C9FA-B20B-4350-A507-DBB5A55F6C04}" name="PivotTable20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K14:L28" firstHeaderRow="1" firstDataRow="1" firstDataCol="1" rowPageCount="2" colPageCount="1"/>
  <pivotFields count="14">
    <pivotField dataField="1" showAll="0"/>
    <pivotField axis="axisRow" showAll="0" measureFilter="1" sortType="descending">
      <items count="284">
        <item x="221"/>
        <item x="196"/>
        <item x="245"/>
        <item x="201"/>
        <item x="131"/>
        <item x="218"/>
        <item x="166"/>
        <item x="108"/>
        <item x="174"/>
        <item x="246"/>
        <item x="106"/>
        <item x="266"/>
        <item x="62"/>
        <item x="6"/>
        <item x="190"/>
        <item x="133"/>
        <item x="181"/>
        <item x="167"/>
        <item x="44"/>
        <item x="81"/>
        <item x="195"/>
        <item x="119"/>
        <item x="194"/>
        <item x="200"/>
        <item x="274"/>
        <item x="240"/>
        <item x="172"/>
        <item x="198"/>
        <item x="56"/>
        <item x="3"/>
        <item x="149"/>
        <item x="100"/>
        <item x="148"/>
        <item x="35"/>
        <item x="109"/>
        <item x="250"/>
        <item x="141"/>
        <item x="192"/>
        <item x="68"/>
        <item x="253"/>
        <item x="146"/>
        <item x="11"/>
        <item x="46"/>
        <item x="118"/>
        <item x="249"/>
        <item x="74"/>
        <item x="54"/>
        <item x="186"/>
        <item x="1"/>
        <item x="122"/>
        <item x="65"/>
        <item x="59"/>
        <item x="222"/>
        <item x="10"/>
        <item x="276"/>
        <item x="60"/>
        <item x="233"/>
        <item x="205"/>
        <item x="264"/>
        <item x="97"/>
        <item x="262"/>
        <item x="19"/>
        <item x="270"/>
        <item x="27"/>
        <item x="258"/>
        <item x="278"/>
        <item x="150"/>
        <item x="31"/>
        <item x="101"/>
        <item x="85"/>
        <item x="93"/>
        <item x="102"/>
        <item x="22"/>
        <item x="73"/>
        <item x="28"/>
        <item x="30"/>
        <item x="272"/>
        <item x="134"/>
        <item x="215"/>
        <item x="99"/>
        <item x="75"/>
        <item x="187"/>
        <item x="67"/>
        <item x="8"/>
        <item x="95"/>
        <item x="154"/>
        <item x="281"/>
        <item x="103"/>
        <item x="232"/>
        <item x="199"/>
        <item x="191"/>
        <item x="261"/>
        <item x="156"/>
        <item x="242"/>
        <item x="76"/>
        <item x="43"/>
        <item x="58"/>
        <item x="206"/>
        <item x="0"/>
        <item x="66"/>
        <item x="231"/>
        <item x="224"/>
        <item x="164"/>
        <item x="227"/>
        <item x="69"/>
        <item x="116"/>
        <item x="23"/>
        <item x="90"/>
        <item x="152"/>
        <item x="228"/>
        <item x="175"/>
        <item x="114"/>
        <item x="219"/>
        <item x="24"/>
        <item x="238"/>
        <item x="229"/>
        <item x="129"/>
        <item x="128"/>
        <item x="257"/>
        <item x="180"/>
        <item x="48"/>
        <item x="25"/>
        <item x="111"/>
        <item x="137"/>
        <item x="244"/>
        <item x="182"/>
        <item x="252"/>
        <item x="89"/>
        <item x="92"/>
        <item x="139"/>
        <item x="269"/>
        <item x="121"/>
        <item x="230"/>
        <item x="84"/>
        <item x="217"/>
        <item x="177"/>
        <item x="212"/>
        <item x="70"/>
        <item x="112"/>
        <item x="113"/>
        <item x="163"/>
        <item x="64"/>
        <item x="107"/>
        <item x="183"/>
        <item x="57"/>
        <item x="123"/>
        <item x="173"/>
        <item x="126"/>
        <item x="259"/>
        <item x="14"/>
        <item x="94"/>
        <item x="136"/>
        <item x="42"/>
        <item x="96"/>
        <item x="16"/>
        <item x="32"/>
        <item x="162"/>
        <item x="36"/>
        <item x="209"/>
        <item x="202"/>
        <item x="39"/>
        <item x="178"/>
        <item x="208"/>
        <item x="159"/>
        <item x="204"/>
        <item x="157"/>
        <item x="40"/>
        <item x="80"/>
        <item x="144"/>
        <item x="4"/>
        <item x="61"/>
        <item x="34"/>
        <item x="207"/>
        <item x="41"/>
        <item x="277"/>
        <item x="78"/>
        <item x="105"/>
        <item x="235"/>
        <item x="279"/>
        <item x="83"/>
        <item x="255"/>
        <item x="87"/>
        <item x="51"/>
        <item x="12"/>
        <item x="138"/>
        <item x="185"/>
        <item x="52"/>
        <item x="13"/>
        <item x="273"/>
        <item x="282"/>
        <item x="86"/>
        <item x="213"/>
        <item x="160"/>
        <item x="124"/>
        <item x="189"/>
        <item x="169"/>
        <item x="88"/>
        <item x="179"/>
        <item x="33"/>
        <item x="117"/>
        <item x="226"/>
        <item x="5"/>
        <item x="45"/>
        <item x="37"/>
        <item x="71"/>
        <item x="203"/>
        <item x="26"/>
        <item x="15"/>
        <item x="280"/>
        <item x="143"/>
        <item x="2"/>
        <item x="49"/>
        <item x="125"/>
        <item x="267"/>
        <item x="79"/>
        <item x="236"/>
        <item x="271"/>
        <item x="142"/>
        <item x="21"/>
        <item x="110"/>
        <item x="223"/>
        <item x="170"/>
        <item x="241"/>
        <item x="171"/>
        <item x="115"/>
        <item x="135"/>
        <item x="72"/>
        <item x="77"/>
        <item x="130"/>
        <item x="18"/>
        <item x="17"/>
        <item x="140"/>
        <item x="47"/>
        <item x="193"/>
        <item x="9"/>
        <item x="91"/>
        <item x="243"/>
        <item x="168"/>
        <item x="50"/>
        <item x="29"/>
        <item x="147"/>
        <item x="260"/>
        <item x="216"/>
        <item x="153"/>
        <item x="268"/>
        <item x="197"/>
        <item x="127"/>
        <item x="225"/>
        <item x="161"/>
        <item x="158"/>
        <item x="151"/>
        <item x="251"/>
        <item x="247"/>
        <item x="220"/>
        <item x="82"/>
        <item x="53"/>
        <item x="248"/>
        <item x="63"/>
        <item x="256"/>
        <item x="263"/>
        <item x="176"/>
        <item x="104"/>
        <item x="275"/>
        <item x="55"/>
        <item x="211"/>
        <item x="239"/>
        <item x="98"/>
        <item x="145"/>
        <item x="132"/>
        <item x="165"/>
        <item x="234"/>
        <item x="188"/>
        <item x="7"/>
        <item x="214"/>
        <item x="254"/>
        <item x="237"/>
        <item x="155"/>
        <item x="184"/>
        <item x="265"/>
        <item x="20"/>
        <item x="120"/>
        <item x="210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1"/>
  </rowFields>
  <rowItems count="14">
    <i>
      <x v="61"/>
    </i>
    <i>
      <x v="255"/>
    </i>
    <i>
      <x v="280"/>
    </i>
    <i>
      <x v="207"/>
    </i>
    <i>
      <x v="201"/>
    </i>
    <i>
      <x v="120"/>
    </i>
    <i>
      <x v="155"/>
    </i>
    <i>
      <x v="113"/>
    </i>
    <i>
      <x v="4"/>
    </i>
    <i>
      <x v="19"/>
    </i>
    <i>
      <x v="183"/>
    </i>
    <i>
      <x v="179"/>
    </i>
    <i>
      <x v="13"/>
    </i>
    <i t="grand">
      <x/>
    </i>
  </rowItems>
  <colItems count="1">
    <i/>
  </colItems>
  <pageFields count="2">
    <pageField fld="10" item="1" hier="-1"/>
    <pageField fld="13" item="1" hier="-1"/>
  </pageFields>
  <dataFields count="1">
    <dataField name="Count of Product Cod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B4293-6237-44F5-B03B-9B829C7B079C}" name="PivotTable19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ize Unit">
  <location ref="K3:M8" firstHeaderRow="0" firstDataRow="1" firstDataCol="1"/>
  <pivotFields count="14">
    <pivotField dataField="1"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 Code" fld="0" subtotal="count" baseField="0" baseItem="0"/>
    <dataField name="Is Mapped" fld="12" showDataAs="percentOfTotal" baseField="4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5AC7B-9ADC-4D82-8F79-7409F2801840}" name="PivotTable18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H3:I14" firstHeaderRow="1" firstDataRow="1" firstDataCol="1" rowPageCount="1" colPageCount="1"/>
  <pivotFields count="14">
    <pivotField dataField="1" showAll="0"/>
    <pivotField axis="axisRow" showAll="0" measureFilter="1" sortType="descending">
      <items count="284">
        <item x="221"/>
        <item x="196"/>
        <item x="245"/>
        <item x="201"/>
        <item x="131"/>
        <item x="218"/>
        <item x="166"/>
        <item x="108"/>
        <item x="174"/>
        <item x="246"/>
        <item x="106"/>
        <item x="266"/>
        <item x="62"/>
        <item x="6"/>
        <item x="190"/>
        <item x="133"/>
        <item x="181"/>
        <item x="167"/>
        <item x="44"/>
        <item x="81"/>
        <item x="195"/>
        <item x="119"/>
        <item x="194"/>
        <item x="200"/>
        <item x="274"/>
        <item x="240"/>
        <item x="172"/>
        <item x="198"/>
        <item x="56"/>
        <item x="3"/>
        <item x="149"/>
        <item x="100"/>
        <item x="148"/>
        <item x="35"/>
        <item x="109"/>
        <item x="250"/>
        <item x="141"/>
        <item x="192"/>
        <item x="68"/>
        <item x="253"/>
        <item x="146"/>
        <item x="11"/>
        <item x="46"/>
        <item x="118"/>
        <item x="249"/>
        <item x="74"/>
        <item x="54"/>
        <item x="186"/>
        <item x="1"/>
        <item x="122"/>
        <item x="65"/>
        <item x="59"/>
        <item x="222"/>
        <item x="10"/>
        <item x="276"/>
        <item x="60"/>
        <item x="233"/>
        <item x="205"/>
        <item x="264"/>
        <item x="97"/>
        <item x="262"/>
        <item x="19"/>
        <item x="270"/>
        <item x="27"/>
        <item x="258"/>
        <item x="278"/>
        <item x="150"/>
        <item x="31"/>
        <item x="101"/>
        <item x="85"/>
        <item x="93"/>
        <item x="102"/>
        <item x="22"/>
        <item x="73"/>
        <item x="28"/>
        <item x="30"/>
        <item x="272"/>
        <item x="134"/>
        <item x="215"/>
        <item x="99"/>
        <item x="75"/>
        <item x="187"/>
        <item x="67"/>
        <item x="8"/>
        <item x="95"/>
        <item x="154"/>
        <item x="281"/>
        <item x="103"/>
        <item x="232"/>
        <item x="199"/>
        <item x="191"/>
        <item x="261"/>
        <item x="156"/>
        <item x="242"/>
        <item x="76"/>
        <item x="43"/>
        <item x="58"/>
        <item x="206"/>
        <item x="0"/>
        <item x="66"/>
        <item x="231"/>
        <item x="224"/>
        <item x="164"/>
        <item x="227"/>
        <item x="69"/>
        <item x="116"/>
        <item x="23"/>
        <item x="90"/>
        <item x="152"/>
        <item x="228"/>
        <item x="175"/>
        <item x="114"/>
        <item x="219"/>
        <item x="24"/>
        <item x="238"/>
        <item x="229"/>
        <item x="129"/>
        <item x="128"/>
        <item x="257"/>
        <item x="180"/>
        <item x="48"/>
        <item x="25"/>
        <item x="111"/>
        <item x="137"/>
        <item x="244"/>
        <item x="182"/>
        <item x="252"/>
        <item x="89"/>
        <item x="92"/>
        <item x="139"/>
        <item x="269"/>
        <item x="121"/>
        <item x="230"/>
        <item x="84"/>
        <item x="217"/>
        <item x="177"/>
        <item x="212"/>
        <item x="70"/>
        <item x="112"/>
        <item x="113"/>
        <item x="163"/>
        <item x="64"/>
        <item x="107"/>
        <item x="183"/>
        <item x="57"/>
        <item x="123"/>
        <item x="173"/>
        <item x="126"/>
        <item x="259"/>
        <item x="14"/>
        <item x="94"/>
        <item x="136"/>
        <item x="42"/>
        <item x="96"/>
        <item x="16"/>
        <item x="32"/>
        <item x="162"/>
        <item x="36"/>
        <item x="209"/>
        <item x="202"/>
        <item x="39"/>
        <item x="178"/>
        <item x="208"/>
        <item x="159"/>
        <item x="204"/>
        <item x="157"/>
        <item x="40"/>
        <item x="80"/>
        <item x="144"/>
        <item x="4"/>
        <item x="61"/>
        <item x="34"/>
        <item x="207"/>
        <item x="41"/>
        <item x="277"/>
        <item x="78"/>
        <item x="105"/>
        <item x="235"/>
        <item x="279"/>
        <item x="83"/>
        <item x="255"/>
        <item x="87"/>
        <item x="51"/>
        <item x="12"/>
        <item x="138"/>
        <item x="185"/>
        <item x="52"/>
        <item x="13"/>
        <item x="273"/>
        <item x="282"/>
        <item x="86"/>
        <item x="213"/>
        <item x="160"/>
        <item x="124"/>
        <item x="189"/>
        <item x="169"/>
        <item x="88"/>
        <item x="179"/>
        <item x="33"/>
        <item x="117"/>
        <item x="226"/>
        <item x="5"/>
        <item x="45"/>
        <item x="37"/>
        <item x="71"/>
        <item x="203"/>
        <item x="26"/>
        <item x="15"/>
        <item x="280"/>
        <item x="143"/>
        <item x="2"/>
        <item x="49"/>
        <item x="125"/>
        <item x="267"/>
        <item x="79"/>
        <item x="236"/>
        <item x="271"/>
        <item x="142"/>
        <item x="21"/>
        <item x="110"/>
        <item x="223"/>
        <item x="170"/>
        <item x="241"/>
        <item x="171"/>
        <item x="115"/>
        <item x="135"/>
        <item x="72"/>
        <item x="77"/>
        <item x="130"/>
        <item x="18"/>
        <item x="17"/>
        <item x="140"/>
        <item x="47"/>
        <item x="193"/>
        <item x="9"/>
        <item x="91"/>
        <item x="243"/>
        <item x="168"/>
        <item x="50"/>
        <item x="29"/>
        <item x="147"/>
        <item x="260"/>
        <item x="216"/>
        <item x="153"/>
        <item x="268"/>
        <item x="197"/>
        <item x="127"/>
        <item x="225"/>
        <item x="161"/>
        <item x="158"/>
        <item x="151"/>
        <item x="251"/>
        <item x="247"/>
        <item x="220"/>
        <item x="82"/>
        <item x="53"/>
        <item x="248"/>
        <item x="63"/>
        <item x="256"/>
        <item x="263"/>
        <item x="176"/>
        <item x="104"/>
        <item x="275"/>
        <item x="55"/>
        <item x="211"/>
        <item x="239"/>
        <item x="98"/>
        <item x="145"/>
        <item x="132"/>
        <item x="165"/>
        <item x="234"/>
        <item x="188"/>
        <item x="7"/>
        <item x="214"/>
        <item x="254"/>
        <item x="237"/>
        <item x="155"/>
        <item x="184"/>
        <item x="265"/>
        <item x="20"/>
        <item x="120"/>
        <item x="210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1"/>
  </rowFields>
  <rowItems count="11">
    <i>
      <x v="282"/>
    </i>
    <i>
      <x v="61"/>
    </i>
    <i>
      <x v="255"/>
    </i>
    <i>
      <x v="280"/>
    </i>
    <i>
      <x v="207"/>
    </i>
    <i>
      <x v="201"/>
    </i>
    <i>
      <x v="120"/>
    </i>
    <i>
      <x v="155"/>
    </i>
    <i>
      <x v="113"/>
    </i>
    <i>
      <x v="4"/>
    </i>
    <i t="grand">
      <x/>
    </i>
  </rowItems>
  <colItems count="1">
    <i/>
  </colItems>
  <pageFields count="1">
    <pageField fld="12" item="0" hier="-1"/>
  </pageFields>
  <dataFields count="1">
    <dataField name="Count of Product Code" fld="0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F94C8-B286-40DE-9AAC-E6C9CE521A2A}" name="PivotTable13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6" firstHeaderRow="0" firstDataRow="1" firstDataCol="1"/>
  <pivotFields count="14">
    <pivotField dataField="1"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ducts" fld="0" subtotal="count" baseField="10" baseItem="0"/>
    <dataField name="Mapping Rate %" fld="0" subtotal="count" showDataAs="percentOfTotal" baseField="1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BDE82-2A11-4E87-8E16-325EEE3BB5CE}" name="PivotTable14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2:C15" firstHeaderRow="0" firstDataRow="1" firstDataCol="1" rowPageCount="1" colPageCount="1"/>
  <pivotFields count="14">
    <pivotField dataField="1"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0" hier="-1"/>
  </pageFields>
  <dataFields count="2">
    <dataField name="Count of Brand name" fld="0" subtotal="count" baseField="11" baseItem="0"/>
    <dataField name="Count of Product Code" fld="0" subtotal="count" showDataAs="percentOfTotal" baseField="11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7039E-49CD-4199-A3CC-B1B63EC7E804}" name="PivotTable16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3:F14" firstHeaderRow="1" firstDataRow="1" firstDataCol="1" rowPageCount="1" colPageCount="1"/>
  <pivotFields count="14">
    <pivotField dataField="1" showAll="0"/>
    <pivotField axis="axisRow" showAll="0" measureFilter="1" sortType="descending">
      <items count="284">
        <item x="221"/>
        <item x="196"/>
        <item x="245"/>
        <item x="201"/>
        <item x="131"/>
        <item x="218"/>
        <item x="166"/>
        <item x="108"/>
        <item x="174"/>
        <item x="246"/>
        <item x="106"/>
        <item x="266"/>
        <item x="62"/>
        <item x="6"/>
        <item x="190"/>
        <item x="133"/>
        <item x="181"/>
        <item x="167"/>
        <item x="44"/>
        <item x="81"/>
        <item x="195"/>
        <item x="119"/>
        <item x="194"/>
        <item x="200"/>
        <item x="274"/>
        <item x="240"/>
        <item x="172"/>
        <item x="198"/>
        <item x="56"/>
        <item x="3"/>
        <item x="149"/>
        <item x="100"/>
        <item x="148"/>
        <item x="35"/>
        <item x="109"/>
        <item x="250"/>
        <item x="141"/>
        <item x="192"/>
        <item x="68"/>
        <item x="253"/>
        <item x="146"/>
        <item x="11"/>
        <item x="46"/>
        <item x="118"/>
        <item x="249"/>
        <item x="74"/>
        <item x="54"/>
        <item x="186"/>
        <item x="1"/>
        <item x="122"/>
        <item x="65"/>
        <item x="59"/>
        <item x="222"/>
        <item x="10"/>
        <item x="276"/>
        <item x="60"/>
        <item x="233"/>
        <item x="205"/>
        <item x="264"/>
        <item x="97"/>
        <item x="262"/>
        <item x="19"/>
        <item x="270"/>
        <item x="27"/>
        <item x="258"/>
        <item x="278"/>
        <item x="150"/>
        <item x="31"/>
        <item x="101"/>
        <item x="85"/>
        <item x="93"/>
        <item x="102"/>
        <item x="22"/>
        <item x="73"/>
        <item x="28"/>
        <item x="30"/>
        <item x="272"/>
        <item x="134"/>
        <item x="215"/>
        <item x="99"/>
        <item x="75"/>
        <item x="187"/>
        <item x="67"/>
        <item x="8"/>
        <item x="95"/>
        <item x="154"/>
        <item x="281"/>
        <item x="103"/>
        <item x="232"/>
        <item x="199"/>
        <item x="191"/>
        <item x="261"/>
        <item x="156"/>
        <item x="242"/>
        <item x="76"/>
        <item x="43"/>
        <item x="58"/>
        <item x="206"/>
        <item x="0"/>
        <item x="66"/>
        <item x="231"/>
        <item x="224"/>
        <item x="164"/>
        <item x="227"/>
        <item x="69"/>
        <item x="116"/>
        <item x="23"/>
        <item x="90"/>
        <item x="152"/>
        <item x="228"/>
        <item x="175"/>
        <item x="114"/>
        <item x="219"/>
        <item x="24"/>
        <item x="238"/>
        <item x="229"/>
        <item x="129"/>
        <item x="128"/>
        <item x="257"/>
        <item x="180"/>
        <item x="48"/>
        <item x="25"/>
        <item x="111"/>
        <item x="137"/>
        <item x="244"/>
        <item x="182"/>
        <item x="252"/>
        <item x="89"/>
        <item x="92"/>
        <item x="139"/>
        <item x="269"/>
        <item x="121"/>
        <item x="230"/>
        <item x="84"/>
        <item x="217"/>
        <item x="177"/>
        <item x="212"/>
        <item x="70"/>
        <item x="112"/>
        <item x="113"/>
        <item x="163"/>
        <item x="64"/>
        <item x="107"/>
        <item x="183"/>
        <item x="57"/>
        <item x="123"/>
        <item x="173"/>
        <item x="126"/>
        <item x="259"/>
        <item x="14"/>
        <item x="94"/>
        <item x="136"/>
        <item x="42"/>
        <item x="96"/>
        <item x="16"/>
        <item x="32"/>
        <item x="162"/>
        <item x="36"/>
        <item x="209"/>
        <item x="202"/>
        <item x="39"/>
        <item x="178"/>
        <item x="208"/>
        <item x="159"/>
        <item x="204"/>
        <item x="157"/>
        <item x="40"/>
        <item x="80"/>
        <item x="144"/>
        <item x="4"/>
        <item x="61"/>
        <item x="34"/>
        <item x="207"/>
        <item x="41"/>
        <item x="277"/>
        <item x="78"/>
        <item x="105"/>
        <item x="235"/>
        <item x="279"/>
        <item x="83"/>
        <item x="255"/>
        <item x="87"/>
        <item x="51"/>
        <item x="12"/>
        <item x="138"/>
        <item x="185"/>
        <item x="52"/>
        <item x="13"/>
        <item x="273"/>
        <item x="282"/>
        <item x="86"/>
        <item x="213"/>
        <item x="160"/>
        <item x="124"/>
        <item x="189"/>
        <item x="169"/>
        <item x="88"/>
        <item x="179"/>
        <item x="33"/>
        <item x="117"/>
        <item x="226"/>
        <item x="5"/>
        <item x="45"/>
        <item x="37"/>
        <item x="71"/>
        <item x="203"/>
        <item x="26"/>
        <item x="15"/>
        <item x="280"/>
        <item x="143"/>
        <item x="2"/>
        <item x="49"/>
        <item x="125"/>
        <item x="267"/>
        <item x="79"/>
        <item x="236"/>
        <item x="271"/>
        <item x="142"/>
        <item x="21"/>
        <item x="110"/>
        <item x="223"/>
        <item x="170"/>
        <item x="241"/>
        <item x="171"/>
        <item x="115"/>
        <item x="135"/>
        <item x="72"/>
        <item x="77"/>
        <item x="130"/>
        <item x="18"/>
        <item x="17"/>
        <item x="140"/>
        <item x="47"/>
        <item x="193"/>
        <item x="9"/>
        <item x="91"/>
        <item x="243"/>
        <item x="168"/>
        <item x="50"/>
        <item x="29"/>
        <item x="147"/>
        <item x="260"/>
        <item x="216"/>
        <item x="153"/>
        <item x="268"/>
        <item x="197"/>
        <item x="127"/>
        <item x="225"/>
        <item x="161"/>
        <item x="158"/>
        <item x="151"/>
        <item x="251"/>
        <item x="247"/>
        <item x="220"/>
        <item x="82"/>
        <item x="53"/>
        <item x="248"/>
        <item x="63"/>
        <item x="256"/>
        <item x="263"/>
        <item x="176"/>
        <item x="104"/>
        <item x="275"/>
        <item x="55"/>
        <item x="211"/>
        <item x="239"/>
        <item x="98"/>
        <item x="145"/>
        <item x="132"/>
        <item x="165"/>
        <item x="234"/>
        <item x="188"/>
        <item x="7"/>
        <item x="214"/>
        <item x="254"/>
        <item x="237"/>
        <item x="155"/>
        <item x="184"/>
        <item x="265"/>
        <item x="20"/>
        <item x="120"/>
        <item x="210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1"/>
  </rowFields>
  <rowItems count="11">
    <i>
      <x v="282"/>
    </i>
    <i>
      <x v="201"/>
    </i>
    <i>
      <x v="207"/>
    </i>
    <i>
      <x v="61"/>
    </i>
    <i>
      <x v="202"/>
    </i>
    <i>
      <x v="80"/>
    </i>
    <i>
      <x v="13"/>
    </i>
    <i>
      <x v="46"/>
    </i>
    <i>
      <x v="210"/>
    </i>
    <i>
      <x v="98"/>
    </i>
    <i t="grand">
      <x/>
    </i>
  </rowItems>
  <colItems count="1">
    <i/>
  </colItems>
  <pageFields count="1">
    <pageField fld="12" item="1" hier="-1"/>
  </pageFields>
  <dataFields count="1">
    <dataField name="Count of Product Code" fld="0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06676-594A-48D5-AAA0-E3FA996AC678}" name="PivotTable17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I3:J15" firstHeaderRow="1" firstDataRow="1" firstDataCol="1" rowPageCount="1" colPageCount="1"/>
  <pivotFields count="14">
    <pivotField dataField="1" showAll="0">
      <items count="1221">
        <item x="433"/>
        <item x="1004"/>
        <item x="1051"/>
        <item x="652"/>
        <item x="813"/>
        <item x="110"/>
        <item x="489"/>
        <item x="327"/>
        <item x="246"/>
        <item x="574"/>
        <item x="24"/>
        <item x="1006"/>
        <item x="402"/>
        <item x="941"/>
        <item x="45"/>
        <item x="287"/>
        <item x="956"/>
        <item x="126"/>
        <item x="1145"/>
        <item x="419"/>
        <item x="1029"/>
        <item x="301"/>
        <item x="731"/>
        <item x="242"/>
        <item x="677"/>
        <item x="714"/>
        <item x="368"/>
        <item x="1196"/>
        <item x="360"/>
        <item x="309"/>
        <item x="599"/>
        <item x="1114"/>
        <item x="558"/>
        <item x="756"/>
        <item x="1096"/>
        <item x="282"/>
        <item x="98"/>
        <item x="821"/>
        <item x="112"/>
        <item x="860"/>
        <item x="550"/>
        <item x="329"/>
        <item x="1017"/>
        <item x="260"/>
        <item x="968"/>
        <item x="480"/>
        <item x="175"/>
        <item x="443"/>
        <item x="1139"/>
        <item x="963"/>
        <item x="30"/>
        <item x="378"/>
        <item x="121"/>
        <item x="430"/>
        <item x="1093"/>
        <item x="162"/>
        <item x="281"/>
        <item x="1026"/>
        <item x="20"/>
        <item x="1089"/>
        <item x="954"/>
        <item x="1195"/>
        <item x="12"/>
        <item x="26"/>
        <item x="850"/>
        <item x="17"/>
        <item x="957"/>
        <item x="423"/>
        <item x="605"/>
        <item x="663"/>
        <item x="219"/>
        <item x="1095"/>
        <item x="837"/>
        <item x="691"/>
        <item x="797"/>
        <item x="432"/>
        <item x="106"/>
        <item x="767"/>
        <item x="1143"/>
        <item x="1155"/>
        <item x="530"/>
        <item x="722"/>
        <item x="1059"/>
        <item x="236"/>
        <item x="465"/>
        <item x="133"/>
        <item x="231"/>
        <item x="1033"/>
        <item x="213"/>
        <item x="820"/>
        <item x="527"/>
        <item x="312"/>
        <item x="220"/>
        <item x="1075"/>
        <item x="1050"/>
        <item x="897"/>
        <item x="913"/>
        <item x="1024"/>
        <item x="399"/>
        <item x="1192"/>
        <item x="261"/>
        <item x="398"/>
        <item x="458"/>
        <item x="15"/>
        <item x="811"/>
        <item x="271"/>
        <item x="666"/>
        <item x="397"/>
        <item x="198"/>
        <item x="307"/>
        <item x="1176"/>
        <item x="985"/>
        <item x="1113"/>
        <item x="435"/>
        <item x="463"/>
        <item x="614"/>
        <item x="662"/>
        <item x="937"/>
        <item x="78"/>
        <item x="429"/>
        <item x="87"/>
        <item x="686"/>
        <item x="111"/>
        <item x="230"/>
        <item x="1126"/>
        <item x="969"/>
        <item x="1120"/>
        <item x="517"/>
        <item x="277"/>
        <item x="137"/>
        <item x="6"/>
        <item x="676"/>
        <item x="1215"/>
        <item x="857"/>
        <item x="166"/>
        <item x="638"/>
        <item x="603"/>
        <item x="403"/>
        <item x="875"/>
        <item x="1122"/>
        <item x="212"/>
        <item x="672"/>
        <item x="1040"/>
        <item x="32"/>
        <item x="36"/>
        <item x="361"/>
        <item x="276"/>
        <item x="344"/>
        <item x="1164"/>
        <item x="654"/>
        <item x="353"/>
        <item x="1169"/>
        <item x="1099"/>
        <item x="58"/>
        <item x="914"/>
        <item x="1116"/>
        <item x="1141"/>
        <item x="512"/>
        <item x="193"/>
        <item x="1217"/>
        <item x="842"/>
        <item x="533"/>
        <item x="413"/>
        <item x="1064"/>
        <item x="132"/>
        <item x="802"/>
        <item x="904"/>
        <item x="99"/>
        <item x="561"/>
        <item x="456"/>
        <item x="644"/>
        <item x="1101"/>
        <item x="305"/>
        <item x="229"/>
        <item x="751"/>
        <item x="177"/>
        <item x="503"/>
        <item x="178"/>
        <item x="886"/>
        <item x="1098"/>
        <item x="1121"/>
        <item x="377"/>
        <item x="679"/>
        <item x="729"/>
        <item x="1036"/>
        <item x="996"/>
        <item x="1161"/>
        <item x="223"/>
        <item x="1013"/>
        <item x="549"/>
        <item x="760"/>
        <item x="770"/>
        <item x="828"/>
        <item x="863"/>
        <item x="949"/>
        <item x="295"/>
        <item x="59"/>
        <item x="675"/>
        <item x="867"/>
        <item x="450"/>
        <item x="822"/>
        <item x="929"/>
        <item x="734"/>
        <item x="902"/>
        <item x="469"/>
        <item x="1111"/>
        <item x="437"/>
        <item x="559"/>
        <item x="724"/>
        <item x="500"/>
        <item x="317"/>
        <item x="75"/>
        <item x="391"/>
        <item x="86"/>
        <item x="1039"/>
        <item x="870"/>
        <item x="785"/>
        <item x="633"/>
        <item x="492"/>
        <item x="787"/>
        <item x="630"/>
        <item x="93"/>
        <item x="1065"/>
        <item x="1175"/>
        <item x="476"/>
        <item x="1035"/>
        <item x="505"/>
        <item x="1104"/>
        <item x="571"/>
        <item x="689"/>
        <item x="1179"/>
        <item x="431"/>
        <item x="1136"/>
        <item x="408"/>
        <item x="853"/>
        <item x="808"/>
        <item x="365"/>
        <item x="639"/>
        <item x="887"/>
        <item x="5"/>
        <item x="192"/>
        <item x="33"/>
        <item x="981"/>
        <item x="636"/>
        <item x="29"/>
        <item x="649"/>
        <item x="369"/>
        <item x="761"/>
        <item x="926"/>
        <item x="946"/>
        <item x="415"/>
        <item x="313"/>
        <item x="52"/>
        <item x="62"/>
        <item x="983"/>
        <item x="1078"/>
        <item x="774"/>
        <item x="328"/>
        <item x="1178"/>
        <item x="616"/>
        <item x="101"/>
        <item x="1108"/>
        <item x="21"/>
        <item x="130"/>
        <item x="934"/>
        <item x="468"/>
        <item x="253"/>
        <item x="48"/>
        <item x="60"/>
        <item x="979"/>
        <item x="769"/>
        <item x="917"/>
        <item x="958"/>
        <item x="673"/>
        <item x="333"/>
        <item x="831"/>
        <item x="548"/>
        <item x="921"/>
        <item x="581"/>
        <item x="1137"/>
        <item x="290"/>
        <item x="34"/>
        <item x="725"/>
        <item x="1042"/>
        <item x="74"/>
        <item x="610"/>
        <item x="551"/>
        <item x="155"/>
        <item x="22"/>
        <item x="306"/>
        <item x="478"/>
        <item x="1010"/>
        <item x="1102"/>
        <item x="46"/>
        <item x="141"/>
        <item x="200"/>
        <item x="190"/>
        <item x="711"/>
        <item x="727"/>
        <item x="1156"/>
        <item x="832"/>
        <item x="65"/>
        <item x="120"/>
        <item x="464"/>
        <item x="222"/>
        <item x="908"/>
        <item x="286"/>
        <item x="526"/>
        <item x="1206"/>
        <item x="1148"/>
        <item x="1185"/>
        <item x="1188"/>
        <item x="656"/>
        <item x="1165"/>
        <item x="678"/>
        <item x="1118"/>
        <item x="157"/>
        <item x="525"/>
        <item x="631"/>
        <item x="894"/>
        <item x="381"/>
        <item x="49"/>
        <item x="807"/>
        <item x="146"/>
        <item x="696"/>
        <item x="804"/>
        <item x="1204"/>
        <item x="718"/>
        <item x="896"/>
        <item x="584"/>
        <item x="240"/>
        <item x="674"/>
        <item x="543"/>
        <item x="299"/>
        <item x="839"/>
        <item x="1007"/>
        <item x="293"/>
        <item x="462"/>
        <item x="483"/>
        <item x="782"/>
        <item x="291"/>
        <item x="519"/>
        <item x="104"/>
        <item x="125"/>
        <item x="1023"/>
        <item x="496"/>
        <item x="951"/>
        <item x="568"/>
        <item x="646"/>
        <item x="410"/>
        <item x="560"/>
        <item x="553"/>
        <item x="1144"/>
        <item x="596"/>
        <item x="938"/>
        <item x="332"/>
        <item x="557"/>
        <item x="187"/>
        <item x="540"/>
        <item x="10"/>
        <item x="280"/>
        <item x="217"/>
        <item x="364"/>
        <item x="757"/>
        <item x="400"/>
        <item x="1123"/>
        <item x="102"/>
        <item x="204"/>
        <item x="39"/>
        <item x="1183"/>
        <item x="790"/>
        <item x="844"/>
        <item x="579"/>
        <item x="1174"/>
        <item x="575"/>
        <item x="534"/>
        <item x="144"/>
        <item x="598"/>
        <item x="1210"/>
        <item x="953"/>
        <item x="337"/>
        <item x="18"/>
        <item x="619"/>
        <item x="205"/>
        <item x="440"/>
        <item x="161"/>
        <item x="779"/>
        <item x="292"/>
        <item x="905"/>
        <item x="687"/>
        <item x="827"/>
        <item x="613"/>
        <item x="42"/>
        <item x="135"/>
        <item x="552"/>
        <item x="566"/>
        <item x="405"/>
        <item x="421"/>
        <item x="394"/>
        <item x="684"/>
        <item x="1063"/>
        <item x="698"/>
        <item x="1201"/>
        <item x="998"/>
        <item x="993"/>
        <item x="786"/>
        <item x="197"/>
        <item x="272"/>
        <item x="836"/>
        <item x="1214"/>
        <item x="700"/>
        <item x="826"/>
        <item x="392"/>
        <item x="488"/>
        <item x="385"/>
        <item x="773"/>
        <item x="19"/>
        <item x="723"/>
        <item x="601"/>
        <item x="395"/>
        <item x="379"/>
        <item x="1028"/>
        <item x="156"/>
        <item x="1025"/>
        <item x="237"/>
        <item x="359"/>
        <item x="77"/>
        <item x="593"/>
        <item x="214"/>
        <item x="122"/>
        <item x="202"/>
        <item x="915"/>
        <item x="103"/>
        <item x="522"/>
        <item x="14"/>
        <item x="1082"/>
        <item x="866"/>
        <item x="339"/>
        <item x="420"/>
        <item x="582"/>
        <item x="978"/>
        <item x="565"/>
        <item x="1056"/>
        <item x="538"/>
        <item x="1218"/>
        <item x="869"/>
        <item x="372"/>
        <item x="625"/>
        <item x="191"/>
        <item x="788"/>
        <item x="288"/>
        <item x="589"/>
        <item x="1079"/>
        <item x="1057"/>
        <item x="916"/>
        <item x="1053"/>
        <item x="542"/>
        <item x="562"/>
        <item x="143"/>
        <item x="1088"/>
        <item x="924"/>
        <item x="168"/>
        <item x="1166"/>
        <item x="256"/>
        <item x="933"/>
        <item x="1205"/>
        <item x="1162"/>
        <item x="209"/>
        <item x="795"/>
        <item x="1107"/>
        <item x="8"/>
        <item x="759"/>
        <item x="524"/>
        <item x="16"/>
        <item x="64"/>
        <item x="1037"/>
        <item x="331"/>
        <item x="13"/>
        <item x="750"/>
        <item x="447"/>
        <item x="167"/>
        <item x="541"/>
        <item x="539"/>
        <item x="114"/>
        <item x="81"/>
        <item x="470"/>
        <item x="1171"/>
        <item x="357"/>
        <item x="264"/>
        <item x="578"/>
        <item x="352"/>
        <item x="991"/>
        <item x="457"/>
        <item x="1203"/>
        <item x="124"/>
        <item x="611"/>
        <item x="923"/>
        <item x="318"/>
        <item x="1198"/>
        <item x="393"/>
        <item x="846"/>
        <item x="928"/>
        <item x="376"/>
        <item x="659"/>
        <item x="92"/>
        <item x="136"/>
        <item x="694"/>
        <item x="72"/>
        <item x="348"/>
        <item x="1133"/>
        <item x="1142"/>
        <item x="0"/>
        <item x="510"/>
        <item x="438"/>
        <item x="628"/>
        <item x="532"/>
        <item x="153"/>
        <item x="758"/>
        <item x="1146"/>
        <item x="717"/>
        <item x="188"/>
        <item x="1034"/>
        <item x="145"/>
        <item x="491"/>
        <item x="629"/>
        <item x="1081"/>
        <item x="755"/>
        <item x="984"/>
        <item x="762"/>
        <item x="1200"/>
        <item x="748"/>
        <item x="967"/>
        <item x="108"/>
        <item x="544"/>
        <item x="1054"/>
        <item x="164"/>
        <item x="643"/>
        <item x="715"/>
        <item x="341"/>
        <item x="935"/>
        <item x="319"/>
        <item x="841"/>
        <item x="406"/>
        <item x="444"/>
        <item x="235"/>
        <item x="997"/>
        <item x="268"/>
        <item x="680"/>
        <item x="943"/>
        <item x="1158"/>
        <item x="545"/>
        <item x="1090"/>
        <item x="1194"/>
        <item x="389"/>
        <item x="297"/>
        <item x="1058"/>
        <item x="918"/>
        <item x="737"/>
        <item x="573"/>
        <item x="776"/>
        <item x="658"/>
        <item x="1038"/>
        <item x="602"/>
        <item x="142"/>
        <item x="263"/>
        <item x="641"/>
        <item x="1191"/>
        <item x="891"/>
        <item x="809"/>
        <item x="546"/>
        <item x="845"/>
        <item x="265"/>
        <item x="484"/>
        <item x="592"/>
        <item x="147"/>
        <item x="743"/>
        <item x="116"/>
        <item x="1084"/>
        <item x="1018"/>
        <item x="622"/>
        <item x="334"/>
        <item x="11"/>
        <item x="627"/>
        <item x="535"/>
        <item x="959"/>
        <item x="134"/>
        <item x="830"/>
        <item x="600"/>
        <item x="55"/>
        <item x="858"/>
        <item x="269"/>
        <item x="199"/>
        <item x="73"/>
        <item x="805"/>
        <item x="195"/>
        <item x="247"/>
        <item x="185"/>
        <item x="228"/>
        <item x="992"/>
        <item x="1048"/>
        <item x="683"/>
        <item x="296"/>
        <item x="1031"/>
        <item x="1163"/>
        <item x="1014"/>
        <item x="1022"/>
        <item x="556"/>
        <item x="273"/>
        <item x="158"/>
        <item x="370"/>
        <item x="1077"/>
        <item x="988"/>
        <item x="960"/>
        <item x="1044"/>
        <item x="838"/>
        <item x="152"/>
        <item x="681"/>
        <item x="321"/>
        <item x="88"/>
        <item x="436"/>
        <item x="746"/>
        <item x="1055"/>
        <item x="825"/>
        <item x="345"/>
        <item x="91"/>
        <item x="390"/>
        <item x="9"/>
        <item x="764"/>
        <item x="810"/>
        <item x="181"/>
        <item x="793"/>
        <item x="1189"/>
        <item x="303"/>
        <item x="316"/>
        <item x="570"/>
        <item x="753"/>
        <item x="1125"/>
        <item x="1016"/>
        <item x="702"/>
        <item x="349"/>
        <item x="80"/>
        <item x="521"/>
        <item x="243"/>
        <item x="670"/>
        <item x="1197"/>
        <item x="1"/>
        <item x="883"/>
        <item x="454"/>
        <item x="412"/>
        <item x="523"/>
        <item x="1020"/>
        <item x="196"/>
        <item x="637"/>
        <item x="906"/>
        <item x="251"/>
        <item x="67"/>
        <item x="520"/>
        <item x="35"/>
        <item x="1061"/>
        <item x="910"/>
        <item x="798"/>
        <item x="977"/>
        <item x="950"/>
        <item x="76"/>
        <item x="1071"/>
        <item x="738"/>
        <item x="895"/>
        <item x="642"/>
        <item x="163"/>
        <item x="481"/>
        <item x="367"/>
        <item x="84"/>
        <item x="446"/>
        <item x="1167"/>
        <item x="854"/>
        <item x="990"/>
        <item x="165"/>
        <item x="796"/>
        <item x="780"/>
        <item x="1180"/>
        <item x="336"/>
        <item x="418"/>
        <item x="1097"/>
        <item x="865"/>
        <item x="3"/>
        <item x="634"/>
        <item x="986"/>
        <item x="651"/>
        <item x="713"/>
        <item x="442"/>
        <item x="595"/>
        <item x="131"/>
        <item x="118"/>
        <item x="356"/>
        <item x="1092"/>
        <item x="1159"/>
        <item x="531"/>
        <item x="109"/>
        <item x="1134"/>
        <item x="1152"/>
        <item x="819"/>
        <item x="719"/>
        <item x="1080"/>
        <item x="518"/>
        <item x="626"/>
        <item x="1073"/>
        <item x="843"/>
        <item x="343"/>
        <item x="1008"/>
        <item x="1170"/>
        <item x="434"/>
        <item x="113"/>
        <item x="1124"/>
        <item x="695"/>
        <item x="1049"/>
        <item x="1027"/>
        <item x="244"/>
        <item x="289"/>
        <item x="1045"/>
        <item x="207"/>
        <item x="709"/>
        <item x="96"/>
        <item x="427"/>
        <item x="57"/>
        <item x="180"/>
        <item x="833"/>
        <item x="1151"/>
        <item x="451"/>
        <item x="266"/>
        <item x="766"/>
        <item x="1211"/>
        <item x="310"/>
        <item x="94"/>
        <item x="580"/>
        <item x="661"/>
        <item x="490"/>
        <item x="371"/>
        <item x="411"/>
        <item x="1083"/>
        <item x="794"/>
        <item x="56"/>
        <item x="528"/>
        <item x="160"/>
        <item x="387"/>
        <item x="354"/>
        <item x="989"/>
        <item x="358"/>
        <item x="660"/>
        <item x="511"/>
        <item x="183"/>
        <item x="151"/>
        <item x="747"/>
        <item x="1129"/>
        <item x="479"/>
        <item x="980"/>
        <item x="1046"/>
        <item x="703"/>
        <item x="944"/>
        <item x="416"/>
        <item x="210"/>
        <item x="971"/>
        <item x="401"/>
        <item x="304"/>
        <item x="28"/>
        <item x="982"/>
        <item x="66"/>
        <item x="475"/>
        <item x="1041"/>
        <item x="712"/>
        <item x="704"/>
        <item x="745"/>
        <item x="567"/>
        <item x="608"/>
        <item x="888"/>
        <item x="1173"/>
        <item x="587"/>
        <item x="771"/>
        <item x="564"/>
        <item x="455"/>
        <item x="1069"/>
        <item x="815"/>
        <item x="38"/>
        <item x="612"/>
        <item x="645"/>
        <item x="150"/>
        <item x="1182"/>
        <item x="816"/>
        <item x="927"/>
        <item x="623"/>
        <item x="182"/>
        <item x="789"/>
        <item x="453"/>
        <item x="650"/>
        <item x="274"/>
        <item x="283"/>
        <item x="635"/>
        <item x="733"/>
        <item x="1072"/>
        <item x="640"/>
        <item x="965"/>
        <item x="1066"/>
        <item x="632"/>
        <item x="617"/>
        <item x="707"/>
        <item x="1009"/>
        <item x="791"/>
        <item x="107"/>
        <item x="775"/>
        <item x="1103"/>
        <item x="254"/>
        <item x="129"/>
        <item x="69"/>
        <item x="1132"/>
        <item x="225"/>
        <item x="1130"/>
        <item x="154"/>
        <item x="749"/>
        <item x="792"/>
        <item x="2"/>
        <item x="335"/>
        <item x="781"/>
        <item x="868"/>
        <item x="1109"/>
        <item x="128"/>
        <item x="1181"/>
        <item x="441"/>
        <item x="7"/>
        <item x="227"/>
        <item x="885"/>
        <item x="1157"/>
        <item x="763"/>
        <item x="878"/>
        <item x="585"/>
        <item x="1208"/>
        <item x="278"/>
        <item x="294"/>
        <item x="876"/>
        <item x="448"/>
        <item x="461"/>
        <item x="1032"/>
        <item x="338"/>
        <item x="414"/>
        <item x="428"/>
        <item x="396"/>
        <item x="848"/>
        <item x="1147"/>
        <item x="890"/>
        <item x="801"/>
        <item x="169"/>
        <item x="25"/>
        <item x="346"/>
        <item x="621"/>
        <item x="1105"/>
        <item x="347"/>
        <item x="123"/>
        <item x="1154"/>
        <item x="216"/>
        <item x="85"/>
        <item x="1067"/>
        <item x="366"/>
        <item x="179"/>
        <item x="215"/>
        <item x="653"/>
        <item x="1186"/>
        <item x="409"/>
        <item x="234"/>
        <item x="149"/>
        <item x="218"/>
        <item x="829"/>
        <item x="778"/>
        <item x="597"/>
        <item x="324"/>
        <item x="899"/>
        <item x="882"/>
        <item x="912"/>
        <item x="1209"/>
        <item x="690"/>
        <item x="693"/>
        <item x="657"/>
        <item x="494"/>
        <item x="97"/>
        <item x="777"/>
        <item x="471"/>
        <item x="783"/>
        <item x="995"/>
        <item x="330"/>
        <item x="342"/>
        <item x="422"/>
        <item x="1002"/>
        <item x="972"/>
        <item x="44"/>
        <item x="1168"/>
        <item x="1199"/>
        <item x="1219"/>
        <item x="308"/>
        <item x="474"/>
        <item x="999"/>
        <item x="170"/>
        <item x="834"/>
        <item x="987"/>
        <item x="576"/>
        <item x="383"/>
        <item x="732"/>
        <item x="688"/>
        <item x="577"/>
        <item x="859"/>
        <item x="955"/>
        <item x="138"/>
        <item x="817"/>
        <item x="874"/>
        <item x="61"/>
        <item x="1106"/>
        <item x="233"/>
        <item x="607"/>
        <item x="852"/>
        <item x="901"/>
        <item x="83"/>
        <item x="439"/>
        <item x="1177"/>
        <item x="799"/>
        <item x="70"/>
        <item x="351"/>
        <item x="249"/>
        <item x="871"/>
        <item x="206"/>
        <item x="201"/>
        <item x="127"/>
        <item x="267"/>
        <item x="1193"/>
        <item x="744"/>
        <item x="47"/>
        <item x="326"/>
        <item x="302"/>
        <item x="89"/>
        <item x="726"/>
        <item x="513"/>
        <item x="1119"/>
        <item x="1131"/>
        <item x="232"/>
        <item x="664"/>
        <item x="586"/>
        <item x="485"/>
        <item x="262"/>
        <item x="119"/>
        <item x="942"/>
        <item x="51"/>
        <item x="148"/>
        <item x="892"/>
        <item x="504"/>
        <item x="529"/>
        <item x="814"/>
        <item x="932"/>
        <item x="100"/>
        <item x="502"/>
        <item x="847"/>
        <item x="1001"/>
        <item x="40"/>
        <item x="909"/>
        <item x="911"/>
        <item x="648"/>
        <item x="1138"/>
        <item x="618"/>
        <item x="591"/>
        <item x="315"/>
        <item x="258"/>
        <item x="239"/>
        <item x="563"/>
        <item x="903"/>
        <item x="472"/>
        <item x="68"/>
        <item x="1149"/>
        <item x="508"/>
        <item x="1112"/>
        <item x="279"/>
        <item x="840"/>
        <item x="1202"/>
        <item x="1150"/>
        <item x="939"/>
        <item x="884"/>
        <item x="893"/>
        <item x="189"/>
        <item x="95"/>
        <item x="1216"/>
        <item x="710"/>
        <item x="692"/>
        <item x="554"/>
        <item x="380"/>
        <item x="325"/>
        <item x="705"/>
        <item x="720"/>
        <item x="818"/>
        <item x="699"/>
        <item x="1135"/>
        <item x="806"/>
        <item x="388"/>
        <item x="615"/>
        <item x="604"/>
        <item x="966"/>
        <item x="976"/>
        <item x="1000"/>
        <item x="973"/>
        <item x="655"/>
        <item x="382"/>
        <item x="506"/>
        <item x="259"/>
        <item x="898"/>
        <item x="952"/>
        <item x="499"/>
        <item x="824"/>
        <item x="90"/>
        <item x="1062"/>
        <item x="41"/>
        <item x="375"/>
        <item x="322"/>
        <item x="900"/>
        <item x="31"/>
        <item x="449"/>
        <item x="63"/>
        <item x="1187"/>
        <item x="1052"/>
        <item x="889"/>
        <item x="739"/>
        <item x="482"/>
        <item x="555"/>
        <item x="1213"/>
        <item x="186"/>
        <item x="823"/>
        <item x="1074"/>
        <item x="1115"/>
        <item x="79"/>
        <item x="173"/>
        <item x="1060"/>
        <item x="241"/>
        <item x="742"/>
        <item x="255"/>
        <item x="515"/>
        <item x="514"/>
        <item x="323"/>
        <item x="82"/>
        <item x="1068"/>
        <item x="1076"/>
        <item x="350"/>
        <item x="936"/>
        <item x="340"/>
        <item x="1011"/>
        <item x="314"/>
        <item x="880"/>
        <item x="948"/>
        <item x="940"/>
        <item x="298"/>
        <item x="300"/>
        <item x="311"/>
        <item x="879"/>
        <item x="208"/>
        <item x="962"/>
        <item x="1160"/>
        <item x="735"/>
        <item x="1094"/>
        <item x="730"/>
        <item x="945"/>
        <item x="685"/>
        <item x="140"/>
        <item x="708"/>
        <item x="486"/>
        <item x="594"/>
        <item x="1127"/>
        <item x="384"/>
        <item x="1207"/>
        <item x="194"/>
        <item x="487"/>
        <item x="238"/>
        <item x="407"/>
        <item x="536"/>
        <item x="1005"/>
        <item x="994"/>
        <item x="800"/>
        <item x="275"/>
        <item x="877"/>
        <item x="285"/>
        <item x="701"/>
        <item x="970"/>
        <item x="105"/>
        <item x="176"/>
        <item x="501"/>
        <item x="497"/>
        <item x="248"/>
        <item x="835"/>
        <item x="930"/>
        <item x="1070"/>
        <item x="873"/>
        <item x="740"/>
        <item x="721"/>
        <item x="493"/>
        <item x="682"/>
        <item x="362"/>
        <item x="473"/>
        <item x="1128"/>
        <item x="671"/>
        <item x="572"/>
        <item x="872"/>
        <item x="516"/>
        <item x="460"/>
        <item x="53"/>
        <item x="27"/>
        <item x="849"/>
        <item x="1117"/>
        <item x="606"/>
        <item x="812"/>
        <item x="203"/>
        <item x="115"/>
        <item x="1100"/>
        <item x="741"/>
        <item x="803"/>
        <item x="424"/>
        <item x="862"/>
        <item x="765"/>
        <item x="417"/>
        <item x="647"/>
        <item x="1043"/>
        <item x="50"/>
        <item x="509"/>
        <item x="1019"/>
        <item x="224"/>
        <item x="855"/>
        <item x="1086"/>
        <item x="754"/>
        <item x="467"/>
        <item x="270"/>
        <item x="569"/>
        <item x="1091"/>
        <item x="1110"/>
        <item x="452"/>
        <item x="172"/>
        <item x="974"/>
        <item x="922"/>
        <item x="1021"/>
        <item x="851"/>
        <item x="507"/>
        <item x="1190"/>
        <item x="117"/>
        <item x="728"/>
        <item x="54"/>
        <item x="964"/>
        <item x="920"/>
        <item x="667"/>
        <item x="583"/>
        <item x="907"/>
        <item x="257"/>
        <item x="171"/>
        <item x="226"/>
        <item x="363"/>
        <item x="355"/>
        <item x="139"/>
        <item x="37"/>
        <item x="1172"/>
        <item x="925"/>
        <item x="495"/>
        <item x="404"/>
        <item x="1012"/>
        <item x="1047"/>
        <item x="716"/>
        <item x="772"/>
        <item x="250"/>
        <item x="919"/>
        <item x="961"/>
        <item x="252"/>
        <item x="373"/>
        <item x="1212"/>
        <item x="752"/>
        <item x="665"/>
        <item x="881"/>
        <item x="23"/>
        <item x="466"/>
        <item x="221"/>
        <item x="931"/>
        <item x="445"/>
        <item x="320"/>
        <item x="768"/>
        <item x="174"/>
        <item x="284"/>
        <item x="498"/>
        <item x="477"/>
        <item x="624"/>
        <item x="706"/>
        <item x="975"/>
        <item x="590"/>
        <item x="864"/>
        <item x="1153"/>
        <item x="374"/>
        <item x="1087"/>
        <item x="697"/>
        <item x="1003"/>
        <item x="588"/>
        <item x="425"/>
        <item x="620"/>
        <item x="1140"/>
        <item x="184"/>
        <item x="1184"/>
        <item x="947"/>
        <item x="459"/>
        <item x="43"/>
        <item x="861"/>
        <item x="4"/>
        <item x="1030"/>
        <item x="669"/>
        <item x="856"/>
        <item x="609"/>
        <item x="386"/>
        <item x="1015"/>
        <item x="537"/>
        <item x="1085"/>
        <item x="426"/>
        <item x="71"/>
        <item x="736"/>
        <item x="245"/>
        <item x="547"/>
        <item x="159"/>
        <item x="784"/>
        <item x="668"/>
        <item x="211"/>
        <item t="default"/>
      </items>
    </pivotField>
    <pivotField axis="axisRow" showAll="0" measureFilter="1">
      <items count="284">
        <item x="38"/>
        <item x="221"/>
        <item x="196"/>
        <item x="245"/>
        <item x="201"/>
        <item x="131"/>
        <item x="218"/>
        <item x="166"/>
        <item x="108"/>
        <item x="174"/>
        <item x="246"/>
        <item x="106"/>
        <item x="266"/>
        <item x="62"/>
        <item x="6"/>
        <item x="190"/>
        <item x="133"/>
        <item x="181"/>
        <item x="167"/>
        <item x="44"/>
        <item x="81"/>
        <item x="195"/>
        <item x="119"/>
        <item x="194"/>
        <item x="200"/>
        <item x="274"/>
        <item x="240"/>
        <item x="172"/>
        <item x="198"/>
        <item x="56"/>
        <item x="3"/>
        <item x="149"/>
        <item x="100"/>
        <item x="148"/>
        <item x="35"/>
        <item x="109"/>
        <item x="250"/>
        <item x="141"/>
        <item x="192"/>
        <item x="68"/>
        <item x="253"/>
        <item x="146"/>
        <item x="11"/>
        <item x="46"/>
        <item x="118"/>
        <item x="249"/>
        <item x="74"/>
        <item x="54"/>
        <item x="186"/>
        <item x="1"/>
        <item x="122"/>
        <item x="65"/>
        <item x="59"/>
        <item x="222"/>
        <item x="10"/>
        <item x="276"/>
        <item x="60"/>
        <item x="233"/>
        <item x="205"/>
        <item x="264"/>
        <item x="97"/>
        <item x="262"/>
        <item x="19"/>
        <item x="270"/>
        <item x="27"/>
        <item x="258"/>
        <item x="278"/>
        <item x="150"/>
        <item x="31"/>
        <item x="101"/>
        <item x="85"/>
        <item x="93"/>
        <item x="102"/>
        <item x="22"/>
        <item x="73"/>
        <item x="28"/>
        <item x="30"/>
        <item x="272"/>
        <item x="134"/>
        <item x="215"/>
        <item x="99"/>
        <item x="75"/>
        <item x="187"/>
        <item x="67"/>
        <item x="8"/>
        <item x="95"/>
        <item x="154"/>
        <item x="281"/>
        <item x="103"/>
        <item x="232"/>
        <item x="199"/>
        <item x="191"/>
        <item x="261"/>
        <item x="156"/>
        <item x="242"/>
        <item x="76"/>
        <item x="43"/>
        <item x="58"/>
        <item x="206"/>
        <item x="0"/>
        <item x="66"/>
        <item x="231"/>
        <item x="224"/>
        <item x="164"/>
        <item x="227"/>
        <item x="69"/>
        <item x="116"/>
        <item x="23"/>
        <item x="90"/>
        <item x="152"/>
        <item x="228"/>
        <item x="175"/>
        <item x="114"/>
        <item x="219"/>
        <item x="24"/>
        <item x="238"/>
        <item x="229"/>
        <item x="129"/>
        <item x="128"/>
        <item x="257"/>
        <item x="180"/>
        <item x="48"/>
        <item x="25"/>
        <item x="111"/>
        <item x="137"/>
        <item x="244"/>
        <item x="182"/>
        <item x="252"/>
        <item x="89"/>
        <item x="92"/>
        <item x="139"/>
        <item x="269"/>
        <item x="121"/>
        <item x="230"/>
        <item x="84"/>
        <item x="217"/>
        <item x="177"/>
        <item x="212"/>
        <item x="70"/>
        <item x="112"/>
        <item x="113"/>
        <item x="163"/>
        <item x="64"/>
        <item x="107"/>
        <item x="183"/>
        <item x="57"/>
        <item x="123"/>
        <item x="173"/>
        <item x="126"/>
        <item x="259"/>
        <item x="14"/>
        <item x="94"/>
        <item x="136"/>
        <item x="42"/>
        <item x="96"/>
        <item x="16"/>
        <item x="32"/>
        <item x="162"/>
        <item x="36"/>
        <item x="209"/>
        <item x="202"/>
        <item x="39"/>
        <item x="178"/>
        <item x="208"/>
        <item x="159"/>
        <item x="204"/>
        <item x="157"/>
        <item x="40"/>
        <item x="80"/>
        <item x="144"/>
        <item x="4"/>
        <item x="61"/>
        <item x="34"/>
        <item x="207"/>
        <item x="41"/>
        <item x="277"/>
        <item x="78"/>
        <item x="105"/>
        <item x="235"/>
        <item x="279"/>
        <item x="83"/>
        <item x="255"/>
        <item x="87"/>
        <item x="51"/>
        <item x="12"/>
        <item x="138"/>
        <item x="185"/>
        <item x="52"/>
        <item x="13"/>
        <item x="273"/>
        <item x="282"/>
        <item x="86"/>
        <item x="213"/>
        <item x="160"/>
        <item x="124"/>
        <item x="189"/>
        <item x="169"/>
        <item x="88"/>
        <item x="179"/>
        <item x="33"/>
        <item x="117"/>
        <item x="226"/>
        <item x="5"/>
        <item x="45"/>
        <item x="37"/>
        <item x="71"/>
        <item x="203"/>
        <item x="26"/>
        <item x="15"/>
        <item x="280"/>
        <item x="143"/>
        <item x="2"/>
        <item x="49"/>
        <item x="125"/>
        <item x="267"/>
        <item x="79"/>
        <item x="236"/>
        <item x="271"/>
        <item x="142"/>
        <item x="21"/>
        <item x="110"/>
        <item x="223"/>
        <item x="170"/>
        <item x="241"/>
        <item x="171"/>
        <item x="115"/>
        <item x="135"/>
        <item x="72"/>
        <item x="77"/>
        <item x="130"/>
        <item x="18"/>
        <item x="17"/>
        <item x="140"/>
        <item x="47"/>
        <item x="193"/>
        <item x="9"/>
        <item x="91"/>
        <item x="243"/>
        <item x="168"/>
        <item x="50"/>
        <item x="29"/>
        <item x="147"/>
        <item x="260"/>
        <item x="216"/>
        <item x="153"/>
        <item x="268"/>
        <item x="197"/>
        <item x="127"/>
        <item x="225"/>
        <item x="161"/>
        <item x="158"/>
        <item x="151"/>
        <item x="251"/>
        <item x="247"/>
        <item x="220"/>
        <item x="82"/>
        <item x="53"/>
        <item x="248"/>
        <item x="63"/>
        <item x="256"/>
        <item x="263"/>
        <item x="176"/>
        <item x="104"/>
        <item x="275"/>
        <item x="55"/>
        <item x="211"/>
        <item x="239"/>
        <item x="98"/>
        <item x="145"/>
        <item x="132"/>
        <item x="165"/>
        <item x="234"/>
        <item x="188"/>
        <item x="7"/>
        <item x="214"/>
        <item x="254"/>
        <item x="237"/>
        <item x="155"/>
        <item x="184"/>
        <item x="265"/>
        <item x="20"/>
        <item x="120"/>
        <item x="210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1"/>
  </rowFields>
  <rowItems count="12">
    <i>
      <x/>
    </i>
    <i>
      <x v="47"/>
    </i>
    <i>
      <x v="62"/>
    </i>
    <i>
      <x v="81"/>
    </i>
    <i>
      <x v="202"/>
    </i>
    <i>
      <x v="203"/>
    </i>
    <i>
      <x v="208"/>
    </i>
    <i>
      <x v="211"/>
    </i>
    <i>
      <x v="256"/>
    </i>
    <i>
      <x v="273"/>
    </i>
    <i>
      <x v="281"/>
    </i>
    <i t="grand">
      <x/>
    </i>
  </rowItems>
  <colItems count="1">
    <i/>
  </colItems>
  <pageFields count="1">
    <pageField fld="12" item="0" hier="-1"/>
  </pageFields>
  <dataFields count="1">
    <dataField name="Count of Product Code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96D32-AE02-4526-A818-09357DA714AF}" name="PivotTable15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3:F14" firstHeaderRow="1" firstDataRow="1" firstDataCol="1" rowPageCount="1" colPageCount="1"/>
  <pivotFields count="14">
    <pivotField dataField="1" showAll="0">
      <items count="1221">
        <item x="433"/>
        <item x="1004"/>
        <item x="1051"/>
        <item x="652"/>
        <item x="813"/>
        <item x="110"/>
        <item x="489"/>
        <item x="327"/>
        <item x="246"/>
        <item x="574"/>
        <item x="24"/>
        <item x="1006"/>
        <item x="402"/>
        <item x="941"/>
        <item x="45"/>
        <item x="287"/>
        <item x="956"/>
        <item x="126"/>
        <item x="1145"/>
        <item x="419"/>
        <item x="1029"/>
        <item x="301"/>
        <item x="731"/>
        <item x="242"/>
        <item x="677"/>
        <item x="714"/>
        <item x="368"/>
        <item x="1196"/>
        <item x="360"/>
        <item x="309"/>
        <item x="599"/>
        <item x="1114"/>
        <item x="558"/>
        <item x="756"/>
        <item x="1096"/>
        <item x="282"/>
        <item x="98"/>
        <item x="821"/>
        <item x="112"/>
        <item x="860"/>
        <item x="550"/>
        <item x="329"/>
        <item x="1017"/>
        <item x="260"/>
        <item x="968"/>
        <item x="480"/>
        <item x="175"/>
        <item x="443"/>
        <item x="1139"/>
        <item x="963"/>
        <item x="30"/>
        <item x="378"/>
        <item x="121"/>
        <item x="430"/>
        <item x="1093"/>
        <item x="162"/>
        <item x="281"/>
        <item x="1026"/>
        <item x="20"/>
        <item x="1089"/>
        <item x="954"/>
        <item x="1195"/>
        <item x="12"/>
        <item x="26"/>
        <item x="850"/>
        <item x="17"/>
        <item x="957"/>
        <item x="423"/>
        <item x="605"/>
        <item x="663"/>
        <item x="219"/>
        <item x="1095"/>
        <item x="837"/>
        <item x="691"/>
        <item x="797"/>
        <item x="432"/>
        <item x="106"/>
        <item x="767"/>
        <item x="1143"/>
        <item x="1155"/>
        <item x="530"/>
        <item x="722"/>
        <item x="1059"/>
        <item x="236"/>
        <item x="465"/>
        <item x="133"/>
        <item x="231"/>
        <item x="1033"/>
        <item x="213"/>
        <item x="820"/>
        <item x="527"/>
        <item x="312"/>
        <item x="220"/>
        <item x="1075"/>
        <item x="1050"/>
        <item x="897"/>
        <item x="913"/>
        <item x="1024"/>
        <item x="399"/>
        <item x="1192"/>
        <item x="261"/>
        <item x="398"/>
        <item x="458"/>
        <item x="15"/>
        <item x="811"/>
        <item x="271"/>
        <item x="666"/>
        <item x="397"/>
        <item x="198"/>
        <item x="307"/>
        <item x="1176"/>
        <item x="985"/>
        <item x="1113"/>
        <item x="435"/>
        <item x="463"/>
        <item x="614"/>
        <item x="662"/>
        <item x="937"/>
        <item x="78"/>
        <item x="429"/>
        <item x="87"/>
        <item x="686"/>
        <item x="111"/>
        <item x="230"/>
        <item x="1126"/>
        <item x="969"/>
        <item x="1120"/>
        <item x="517"/>
        <item x="277"/>
        <item x="137"/>
        <item x="6"/>
        <item x="676"/>
        <item x="1215"/>
        <item x="857"/>
        <item x="166"/>
        <item x="638"/>
        <item x="603"/>
        <item x="403"/>
        <item x="875"/>
        <item x="1122"/>
        <item x="212"/>
        <item x="672"/>
        <item x="1040"/>
        <item x="32"/>
        <item x="36"/>
        <item x="361"/>
        <item x="276"/>
        <item x="344"/>
        <item x="1164"/>
        <item x="654"/>
        <item x="353"/>
        <item x="1169"/>
        <item x="1099"/>
        <item x="58"/>
        <item x="914"/>
        <item x="1116"/>
        <item x="1141"/>
        <item x="512"/>
        <item x="193"/>
        <item x="1217"/>
        <item x="842"/>
        <item x="533"/>
        <item x="413"/>
        <item x="1064"/>
        <item x="132"/>
        <item x="802"/>
        <item x="904"/>
        <item x="99"/>
        <item x="561"/>
        <item x="456"/>
        <item x="644"/>
        <item x="1101"/>
        <item x="305"/>
        <item x="229"/>
        <item x="751"/>
        <item x="177"/>
        <item x="503"/>
        <item x="178"/>
        <item x="886"/>
        <item x="1098"/>
        <item x="1121"/>
        <item x="377"/>
        <item x="679"/>
        <item x="729"/>
        <item x="1036"/>
        <item x="996"/>
        <item x="1161"/>
        <item x="223"/>
        <item x="1013"/>
        <item x="549"/>
        <item x="760"/>
        <item x="770"/>
        <item x="828"/>
        <item x="863"/>
        <item x="949"/>
        <item x="295"/>
        <item x="59"/>
        <item x="675"/>
        <item x="867"/>
        <item x="450"/>
        <item x="822"/>
        <item x="929"/>
        <item x="734"/>
        <item x="902"/>
        <item x="469"/>
        <item x="1111"/>
        <item x="437"/>
        <item x="559"/>
        <item x="724"/>
        <item x="500"/>
        <item x="317"/>
        <item x="75"/>
        <item x="391"/>
        <item x="86"/>
        <item x="1039"/>
        <item x="870"/>
        <item x="785"/>
        <item x="633"/>
        <item x="492"/>
        <item x="787"/>
        <item x="630"/>
        <item x="93"/>
        <item x="1065"/>
        <item x="1175"/>
        <item x="476"/>
        <item x="1035"/>
        <item x="505"/>
        <item x="1104"/>
        <item x="571"/>
        <item x="689"/>
        <item x="1179"/>
        <item x="431"/>
        <item x="1136"/>
        <item x="408"/>
        <item x="853"/>
        <item x="808"/>
        <item x="365"/>
        <item x="639"/>
        <item x="887"/>
        <item x="5"/>
        <item x="192"/>
        <item x="33"/>
        <item x="981"/>
        <item x="636"/>
        <item x="29"/>
        <item x="649"/>
        <item x="369"/>
        <item x="761"/>
        <item x="926"/>
        <item x="946"/>
        <item x="415"/>
        <item x="313"/>
        <item x="52"/>
        <item x="62"/>
        <item x="983"/>
        <item x="1078"/>
        <item x="774"/>
        <item x="328"/>
        <item x="1178"/>
        <item x="616"/>
        <item x="101"/>
        <item x="1108"/>
        <item x="21"/>
        <item x="130"/>
        <item x="934"/>
        <item x="468"/>
        <item x="253"/>
        <item x="48"/>
        <item x="60"/>
        <item x="979"/>
        <item x="769"/>
        <item x="917"/>
        <item x="958"/>
        <item x="673"/>
        <item x="333"/>
        <item x="831"/>
        <item x="548"/>
        <item x="921"/>
        <item x="581"/>
        <item x="1137"/>
        <item x="290"/>
        <item x="34"/>
        <item x="725"/>
        <item x="1042"/>
        <item x="74"/>
        <item x="610"/>
        <item x="551"/>
        <item x="155"/>
        <item x="22"/>
        <item x="306"/>
        <item x="478"/>
        <item x="1010"/>
        <item x="1102"/>
        <item x="46"/>
        <item x="141"/>
        <item x="200"/>
        <item x="190"/>
        <item x="711"/>
        <item x="727"/>
        <item x="1156"/>
        <item x="832"/>
        <item x="65"/>
        <item x="120"/>
        <item x="464"/>
        <item x="222"/>
        <item x="908"/>
        <item x="286"/>
        <item x="526"/>
        <item x="1206"/>
        <item x="1148"/>
        <item x="1185"/>
        <item x="1188"/>
        <item x="656"/>
        <item x="1165"/>
        <item x="678"/>
        <item x="1118"/>
        <item x="157"/>
        <item x="525"/>
        <item x="631"/>
        <item x="894"/>
        <item x="381"/>
        <item x="49"/>
        <item x="807"/>
        <item x="146"/>
        <item x="696"/>
        <item x="804"/>
        <item x="1204"/>
        <item x="718"/>
        <item x="896"/>
        <item x="584"/>
        <item x="240"/>
        <item x="674"/>
        <item x="543"/>
        <item x="299"/>
        <item x="839"/>
        <item x="1007"/>
        <item x="293"/>
        <item x="462"/>
        <item x="483"/>
        <item x="782"/>
        <item x="291"/>
        <item x="519"/>
        <item x="104"/>
        <item x="125"/>
        <item x="1023"/>
        <item x="496"/>
        <item x="951"/>
        <item x="568"/>
        <item x="646"/>
        <item x="410"/>
        <item x="560"/>
        <item x="553"/>
        <item x="1144"/>
        <item x="596"/>
        <item x="938"/>
        <item x="332"/>
        <item x="557"/>
        <item x="187"/>
        <item x="540"/>
        <item x="10"/>
        <item x="280"/>
        <item x="217"/>
        <item x="364"/>
        <item x="757"/>
        <item x="400"/>
        <item x="1123"/>
        <item x="102"/>
        <item x="204"/>
        <item x="39"/>
        <item x="1183"/>
        <item x="790"/>
        <item x="844"/>
        <item x="579"/>
        <item x="1174"/>
        <item x="575"/>
        <item x="534"/>
        <item x="144"/>
        <item x="598"/>
        <item x="1210"/>
        <item x="953"/>
        <item x="337"/>
        <item x="18"/>
        <item x="619"/>
        <item x="205"/>
        <item x="440"/>
        <item x="161"/>
        <item x="779"/>
        <item x="292"/>
        <item x="905"/>
        <item x="687"/>
        <item x="827"/>
        <item x="613"/>
        <item x="42"/>
        <item x="135"/>
        <item x="552"/>
        <item x="566"/>
        <item x="405"/>
        <item x="421"/>
        <item x="394"/>
        <item x="684"/>
        <item x="1063"/>
        <item x="698"/>
        <item x="1201"/>
        <item x="998"/>
        <item x="993"/>
        <item x="786"/>
        <item x="197"/>
        <item x="272"/>
        <item x="836"/>
        <item x="1214"/>
        <item x="700"/>
        <item x="826"/>
        <item x="392"/>
        <item x="488"/>
        <item x="385"/>
        <item x="773"/>
        <item x="19"/>
        <item x="723"/>
        <item x="601"/>
        <item x="395"/>
        <item x="379"/>
        <item x="1028"/>
        <item x="156"/>
        <item x="1025"/>
        <item x="237"/>
        <item x="359"/>
        <item x="77"/>
        <item x="593"/>
        <item x="214"/>
        <item x="122"/>
        <item x="202"/>
        <item x="915"/>
        <item x="103"/>
        <item x="522"/>
        <item x="14"/>
        <item x="1082"/>
        <item x="866"/>
        <item x="339"/>
        <item x="420"/>
        <item x="582"/>
        <item x="978"/>
        <item x="565"/>
        <item x="1056"/>
        <item x="538"/>
        <item x="1218"/>
        <item x="869"/>
        <item x="372"/>
        <item x="625"/>
        <item x="191"/>
        <item x="788"/>
        <item x="288"/>
        <item x="589"/>
        <item x="1079"/>
        <item x="1057"/>
        <item x="916"/>
        <item x="1053"/>
        <item x="542"/>
        <item x="562"/>
        <item x="143"/>
        <item x="1088"/>
        <item x="924"/>
        <item x="168"/>
        <item x="1166"/>
        <item x="256"/>
        <item x="933"/>
        <item x="1205"/>
        <item x="1162"/>
        <item x="209"/>
        <item x="795"/>
        <item x="1107"/>
        <item x="8"/>
        <item x="759"/>
        <item x="524"/>
        <item x="16"/>
        <item x="64"/>
        <item x="1037"/>
        <item x="331"/>
        <item x="13"/>
        <item x="750"/>
        <item x="447"/>
        <item x="167"/>
        <item x="541"/>
        <item x="539"/>
        <item x="114"/>
        <item x="81"/>
        <item x="470"/>
        <item x="1171"/>
        <item x="357"/>
        <item x="264"/>
        <item x="578"/>
        <item x="352"/>
        <item x="991"/>
        <item x="457"/>
        <item x="1203"/>
        <item x="124"/>
        <item x="611"/>
        <item x="923"/>
        <item x="318"/>
        <item x="1198"/>
        <item x="393"/>
        <item x="846"/>
        <item x="928"/>
        <item x="376"/>
        <item x="659"/>
        <item x="92"/>
        <item x="136"/>
        <item x="694"/>
        <item x="72"/>
        <item x="348"/>
        <item x="1133"/>
        <item x="1142"/>
        <item x="0"/>
        <item x="510"/>
        <item x="438"/>
        <item x="628"/>
        <item x="532"/>
        <item x="153"/>
        <item x="758"/>
        <item x="1146"/>
        <item x="717"/>
        <item x="188"/>
        <item x="1034"/>
        <item x="145"/>
        <item x="491"/>
        <item x="629"/>
        <item x="1081"/>
        <item x="755"/>
        <item x="984"/>
        <item x="762"/>
        <item x="1200"/>
        <item x="748"/>
        <item x="967"/>
        <item x="108"/>
        <item x="544"/>
        <item x="1054"/>
        <item x="164"/>
        <item x="643"/>
        <item x="715"/>
        <item x="341"/>
        <item x="935"/>
        <item x="319"/>
        <item x="841"/>
        <item x="406"/>
        <item x="444"/>
        <item x="235"/>
        <item x="997"/>
        <item x="268"/>
        <item x="680"/>
        <item x="943"/>
        <item x="1158"/>
        <item x="545"/>
        <item x="1090"/>
        <item x="1194"/>
        <item x="389"/>
        <item x="297"/>
        <item x="1058"/>
        <item x="918"/>
        <item x="737"/>
        <item x="573"/>
        <item x="776"/>
        <item x="658"/>
        <item x="1038"/>
        <item x="602"/>
        <item x="142"/>
        <item x="263"/>
        <item x="641"/>
        <item x="1191"/>
        <item x="891"/>
        <item x="809"/>
        <item x="546"/>
        <item x="845"/>
        <item x="265"/>
        <item x="484"/>
        <item x="592"/>
        <item x="147"/>
        <item x="743"/>
        <item x="116"/>
        <item x="1084"/>
        <item x="1018"/>
        <item x="622"/>
        <item x="334"/>
        <item x="11"/>
        <item x="627"/>
        <item x="535"/>
        <item x="959"/>
        <item x="134"/>
        <item x="830"/>
        <item x="600"/>
        <item x="55"/>
        <item x="858"/>
        <item x="269"/>
        <item x="199"/>
        <item x="73"/>
        <item x="805"/>
        <item x="195"/>
        <item x="247"/>
        <item x="185"/>
        <item x="228"/>
        <item x="992"/>
        <item x="1048"/>
        <item x="683"/>
        <item x="296"/>
        <item x="1031"/>
        <item x="1163"/>
        <item x="1014"/>
        <item x="1022"/>
        <item x="556"/>
        <item x="273"/>
        <item x="158"/>
        <item x="370"/>
        <item x="1077"/>
        <item x="988"/>
        <item x="960"/>
        <item x="1044"/>
        <item x="838"/>
        <item x="152"/>
        <item x="681"/>
        <item x="321"/>
        <item x="88"/>
        <item x="436"/>
        <item x="746"/>
        <item x="1055"/>
        <item x="825"/>
        <item x="345"/>
        <item x="91"/>
        <item x="390"/>
        <item x="9"/>
        <item x="764"/>
        <item x="810"/>
        <item x="181"/>
        <item x="793"/>
        <item x="1189"/>
        <item x="303"/>
        <item x="316"/>
        <item x="570"/>
        <item x="753"/>
        <item x="1125"/>
        <item x="1016"/>
        <item x="702"/>
        <item x="349"/>
        <item x="80"/>
        <item x="521"/>
        <item x="243"/>
        <item x="670"/>
        <item x="1197"/>
        <item x="1"/>
        <item x="883"/>
        <item x="454"/>
        <item x="412"/>
        <item x="523"/>
        <item x="1020"/>
        <item x="196"/>
        <item x="637"/>
        <item x="906"/>
        <item x="251"/>
        <item x="67"/>
        <item x="520"/>
        <item x="35"/>
        <item x="1061"/>
        <item x="910"/>
        <item x="798"/>
        <item x="977"/>
        <item x="950"/>
        <item x="76"/>
        <item x="1071"/>
        <item x="738"/>
        <item x="895"/>
        <item x="642"/>
        <item x="163"/>
        <item x="481"/>
        <item x="367"/>
        <item x="84"/>
        <item x="446"/>
        <item x="1167"/>
        <item x="854"/>
        <item x="990"/>
        <item x="165"/>
        <item x="796"/>
        <item x="780"/>
        <item x="1180"/>
        <item x="336"/>
        <item x="418"/>
        <item x="1097"/>
        <item x="865"/>
        <item x="3"/>
        <item x="634"/>
        <item x="986"/>
        <item x="651"/>
        <item x="713"/>
        <item x="442"/>
        <item x="595"/>
        <item x="131"/>
        <item x="118"/>
        <item x="356"/>
        <item x="1092"/>
        <item x="1159"/>
        <item x="531"/>
        <item x="109"/>
        <item x="1134"/>
        <item x="1152"/>
        <item x="819"/>
        <item x="719"/>
        <item x="1080"/>
        <item x="518"/>
        <item x="626"/>
        <item x="1073"/>
        <item x="843"/>
        <item x="343"/>
        <item x="1008"/>
        <item x="1170"/>
        <item x="434"/>
        <item x="113"/>
        <item x="1124"/>
        <item x="695"/>
        <item x="1049"/>
        <item x="1027"/>
        <item x="244"/>
        <item x="289"/>
        <item x="1045"/>
        <item x="207"/>
        <item x="709"/>
        <item x="96"/>
        <item x="427"/>
        <item x="57"/>
        <item x="180"/>
        <item x="833"/>
        <item x="1151"/>
        <item x="451"/>
        <item x="266"/>
        <item x="766"/>
        <item x="1211"/>
        <item x="310"/>
        <item x="94"/>
        <item x="580"/>
        <item x="661"/>
        <item x="490"/>
        <item x="371"/>
        <item x="411"/>
        <item x="1083"/>
        <item x="794"/>
        <item x="56"/>
        <item x="528"/>
        <item x="160"/>
        <item x="387"/>
        <item x="354"/>
        <item x="989"/>
        <item x="358"/>
        <item x="660"/>
        <item x="511"/>
        <item x="183"/>
        <item x="151"/>
        <item x="747"/>
        <item x="1129"/>
        <item x="479"/>
        <item x="980"/>
        <item x="1046"/>
        <item x="703"/>
        <item x="944"/>
        <item x="416"/>
        <item x="210"/>
        <item x="971"/>
        <item x="401"/>
        <item x="304"/>
        <item x="28"/>
        <item x="982"/>
        <item x="66"/>
        <item x="475"/>
        <item x="1041"/>
        <item x="712"/>
        <item x="704"/>
        <item x="745"/>
        <item x="567"/>
        <item x="608"/>
        <item x="888"/>
        <item x="1173"/>
        <item x="587"/>
        <item x="771"/>
        <item x="564"/>
        <item x="455"/>
        <item x="1069"/>
        <item x="815"/>
        <item x="38"/>
        <item x="612"/>
        <item x="645"/>
        <item x="150"/>
        <item x="1182"/>
        <item x="816"/>
        <item x="927"/>
        <item x="623"/>
        <item x="182"/>
        <item x="789"/>
        <item x="453"/>
        <item x="650"/>
        <item x="274"/>
        <item x="283"/>
        <item x="635"/>
        <item x="733"/>
        <item x="1072"/>
        <item x="640"/>
        <item x="965"/>
        <item x="1066"/>
        <item x="632"/>
        <item x="617"/>
        <item x="707"/>
        <item x="1009"/>
        <item x="791"/>
        <item x="107"/>
        <item x="775"/>
        <item x="1103"/>
        <item x="254"/>
        <item x="129"/>
        <item x="69"/>
        <item x="1132"/>
        <item x="225"/>
        <item x="1130"/>
        <item x="154"/>
        <item x="749"/>
        <item x="792"/>
        <item x="2"/>
        <item x="335"/>
        <item x="781"/>
        <item x="868"/>
        <item x="1109"/>
        <item x="128"/>
        <item x="1181"/>
        <item x="441"/>
        <item x="7"/>
        <item x="227"/>
        <item x="885"/>
        <item x="1157"/>
        <item x="763"/>
        <item x="878"/>
        <item x="585"/>
        <item x="1208"/>
        <item x="278"/>
        <item x="294"/>
        <item x="876"/>
        <item x="448"/>
        <item x="461"/>
        <item x="1032"/>
        <item x="338"/>
        <item x="414"/>
        <item x="428"/>
        <item x="396"/>
        <item x="848"/>
        <item x="1147"/>
        <item x="890"/>
        <item x="801"/>
        <item x="169"/>
        <item x="25"/>
        <item x="346"/>
        <item x="621"/>
        <item x="1105"/>
        <item x="347"/>
        <item x="123"/>
        <item x="1154"/>
        <item x="216"/>
        <item x="85"/>
        <item x="1067"/>
        <item x="366"/>
        <item x="179"/>
        <item x="215"/>
        <item x="653"/>
        <item x="1186"/>
        <item x="409"/>
        <item x="234"/>
        <item x="149"/>
        <item x="218"/>
        <item x="829"/>
        <item x="778"/>
        <item x="597"/>
        <item x="324"/>
        <item x="899"/>
        <item x="882"/>
        <item x="912"/>
        <item x="1209"/>
        <item x="690"/>
        <item x="693"/>
        <item x="657"/>
        <item x="494"/>
        <item x="97"/>
        <item x="777"/>
        <item x="471"/>
        <item x="783"/>
        <item x="995"/>
        <item x="330"/>
        <item x="342"/>
        <item x="422"/>
        <item x="1002"/>
        <item x="972"/>
        <item x="44"/>
        <item x="1168"/>
        <item x="1199"/>
        <item x="1219"/>
        <item x="308"/>
        <item x="474"/>
        <item x="999"/>
        <item x="170"/>
        <item x="834"/>
        <item x="987"/>
        <item x="576"/>
        <item x="383"/>
        <item x="732"/>
        <item x="688"/>
        <item x="577"/>
        <item x="859"/>
        <item x="955"/>
        <item x="138"/>
        <item x="817"/>
        <item x="874"/>
        <item x="61"/>
        <item x="1106"/>
        <item x="233"/>
        <item x="607"/>
        <item x="852"/>
        <item x="901"/>
        <item x="83"/>
        <item x="439"/>
        <item x="1177"/>
        <item x="799"/>
        <item x="70"/>
        <item x="351"/>
        <item x="249"/>
        <item x="871"/>
        <item x="206"/>
        <item x="201"/>
        <item x="127"/>
        <item x="267"/>
        <item x="1193"/>
        <item x="744"/>
        <item x="47"/>
        <item x="326"/>
        <item x="302"/>
        <item x="89"/>
        <item x="726"/>
        <item x="513"/>
        <item x="1119"/>
        <item x="1131"/>
        <item x="232"/>
        <item x="664"/>
        <item x="586"/>
        <item x="485"/>
        <item x="262"/>
        <item x="119"/>
        <item x="942"/>
        <item x="51"/>
        <item x="148"/>
        <item x="892"/>
        <item x="504"/>
        <item x="529"/>
        <item x="814"/>
        <item x="932"/>
        <item x="100"/>
        <item x="502"/>
        <item x="847"/>
        <item x="1001"/>
        <item x="40"/>
        <item x="909"/>
        <item x="911"/>
        <item x="648"/>
        <item x="1138"/>
        <item x="618"/>
        <item x="591"/>
        <item x="315"/>
        <item x="258"/>
        <item x="239"/>
        <item x="563"/>
        <item x="903"/>
        <item x="472"/>
        <item x="68"/>
        <item x="1149"/>
        <item x="508"/>
        <item x="1112"/>
        <item x="279"/>
        <item x="840"/>
        <item x="1202"/>
        <item x="1150"/>
        <item x="939"/>
        <item x="884"/>
        <item x="893"/>
        <item x="189"/>
        <item x="95"/>
        <item x="1216"/>
        <item x="710"/>
        <item x="692"/>
        <item x="554"/>
        <item x="380"/>
        <item x="325"/>
        <item x="705"/>
        <item x="720"/>
        <item x="818"/>
        <item x="699"/>
        <item x="1135"/>
        <item x="806"/>
        <item x="388"/>
        <item x="615"/>
        <item x="604"/>
        <item x="966"/>
        <item x="976"/>
        <item x="1000"/>
        <item x="973"/>
        <item x="655"/>
        <item x="382"/>
        <item x="506"/>
        <item x="259"/>
        <item x="898"/>
        <item x="952"/>
        <item x="499"/>
        <item x="824"/>
        <item x="90"/>
        <item x="1062"/>
        <item x="41"/>
        <item x="375"/>
        <item x="322"/>
        <item x="900"/>
        <item x="31"/>
        <item x="449"/>
        <item x="63"/>
        <item x="1187"/>
        <item x="1052"/>
        <item x="889"/>
        <item x="739"/>
        <item x="482"/>
        <item x="555"/>
        <item x="1213"/>
        <item x="186"/>
        <item x="823"/>
        <item x="1074"/>
        <item x="1115"/>
        <item x="79"/>
        <item x="173"/>
        <item x="1060"/>
        <item x="241"/>
        <item x="742"/>
        <item x="255"/>
        <item x="515"/>
        <item x="514"/>
        <item x="323"/>
        <item x="82"/>
        <item x="1068"/>
        <item x="1076"/>
        <item x="350"/>
        <item x="936"/>
        <item x="340"/>
        <item x="1011"/>
        <item x="314"/>
        <item x="880"/>
        <item x="948"/>
        <item x="940"/>
        <item x="298"/>
        <item x="300"/>
        <item x="311"/>
        <item x="879"/>
        <item x="208"/>
        <item x="962"/>
        <item x="1160"/>
        <item x="735"/>
        <item x="1094"/>
        <item x="730"/>
        <item x="945"/>
        <item x="685"/>
        <item x="140"/>
        <item x="708"/>
        <item x="486"/>
        <item x="594"/>
        <item x="1127"/>
        <item x="384"/>
        <item x="1207"/>
        <item x="194"/>
        <item x="487"/>
        <item x="238"/>
        <item x="407"/>
        <item x="536"/>
        <item x="1005"/>
        <item x="994"/>
        <item x="800"/>
        <item x="275"/>
        <item x="877"/>
        <item x="285"/>
        <item x="701"/>
        <item x="970"/>
        <item x="105"/>
        <item x="176"/>
        <item x="501"/>
        <item x="497"/>
        <item x="248"/>
        <item x="835"/>
        <item x="930"/>
        <item x="1070"/>
        <item x="873"/>
        <item x="740"/>
        <item x="721"/>
        <item x="493"/>
        <item x="682"/>
        <item x="362"/>
        <item x="473"/>
        <item x="1128"/>
        <item x="671"/>
        <item x="572"/>
        <item x="872"/>
        <item x="516"/>
        <item x="460"/>
        <item x="53"/>
        <item x="27"/>
        <item x="849"/>
        <item x="1117"/>
        <item x="606"/>
        <item x="812"/>
        <item x="203"/>
        <item x="115"/>
        <item x="1100"/>
        <item x="741"/>
        <item x="803"/>
        <item x="424"/>
        <item x="862"/>
        <item x="765"/>
        <item x="417"/>
        <item x="647"/>
        <item x="1043"/>
        <item x="50"/>
        <item x="509"/>
        <item x="1019"/>
        <item x="224"/>
        <item x="855"/>
        <item x="1086"/>
        <item x="754"/>
        <item x="467"/>
        <item x="270"/>
        <item x="569"/>
        <item x="1091"/>
        <item x="1110"/>
        <item x="452"/>
        <item x="172"/>
        <item x="974"/>
        <item x="922"/>
        <item x="1021"/>
        <item x="851"/>
        <item x="507"/>
        <item x="1190"/>
        <item x="117"/>
        <item x="728"/>
        <item x="54"/>
        <item x="964"/>
        <item x="920"/>
        <item x="667"/>
        <item x="583"/>
        <item x="907"/>
        <item x="257"/>
        <item x="171"/>
        <item x="226"/>
        <item x="363"/>
        <item x="355"/>
        <item x="139"/>
        <item x="37"/>
        <item x="1172"/>
        <item x="925"/>
        <item x="495"/>
        <item x="404"/>
        <item x="1012"/>
        <item x="1047"/>
        <item x="716"/>
        <item x="772"/>
        <item x="250"/>
        <item x="919"/>
        <item x="961"/>
        <item x="252"/>
        <item x="373"/>
        <item x="1212"/>
        <item x="752"/>
        <item x="665"/>
        <item x="881"/>
        <item x="23"/>
        <item x="466"/>
        <item x="221"/>
        <item x="931"/>
        <item x="445"/>
        <item x="320"/>
        <item x="768"/>
        <item x="174"/>
        <item x="284"/>
        <item x="498"/>
        <item x="477"/>
        <item x="624"/>
        <item x="706"/>
        <item x="975"/>
        <item x="590"/>
        <item x="864"/>
        <item x="1153"/>
        <item x="374"/>
        <item x="1087"/>
        <item x="697"/>
        <item x="1003"/>
        <item x="588"/>
        <item x="425"/>
        <item x="620"/>
        <item x="1140"/>
        <item x="184"/>
        <item x="1184"/>
        <item x="947"/>
        <item x="459"/>
        <item x="43"/>
        <item x="861"/>
        <item x="4"/>
        <item x="1030"/>
        <item x="669"/>
        <item x="856"/>
        <item x="609"/>
        <item x="386"/>
        <item x="1015"/>
        <item x="537"/>
        <item x="1085"/>
        <item x="426"/>
        <item x="71"/>
        <item x="736"/>
        <item x="245"/>
        <item x="547"/>
        <item x="159"/>
        <item x="784"/>
        <item x="668"/>
        <item x="211"/>
        <item t="default"/>
      </items>
    </pivotField>
    <pivotField axis="axisRow" showAll="0" measureFilter="1" sortType="descending">
      <items count="284">
        <item x="38"/>
        <item x="221"/>
        <item x="196"/>
        <item x="245"/>
        <item x="201"/>
        <item x="131"/>
        <item x="218"/>
        <item x="166"/>
        <item x="108"/>
        <item x="174"/>
        <item x="246"/>
        <item x="106"/>
        <item x="266"/>
        <item x="62"/>
        <item x="6"/>
        <item x="190"/>
        <item x="133"/>
        <item x="181"/>
        <item x="167"/>
        <item x="44"/>
        <item x="81"/>
        <item x="195"/>
        <item x="119"/>
        <item x="194"/>
        <item x="200"/>
        <item x="274"/>
        <item x="240"/>
        <item x="172"/>
        <item x="198"/>
        <item x="56"/>
        <item x="3"/>
        <item x="149"/>
        <item x="100"/>
        <item x="148"/>
        <item x="35"/>
        <item x="109"/>
        <item x="250"/>
        <item x="141"/>
        <item x="192"/>
        <item x="68"/>
        <item x="253"/>
        <item x="146"/>
        <item x="11"/>
        <item x="46"/>
        <item x="118"/>
        <item x="249"/>
        <item x="74"/>
        <item x="54"/>
        <item x="186"/>
        <item x="1"/>
        <item x="122"/>
        <item x="65"/>
        <item x="59"/>
        <item x="222"/>
        <item x="10"/>
        <item x="276"/>
        <item x="60"/>
        <item x="233"/>
        <item x="205"/>
        <item x="264"/>
        <item x="97"/>
        <item x="262"/>
        <item x="19"/>
        <item x="270"/>
        <item x="27"/>
        <item x="258"/>
        <item x="278"/>
        <item x="150"/>
        <item x="31"/>
        <item x="101"/>
        <item x="85"/>
        <item x="93"/>
        <item x="102"/>
        <item x="22"/>
        <item x="73"/>
        <item x="28"/>
        <item x="30"/>
        <item x="272"/>
        <item x="134"/>
        <item x="215"/>
        <item x="99"/>
        <item x="75"/>
        <item x="187"/>
        <item x="67"/>
        <item x="8"/>
        <item x="95"/>
        <item x="154"/>
        <item x="281"/>
        <item x="103"/>
        <item x="232"/>
        <item x="199"/>
        <item x="191"/>
        <item x="261"/>
        <item x="156"/>
        <item x="242"/>
        <item x="76"/>
        <item x="43"/>
        <item x="58"/>
        <item x="206"/>
        <item x="0"/>
        <item x="66"/>
        <item x="231"/>
        <item x="224"/>
        <item x="164"/>
        <item x="227"/>
        <item x="69"/>
        <item x="116"/>
        <item x="23"/>
        <item x="90"/>
        <item x="152"/>
        <item x="228"/>
        <item x="175"/>
        <item x="114"/>
        <item x="219"/>
        <item x="24"/>
        <item x="238"/>
        <item x="229"/>
        <item x="129"/>
        <item x="128"/>
        <item x="257"/>
        <item x="180"/>
        <item x="48"/>
        <item x="25"/>
        <item x="111"/>
        <item x="137"/>
        <item x="244"/>
        <item x="182"/>
        <item x="252"/>
        <item x="89"/>
        <item x="92"/>
        <item x="139"/>
        <item x="269"/>
        <item x="121"/>
        <item x="230"/>
        <item x="84"/>
        <item x="217"/>
        <item x="177"/>
        <item x="212"/>
        <item x="70"/>
        <item x="112"/>
        <item x="113"/>
        <item x="163"/>
        <item x="64"/>
        <item x="107"/>
        <item x="183"/>
        <item x="57"/>
        <item x="123"/>
        <item x="173"/>
        <item x="126"/>
        <item x="259"/>
        <item x="14"/>
        <item x="94"/>
        <item x="136"/>
        <item x="42"/>
        <item x="96"/>
        <item x="16"/>
        <item x="32"/>
        <item x="162"/>
        <item x="36"/>
        <item x="209"/>
        <item x="202"/>
        <item x="39"/>
        <item x="178"/>
        <item x="208"/>
        <item x="159"/>
        <item x="204"/>
        <item x="157"/>
        <item x="40"/>
        <item x="80"/>
        <item x="144"/>
        <item x="4"/>
        <item x="61"/>
        <item x="34"/>
        <item x="207"/>
        <item x="41"/>
        <item x="277"/>
        <item x="78"/>
        <item x="105"/>
        <item x="235"/>
        <item x="279"/>
        <item x="83"/>
        <item x="255"/>
        <item x="87"/>
        <item x="51"/>
        <item x="12"/>
        <item x="138"/>
        <item x="185"/>
        <item x="52"/>
        <item x="13"/>
        <item x="273"/>
        <item x="282"/>
        <item x="86"/>
        <item x="213"/>
        <item x="160"/>
        <item x="124"/>
        <item x="189"/>
        <item x="169"/>
        <item x="88"/>
        <item x="179"/>
        <item x="33"/>
        <item x="117"/>
        <item x="226"/>
        <item x="5"/>
        <item x="45"/>
        <item x="37"/>
        <item x="71"/>
        <item x="203"/>
        <item x="26"/>
        <item x="15"/>
        <item x="280"/>
        <item x="143"/>
        <item x="2"/>
        <item x="49"/>
        <item x="125"/>
        <item x="267"/>
        <item x="79"/>
        <item x="236"/>
        <item x="271"/>
        <item x="142"/>
        <item x="21"/>
        <item x="110"/>
        <item x="223"/>
        <item x="170"/>
        <item x="241"/>
        <item x="171"/>
        <item x="115"/>
        <item x="135"/>
        <item x="72"/>
        <item x="77"/>
        <item x="130"/>
        <item x="18"/>
        <item x="17"/>
        <item x="140"/>
        <item x="47"/>
        <item x="193"/>
        <item x="9"/>
        <item x="91"/>
        <item x="243"/>
        <item x="168"/>
        <item x="50"/>
        <item x="29"/>
        <item x="147"/>
        <item x="260"/>
        <item x="216"/>
        <item x="153"/>
        <item x="268"/>
        <item x="197"/>
        <item x="127"/>
        <item x="225"/>
        <item x="161"/>
        <item x="158"/>
        <item x="151"/>
        <item x="251"/>
        <item x="247"/>
        <item x="220"/>
        <item x="82"/>
        <item x="53"/>
        <item x="248"/>
        <item x="63"/>
        <item x="256"/>
        <item x="263"/>
        <item x="176"/>
        <item x="104"/>
        <item x="275"/>
        <item x="55"/>
        <item x="211"/>
        <item x="239"/>
        <item x="98"/>
        <item x="145"/>
        <item x="132"/>
        <item x="165"/>
        <item x="234"/>
        <item x="188"/>
        <item x="7"/>
        <item x="214"/>
        <item x="254"/>
        <item x="237"/>
        <item x="155"/>
        <item x="184"/>
        <item x="265"/>
        <item x="20"/>
        <item x="120"/>
        <item x="2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1"/>
  </rowFields>
  <rowItems count="11">
    <i>
      <x/>
    </i>
    <i>
      <x v="62"/>
    </i>
    <i>
      <x v="202"/>
    </i>
    <i>
      <x v="208"/>
    </i>
    <i>
      <x v="14"/>
    </i>
    <i>
      <x v="19"/>
    </i>
    <i>
      <x v="81"/>
    </i>
    <i>
      <x v="256"/>
    </i>
    <i>
      <x v="114"/>
    </i>
    <i>
      <x v="80"/>
    </i>
    <i t="grand">
      <x/>
    </i>
  </rowItems>
  <colItems count="1">
    <i/>
  </colItems>
  <pageFields count="1">
    <pageField fld="12" item="1" hier="-1"/>
  </pageFields>
  <dataFields count="1">
    <dataField name="Count of Product Code"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31067-6720-42ED-B912-17631AEF427F}" name="PivotTable14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C15" firstHeaderRow="0" firstDataRow="1" firstDataCol="1" rowPageCount="1" colPageCount="1"/>
  <pivotFields count="14">
    <pivotField dataField="1"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0" item="1" hier="-1"/>
  </pageFields>
  <dataFields count="2">
    <dataField name="Count of Brand name" fld="0" subtotal="count" baseField="11" baseItem="0"/>
    <dataField name="Count of Product Code" fld="0" subtotal="count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EA68E-F685-4312-8C28-FC8F3DF80944}" name="PivotTable11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14">
    <pivotField dataField="1"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ducts" fld="0" subtotal="count" baseField="10" baseItem="0"/>
    <dataField name="Mapping Rate %" fld="0" subtotal="count" showDataAs="percentOfTotal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91B3-6610-43E1-945D-E77745611AA7}">
  <dimension ref="A1:N1221"/>
  <sheetViews>
    <sheetView workbookViewId="0">
      <selection activeCell="L11" sqref="L11"/>
    </sheetView>
  </sheetViews>
  <sheetFormatPr defaultRowHeight="14.5" x14ac:dyDescent="0.35"/>
  <cols>
    <col min="6" max="7" width="10.08984375" bestFit="1" customWidth="1"/>
  </cols>
  <sheetData>
    <row r="1" spans="1:14" x14ac:dyDescent="0.35">
      <c r="A1" t="s">
        <v>4</v>
      </c>
      <c r="B1" t="s">
        <v>1</v>
      </c>
      <c r="C1" t="s">
        <v>0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2906</v>
      </c>
      <c r="M1" t="s">
        <v>2907</v>
      </c>
      <c r="N1" t="s">
        <v>2908</v>
      </c>
    </row>
    <row r="2" spans="1:14" x14ac:dyDescent="0.35">
      <c r="A2" t="s">
        <v>1558</v>
      </c>
      <c r="B2" t="s">
        <v>12</v>
      </c>
      <c r="C2" t="s">
        <v>11</v>
      </c>
      <c r="D2">
        <v>24</v>
      </c>
      <c r="E2" t="s">
        <v>13</v>
      </c>
      <c r="F2" s="1">
        <v>44497</v>
      </c>
      <c r="G2" s="1">
        <v>46059</v>
      </c>
      <c r="H2" t="s">
        <v>14</v>
      </c>
      <c r="I2" s="2">
        <v>39355</v>
      </c>
      <c r="J2">
        <v>264156</v>
      </c>
      <c r="K2" t="s">
        <v>15</v>
      </c>
      <c r="L2" t="str">
        <f>IF(OR(B2="",ISBLANK(B2)),"Missing","Available")</f>
        <v>Available</v>
      </c>
      <c r="M2">
        <f>IF(K2="Mapped",1,0)</f>
        <v>1</v>
      </c>
      <c r="N2">
        <f>IF(AND(B2&lt;&gt;"",A2&lt;&gt;""),1,0)</f>
        <v>1</v>
      </c>
    </row>
    <row r="3" spans="1:14" x14ac:dyDescent="0.35">
      <c r="A3" t="s">
        <v>1559</v>
      </c>
      <c r="B3" t="s">
        <v>17</v>
      </c>
      <c r="C3" t="s">
        <v>16</v>
      </c>
      <c r="D3">
        <v>32</v>
      </c>
      <c r="E3" t="s">
        <v>13</v>
      </c>
      <c r="F3" s="1">
        <v>44497</v>
      </c>
      <c r="G3" s="1">
        <v>46059</v>
      </c>
      <c r="H3" t="s">
        <v>14</v>
      </c>
      <c r="I3" s="2">
        <v>21149112</v>
      </c>
      <c r="J3">
        <v>261581</v>
      </c>
      <c r="K3" t="s">
        <v>15</v>
      </c>
      <c r="L3" t="str">
        <f t="shared" ref="L3:L66" si="0">IF(OR(B3="",ISBLANK(B3)),"Missing","Available")</f>
        <v>Available</v>
      </c>
      <c r="M3">
        <f t="shared" ref="M3:M66" si="1">IF(K3="Mapped",1,0)</f>
        <v>1</v>
      </c>
      <c r="N3">
        <f t="shared" ref="N3:N66" si="2">IF(AND(B3&lt;&gt;"",A3&lt;&gt;""),1,0)</f>
        <v>1</v>
      </c>
    </row>
    <row r="4" spans="1:14" x14ac:dyDescent="0.35">
      <c r="A4" t="s">
        <v>1560</v>
      </c>
      <c r="B4" t="s">
        <v>19</v>
      </c>
      <c r="C4" t="s">
        <v>18</v>
      </c>
      <c r="D4">
        <v>24</v>
      </c>
      <c r="E4" t="s">
        <v>13</v>
      </c>
      <c r="F4" s="1">
        <v>44497</v>
      </c>
      <c r="G4" s="1">
        <v>46060</v>
      </c>
      <c r="H4" t="s">
        <v>14</v>
      </c>
      <c r="I4" s="2">
        <v>53413</v>
      </c>
      <c r="J4">
        <v>261778</v>
      </c>
      <c r="K4" t="s">
        <v>15</v>
      </c>
      <c r="L4" t="str">
        <f t="shared" si="0"/>
        <v>Available</v>
      </c>
      <c r="M4">
        <f t="shared" si="1"/>
        <v>1</v>
      </c>
      <c r="N4">
        <f t="shared" si="2"/>
        <v>1</v>
      </c>
    </row>
    <row r="5" spans="1:14" x14ac:dyDescent="0.35">
      <c r="A5" t="s">
        <v>1561</v>
      </c>
      <c r="B5" t="s">
        <v>21</v>
      </c>
      <c r="C5" t="s">
        <v>20</v>
      </c>
      <c r="D5">
        <v>24</v>
      </c>
      <c r="E5" t="s">
        <v>13</v>
      </c>
      <c r="F5" s="1">
        <v>44497</v>
      </c>
      <c r="G5" s="1">
        <v>46059</v>
      </c>
      <c r="H5" t="s">
        <v>14</v>
      </c>
      <c r="I5" s="2">
        <v>53414</v>
      </c>
      <c r="J5">
        <v>267054</v>
      </c>
      <c r="K5" t="s">
        <v>15</v>
      </c>
      <c r="L5" t="str">
        <f t="shared" si="0"/>
        <v>Available</v>
      </c>
      <c r="M5">
        <f t="shared" si="1"/>
        <v>1</v>
      </c>
      <c r="N5">
        <f t="shared" si="2"/>
        <v>1</v>
      </c>
    </row>
    <row r="6" spans="1:14" x14ac:dyDescent="0.35">
      <c r="A6" t="s">
        <v>1562</v>
      </c>
      <c r="B6" t="s">
        <v>23</v>
      </c>
      <c r="C6" t="s">
        <v>22</v>
      </c>
      <c r="D6">
        <v>23.25</v>
      </c>
      <c r="E6" t="s">
        <v>13</v>
      </c>
      <c r="F6" s="1">
        <v>44969</v>
      </c>
      <c r="G6" s="1">
        <v>46057</v>
      </c>
      <c r="H6" t="s">
        <v>14</v>
      </c>
      <c r="I6" s="2">
        <v>29434996</v>
      </c>
      <c r="J6">
        <v>264454</v>
      </c>
      <c r="K6" t="s">
        <v>15</v>
      </c>
      <c r="L6" t="str">
        <f t="shared" si="0"/>
        <v>Available</v>
      </c>
      <c r="M6">
        <f t="shared" si="1"/>
        <v>1</v>
      </c>
      <c r="N6">
        <f t="shared" si="2"/>
        <v>1</v>
      </c>
    </row>
    <row r="7" spans="1:14" x14ac:dyDescent="0.35">
      <c r="A7" t="s">
        <v>1563</v>
      </c>
      <c r="B7" t="s">
        <v>25</v>
      </c>
      <c r="C7" t="s">
        <v>24</v>
      </c>
      <c r="D7">
        <v>24</v>
      </c>
      <c r="E7" t="s">
        <v>13</v>
      </c>
      <c r="F7" s="1">
        <v>44497</v>
      </c>
      <c r="G7" s="1">
        <v>46060</v>
      </c>
      <c r="H7" t="s">
        <v>14</v>
      </c>
      <c r="I7" s="2">
        <v>77096</v>
      </c>
      <c r="J7">
        <v>264735</v>
      </c>
      <c r="K7" t="s">
        <v>15</v>
      </c>
      <c r="L7" t="str">
        <f t="shared" si="0"/>
        <v>Available</v>
      </c>
      <c r="M7">
        <f t="shared" si="1"/>
        <v>1</v>
      </c>
      <c r="N7">
        <f t="shared" si="2"/>
        <v>1</v>
      </c>
    </row>
    <row r="8" spans="1:14" x14ac:dyDescent="0.35">
      <c r="A8" t="s">
        <v>1564</v>
      </c>
      <c r="B8" t="s">
        <v>27</v>
      </c>
      <c r="C8" t="s">
        <v>26</v>
      </c>
      <c r="D8">
        <v>24.7</v>
      </c>
      <c r="E8" t="s">
        <v>13</v>
      </c>
      <c r="F8" s="1">
        <v>44497</v>
      </c>
      <c r="G8" s="1">
        <v>46059</v>
      </c>
      <c r="H8" t="s">
        <v>14</v>
      </c>
      <c r="I8" s="2">
        <v>23836538</v>
      </c>
      <c r="J8">
        <v>261823</v>
      </c>
      <c r="K8" t="s">
        <v>15</v>
      </c>
      <c r="L8" t="str">
        <f t="shared" si="0"/>
        <v>Available</v>
      </c>
      <c r="M8">
        <f t="shared" si="1"/>
        <v>1</v>
      </c>
      <c r="N8">
        <f t="shared" si="2"/>
        <v>1</v>
      </c>
    </row>
    <row r="9" spans="1:14" x14ac:dyDescent="0.35">
      <c r="A9" t="s">
        <v>1565</v>
      </c>
      <c r="B9" t="s">
        <v>29</v>
      </c>
      <c r="C9" t="s">
        <v>28</v>
      </c>
      <c r="D9">
        <v>15.5</v>
      </c>
      <c r="E9" t="s">
        <v>13</v>
      </c>
      <c r="F9" s="1">
        <v>45315</v>
      </c>
      <c r="G9" s="1">
        <v>46057</v>
      </c>
      <c r="H9" t="s">
        <v>14</v>
      </c>
      <c r="I9" t="s">
        <v>2778</v>
      </c>
      <c r="J9">
        <v>264019</v>
      </c>
      <c r="K9" t="s">
        <v>30</v>
      </c>
      <c r="L9" t="str">
        <f t="shared" si="0"/>
        <v>Available</v>
      </c>
      <c r="M9">
        <f t="shared" si="1"/>
        <v>0</v>
      </c>
      <c r="N9">
        <f t="shared" si="2"/>
        <v>1</v>
      </c>
    </row>
    <row r="10" spans="1:14" x14ac:dyDescent="0.35">
      <c r="A10" t="s">
        <v>1566</v>
      </c>
      <c r="B10" t="s">
        <v>32</v>
      </c>
      <c r="C10" t="s">
        <v>31</v>
      </c>
      <c r="D10">
        <v>28</v>
      </c>
      <c r="E10" t="s">
        <v>13</v>
      </c>
      <c r="F10" s="1">
        <v>44498</v>
      </c>
      <c r="G10" s="1">
        <v>46058</v>
      </c>
      <c r="H10" t="s">
        <v>14</v>
      </c>
      <c r="I10" s="2">
        <v>3144170</v>
      </c>
      <c r="J10">
        <v>261790</v>
      </c>
      <c r="K10" t="s">
        <v>15</v>
      </c>
      <c r="L10" t="str">
        <f t="shared" si="0"/>
        <v>Available</v>
      </c>
      <c r="M10">
        <f t="shared" si="1"/>
        <v>1</v>
      </c>
      <c r="N10">
        <f t="shared" si="2"/>
        <v>1</v>
      </c>
    </row>
    <row r="11" spans="1:14" x14ac:dyDescent="0.35">
      <c r="A11" t="s">
        <v>1567</v>
      </c>
      <c r="B11" t="s">
        <v>34</v>
      </c>
      <c r="C11" t="s">
        <v>33</v>
      </c>
      <c r="D11">
        <v>21.911138000000001</v>
      </c>
      <c r="E11" t="s">
        <v>35</v>
      </c>
      <c r="F11" s="1">
        <v>44497</v>
      </c>
      <c r="G11" s="1">
        <v>46058</v>
      </c>
      <c r="H11" t="s">
        <v>14</v>
      </c>
      <c r="I11" t="s">
        <v>2778</v>
      </c>
      <c r="J11">
        <v>266295</v>
      </c>
      <c r="K11" t="s">
        <v>30</v>
      </c>
      <c r="L11" t="str">
        <f t="shared" si="0"/>
        <v>Available</v>
      </c>
      <c r="M11">
        <f t="shared" si="1"/>
        <v>0</v>
      </c>
      <c r="N11">
        <f t="shared" si="2"/>
        <v>1</v>
      </c>
    </row>
    <row r="12" spans="1:14" x14ac:dyDescent="0.35">
      <c r="A12" t="s">
        <v>1568</v>
      </c>
      <c r="B12" t="s">
        <v>37</v>
      </c>
      <c r="C12" t="s">
        <v>36</v>
      </c>
      <c r="D12">
        <v>26</v>
      </c>
      <c r="E12" t="s">
        <v>13</v>
      </c>
      <c r="F12" s="1">
        <v>44497</v>
      </c>
      <c r="G12" s="1">
        <v>46059</v>
      </c>
      <c r="H12" t="s">
        <v>14</v>
      </c>
      <c r="I12" s="2">
        <v>169437</v>
      </c>
      <c r="J12">
        <v>262534</v>
      </c>
      <c r="K12" t="s">
        <v>15</v>
      </c>
      <c r="L12" t="str">
        <f t="shared" si="0"/>
        <v>Available</v>
      </c>
      <c r="M12">
        <f t="shared" si="1"/>
        <v>1</v>
      </c>
      <c r="N12">
        <f t="shared" si="2"/>
        <v>1</v>
      </c>
    </row>
    <row r="13" spans="1:14" x14ac:dyDescent="0.35">
      <c r="A13" t="s">
        <v>1569</v>
      </c>
      <c r="B13" t="s">
        <v>39</v>
      </c>
      <c r="C13" t="s">
        <v>38</v>
      </c>
      <c r="D13">
        <v>32</v>
      </c>
      <c r="E13" t="s">
        <v>13</v>
      </c>
      <c r="F13" s="1">
        <v>44502</v>
      </c>
      <c r="G13" s="1">
        <v>46057</v>
      </c>
      <c r="H13" t="s">
        <v>14</v>
      </c>
      <c r="I13" s="2">
        <v>20451724</v>
      </c>
      <c r="J13">
        <v>262065</v>
      </c>
      <c r="K13" t="s">
        <v>15</v>
      </c>
      <c r="L13" t="str">
        <f t="shared" si="0"/>
        <v>Available</v>
      </c>
      <c r="M13">
        <f t="shared" si="1"/>
        <v>1</v>
      </c>
      <c r="N13">
        <f t="shared" si="2"/>
        <v>1</v>
      </c>
    </row>
    <row r="14" spans="1:14" x14ac:dyDescent="0.35">
      <c r="A14" t="s">
        <v>1570</v>
      </c>
      <c r="B14" t="s">
        <v>41</v>
      </c>
      <c r="C14" t="s">
        <v>40</v>
      </c>
      <c r="D14">
        <v>24.3</v>
      </c>
      <c r="E14" t="s">
        <v>13</v>
      </c>
      <c r="F14" s="1">
        <v>44497</v>
      </c>
      <c r="G14" s="1">
        <v>46058</v>
      </c>
      <c r="H14" t="s">
        <v>14</v>
      </c>
      <c r="I14" s="2">
        <v>333902</v>
      </c>
      <c r="J14">
        <v>264714</v>
      </c>
      <c r="K14" t="s">
        <v>15</v>
      </c>
      <c r="L14" t="str">
        <f t="shared" si="0"/>
        <v>Available</v>
      </c>
      <c r="M14">
        <f t="shared" si="1"/>
        <v>1</v>
      </c>
      <c r="N14">
        <f t="shared" si="2"/>
        <v>1</v>
      </c>
    </row>
    <row r="15" spans="1:14" x14ac:dyDescent="0.35">
      <c r="A15" t="s">
        <v>1571</v>
      </c>
      <c r="B15" t="s">
        <v>43</v>
      </c>
      <c r="C15" t="s">
        <v>42</v>
      </c>
      <c r="D15">
        <v>25</v>
      </c>
      <c r="E15" t="s">
        <v>13</v>
      </c>
      <c r="F15" s="1">
        <v>44497</v>
      </c>
      <c r="G15" s="1">
        <v>46059</v>
      </c>
      <c r="H15" t="s">
        <v>14</v>
      </c>
      <c r="I15" s="2">
        <v>91479</v>
      </c>
      <c r="J15">
        <v>266355</v>
      </c>
      <c r="K15" t="s">
        <v>15</v>
      </c>
      <c r="L15" t="str">
        <f t="shared" si="0"/>
        <v>Available</v>
      </c>
      <c r="M15">
        <f t="shared" si="1"/>
        <v>1</v>
      </c>
      <c r="N15">
        <f t="shared" si="2"/>
        <v>1</v>
      </c>
    </row>
    <row r="16" spans="1:14" x14ac:dyDescent="0.35">
      <c r="A16" t="s">
        <v>1572</v>
      </c>
      <c r="B16" t="s">
        <v>45</v>
      </c>
      <c r="C16" t="s">
        <v>44</v>
      </c>
      <c r="D16">
        <v>24.973545000000001</v>
      </c>
      <c r="E16" t="s">
        <v>13</v>
      </c>
      <c r="F16" s="1">
        <v>44497</v>
      </c>
      <c r="G16" s="1">
        <v>46060</v>
      </c>
      <c r="H16" t="s">
        <v>14</v>
      </c>
      <c r="I16" s="2">
        <v>16698389</v>
      </c>
      <c r="J16">
        <v>264126</v>
      </c>
      <c r="K16" t="s">
        <v>15</v>
      </c>
      <c r="L16" t="str">
        <f t="shared" si="0"/>
        <v>Available</v>
      </c>
      <c r="M16">
        <f t="shared" si="1"/>
        <v>1</v>
      </c>
      <c r="N16">
        <f t="shared" si="2"/>
        <v>1</v>
      </c>
    </row>
    <row r="17" spans="1:14" x14ac:dyDescent="0.35">
      <c r="A17" t="s">
        <v>1573</v>
      </c>
      <c r="B17" t="s">
        <v>47</v>
      </c>
      <c r="C17" t="s">
        <v>46</v>
      </c>
      <c r="D17">
        <v>135</v>
      </c>
      <c r="E17" t="s">
        <v>13</v>
      </c>
      <c r="F17" s="1">
        <v>44819</v>
      </c>
      <c r="G17" s="1">
        <v>46038</v>
      </c>
      <c r="H17" t="s">
        <v>14</v>
      </c>
      <c r="I17" t="s">
        <v>2778</v>
      </c>
      <c r="J17">
        <v>264418</v>
      </c>
      <c r="K17" t="s">
        <v>30</v>
      </c>
      <c r="L17" t="str">
        <f t="shared" si="0"/>
        <v>Available</v>
      </c>
      <c r="M17">
        <f t="shared" si="1"/>
        <v>0</v>
      </c>
      <c r="N17">
        <f t="shared" si="2"/>
        <v>1</v>
      </c>
    </row>
    <row r="18" spans="1:14" x14ac:dyDescent="0.35">
      <c r="A18" t="s">
        <v>1574</v>
      </c>
      <c r="B18" t="s">
        <v>32</v>
      </c>
      <c r="C18" t="s">
        <v>48</v>
      </c>
      <c r="D18">
        <v>25</v>
      </c>
      <c r="E18" t="s">
        <v>13</v>
      </c>
      <c r="F18" s="1">
        <v>44498</v>
      </c>
      <c r="G18" s="1">
        <v>46058</v>
      </c>
      <c r="H18" t="s">
        <v>14</v>
      </c>
      <c r="I18" s="2">
        <v>513485</v>
      </c>
      <c r="J18">
        <v>264078</v>
      </c>
      <c r="K18" t="s">
        <v>15</v>
      </c>
      <c r="L18" t="str">
        <f t="shared" si="0"/>
        <v>Available</v>
      </c>
      <c r="M18">
        <f t="shared" si="1"/>
        <v>1</v>
      </c>
      <c r="N18">
        <f t="shared" si="2"/>
        <v>1</v>
      </c>
    </row>
    <row r="19" spans="1:14" x14ac:dyDescent="0.35">
      <c r="A19" t="s">
        <v>1575</v>
      </c>
      <c r="B19" t="s">
        <v>41</v>
      </c>
      <c r="C19" t="s">
        <v>49</v>
      </c>
      <c r="D19">
        <v>24.3</v>
      </c>
      <c r="E19" t="s">
        <v>13</v>
      </c>
      <c r="F19" s="1">
        <v>44497</v>
      </c>
      <c r="G19" s="1">
        <v>46058</v>
      </c>
      <c r="H19" t="s">
        <v>14</v>
      </c>
      <c r="I19" s="2">
        <v>2488649</v>
      </c>
      <c r="J19">
        <v>264452</v>
      </c>
      <c r="K19" t="s">
        <v>15</v>
      </c>
      <c r="L19" t="str">
        <f t="shared" si="0"/>
        <v>Available</v>
      </c>
      <c r="M19">
        <f t="shared" si="1"/>
        <v>1</v>
      </c>
      <c r="N19">
        <f t="shared" si="2"/>
        <v>1</v>
      </c>
    </row>
    <row r="20" spans="1:14" x14ac:dyDescent="0.35">
      <c r="A20" t="s">
        <v>1576</v>
      </c>
      <c r="B20" t="s">
        <v>51</v>
      </c>
      <c r="C20" t="s">
        <v>50</v>
      </c>
      <c r="D20">
        <v>32</v>
      </c>
      <c r="E20" t="s">
        <v>13</v>
      </c>
      <c r="F20" s="1">
        <v>44497</v>
      </c>
      <c r="G20" s="1">
        <v>46057</v>
      </c>
      <c r="H20" t="s">
        <v>14</v>
      </c>
      <c r="I20" s="2">
        <v>77119</v>
      </c>
      <c r="J20">
        <v>267089</v>
      </c>
      <c r="K20" t="s">
        <v>15</v>
      </c>
      <c r="L20" t="str">
        <f t="shared" si="0"/>
        <v>Available</v>
      </c>
      <c r="M20">
        <f t="shared" si="1"/>
        <v>1</v>
      </c>
      <c r="N20">
        <f t="shared" si="2"/>
        <v>1</v>
      </c>
    </row>
    <row r="21" spans="1:14" x14ac:dyDescent="0.35">
      <c r="A21" t="s">
        <v>1577</v>
      </c>
      <c r="B21" t="s">
        <v>53</v>
      </c>
      <c r="C21" t="s">
        <v>52</v>
      </c>
      <c r="D21">
        <v>25</v>
      </c>
      <c r="E21" t="s">
        <v>13</v>
      </c>
      <c r="F21" s="1">
        <v>44502</v>
      </c>
      <c r="G21" s="1">
        <v>46059</v>
      </c>
      <c r="H21" t="s">
        <v>14</v>
      </c>
      <c r="I21" s="2">
        <v>18006261</v>
      </c>
      <c r="J21">
        <v>264077</v>
      </c>
      <c r="K21" t="s">
        <v>15</v>
      </c>
      <c r="L21" t="str">
        <f t="shared" si="0"/>
        <v>Available</v>
      </c>
      <c r="M21">
        <f t="shared" si="1"/>
        <v>1</v>
      </c>
      <c r="N21">
        <f t="shared" si="2"/>
        <v>1</v>
      </c>
    </row>
    <row r="22" spans="1:14" x14ac:dyDescent="0.35">
      <c r="A22" t="s">
        <v>1578</v>
      </c>
      <c r="B22" t="s">
        <v>55</v>
      </c>
      <c r="C22" t="s">
        <v>54</v>
      </c>
      <c r="D22">
        <v>15</v>
      </c>
      <c r="E22" t="s">
        <v>13</v>
      </c>
      <c r="F22" s="1">
        <v>44500</v>
      </c>
      <c r="G22" s="1">
        <v>45365</v>
      </c>
      <c r="H22" t="s">
        <v>14</v>
      </c>
      <c r="I22" t="s">
        <v>2778</v>
      </c>
      <c r="J22">
        <v>266338</v>
      </c>
      <c r="K22" t="s">
        <v>30</v>
      </c>
      <c r="L22" t="str">
        <f t="shared" si="0"/>
        <v>Available</v>
      </c>
      <c r="M22">
        <f t="shared" si="1"/>
        <v>0</v>
      </c>
      <c r="N22">
        <f t="shared" si="2"/>
        <v>1</v>
      </c>
    </row>
    <row r="23" spans="1:14" x14ac:dyDescent="0.35">
      <c r="A23" t="s">
        <v>1579</v>
      </c>
      <c r="B23" t="s">
        <v>25</v>
      </c>
      <c r="C23" t="s">
        <v>56</v>
      </c>
      <c r="D23">
        <v>45</v>
      </c>
      <c r="E23" t="s">
        <v>13</v>
      </c>
      <c r="F23" s="1">
        <v>44497</v>
      </c>
      <c r="G23" s="1">
        <v>46059</v>
      </c>
      <c r="H23" t="s">
        <v>14</v>
      </c>
      <c r="I23" s="2">
        <v>24680086</v>
      </c>
      <c r="J23">
        <v>262167</v>
      </c>
      <c r="K23" t="s">
        <v>15</v>
      </c>
      <c r="L23" t="str">
        <f t="shared" si="0"/>
        <v>Available</v>
      </c>
      <c r="M23">
        <f t="shared" si="1"/>
        <v>1</v>
      </c>
      <c r="N23">
        <f t="shared" si="2"/>
        <v>1</v>
      </c>
    </row>
    <row r="24" spans="1:14" x14ac:dyDescent="0.35">
      <c r="A24" t="s">
        <v>1580</v>
      </c>
      <c r="B24" t="s">
        <v>58</v>
      </c>
      <c r="C24" t="s">
        <v>57</v>
      </c>
      <c r="D24">
        <v>20.288091000000001</v>
      </c>
      <c r="E24" t="s">
        <v>35</v>
      </c>
      <c r="F24" s="1">
        <v>45631</v>
      </c>
      <c r="G24" s="1">
        <v>46058</v>
      </c>
      <c r="H24" t="s">
        <v>14</v>
      </c>
      <c r="I24" t="s">
        <v>2778</v>
      </c>
      <c r="J24">
        <v>264020</v>
      </c>
      <c r="K24" t="s">
        <v>30</v>
      </c>
      <c r="L24" t="str">
        <f t="shared" si="0"/>
        <v>Available</v>
      </c>
      <c r="M24">
        <f t="shared" si="1"/>
        <v>0</v>
      </c>
      <c r="N24">
        <f t="shared" si="2"/>
        <v>1</v>
      </c>
    </row>
    <row r="25" spans="1:14" x14ac:dyDescent="0.35">
      <c r="A25" t="s">
        <v>1581</v>
      </c>
      <c r="B25" t="s">
        <v>60</v>
      </c>
      <c r="C25" t="s">
        <v>59</v>
      </c>
      <c r="D25">
        <v>25</v>
      </c>
      <c r="E25" t="s">
        <v>13</v>
      </c>
      <c r="F25" s="1">
        <v>44497</v>
      </c>
      <c r="G25" s="1">
        <v>46059</v>
      </c>
      <c r="H25" t="s">
        <v>14</v>
      </c>
      <c r="I25" s="2">
        <v>18689362</v>
      </c>
      <c r="J25">
        <v>266357</v>
      </c>
      <c r="K25" t="s">
        <v>15</v>
      </c>
      <c r="L25" t="str">
        <f t="shared" si="0"/>
        <v>Available</v>
      </c>
      <c r="M25">
        <f t="shared" si="1"/>
        <v>1</v>
      </c>
      <c r="N25">
        <f t="shared" si="2"/>
        <v>1</v>
      </c>
    </row>
    <row r="26" spans="1:14" x14ac:dyDescent="0.35">
      <c r="A26" t="s">
        <v>1582</v>
      </c>
      <c r="B26" t="s">
        <v>62</v>
      </c>
      <c r="C26" t="s">
        <v>61</v>
      </c>
      <c r="D26">
        <v>23.6</v>
      </c>
      <c r="E26" t="s">
        <v>13</v>
      </c>
      <c r="F26" s="1">
        <v>44497</v>
      </c>
      <c r="G26" s="1">
        <v>46059</v>
      </c>
      <c r="H26" t="s">
        <v>14</v>
      </c>
      <c r="I26" s="2">
        <v>18301267</v>
      </c>
      <c r="J26">
        <v>266388</v>
      </c>
      <c r="K26" t="s">
        <v>15</v>
      </c>
      <c r="L26" t="str">
        <f t="shared" si="0"/>
        <v>Available</v>
      </c>
      <c r="M26">
        <f t="shared" si="1"/>
        <v>1</v>
      </c>
      <c r="N26">
        <f t="shared" si="2"/>
        <v>1</v>
      </c>
    </row>
    <row r="27" spans="1:14" x14ac:dyDescent="0.35">
      <c r="A27" t="s">
        <v>1583</v>
      </c>
      <c r="B27" t="s">
        <v>64</v>
      </c>
      <c r="C27" t="s">
        <v>63</v>
      </c>
      <c r="D27">
        <v>25.5</v>
      </c>
      <c r="E27" t="s">
        <v>13</v>
      </c>
      <c r="F27" s="1">
        <v>44497</v>
      </c>
      <c r="G27" s="1">
        <v>46059</v>
      </c>
      <c r="H27" t="s">
        <v>14</v>
      </c>
      <c r="I27" s="2">
        <v>2680706</v>
      </c>
      <c r="J27">
        <v>266434</v>
      </c>
      <c r="K27" t="s">
        <v>15</v>
      </c>
      <c r="L27" t="str">
        <f t="shared" si="0"/>
        <v>Available</v>
      </c>
      <c r="M27">
        <f t="shared" si="1"/>
        <v>1</v>
      </c>
      <c r="N27">
        <f t="shared" si="2"/>
        <v>1</v>
      </c>
    </row>
    <row r="28" spans="1:14" x14ac:dyDescent="0.35">
      <c r="A28" t="s">
        <v>1584</v>
      </c>
      <c r="B28" t="s">
        <v>41</v>
      </c>
      <c r="C28" t="s">
        <v>65</v>
      </c>
      <c r="D28">
        <v>24.3</v>
      </c>
      <c r="E28" t="s">
        <v>13</v>
      </c>
      <c r="F28" s="1">
        <v>44497</v>
      </c>
      <c r="G28" s="1">
        <v>46058</v>
      </c>
      <c r="H28" t="s">
        <v>14</v>
      </c>
      <c r="I28" t="s">
        <v>2778</v>
      </c>
      <c r="J28">
        <v>264368</v>
      </c>
      <c r="K28" t="s">
        <v>30</v>
      </c>
      <c r="L28" t="str">
        <f t="shared" si="0"/>
        <v>Available</v>
      </c>
      <c r="M28">
        <f t="shared" si="1"/>
        <v>0</v>
      </c>
      <c r="N28">
        <f t="shared" si="2"/>
        <v>1</v>
      </c>
    </row>
    <row r="29" spans="1:14" x14ac:dyDescent="0.35">
      <c r="A29" t="s">
        <v>1585</v>
      </c>
      <c r="B29" t="s">
        <v>67</v>
      </c>
      <c r="C29" t="s">
        <v>66</v>
      </c>
      <c r="F29" s="1">
        <v>44497</v>
      </c>
      <c r="G29" s="1">
        <v>45211</v>
      </c>
      <c r="H29" t="s">
        <v>14</v>
      </c>
      <c r="I29" t="s">
        <v>2778</v>
      </c>
      <c r="J29">
        <v>264701</v>
      </c>
      <c r="K29" t="s">
        <v>30</v>
      </c>
      <c r="L29" t="str">
        <f t="shared" si="0"/>
        <v>Available</v>
      </c>
      <c r="M29">
        <f t="shared" si="1"/>
        <v>0</v>
      </c>
      <c r="N29">
        <f t="shared" si="2"/>
        <v>1</v>
      </c>
    </row>
    <row r="30" spans="1:14" x14ac:dyDescent="0.35">
      <c r="A30" t="s">
        <v>1586</v>
      </c>
      <c r="B30" t="s">
        <v>29</v>
      </c>
      <c r="C30" t="s">
        <v>68</v>
      </c>
      <c r="D30">
        <v>24</v>
      </c>
      <c r="E30" t="s">
        <v>13</v>
      </c>
      <c r="F30" s="1">
        <v>44497</v>
      </c>
      <c r="G30" s="1">
        <v>46057</v>
      </c>
      <c r="H30" t="s">
        <v>14</v>
      </c>
      <c r="I30" s="2">
        <v>16293666</v>
      </c>
      <c r="J30">
        <v>262619</v>
      </c>
      <c r="K30" t="s">
        <v>15</v>
      </c>
      <c r="L30" t="str">
        <f t="shared" si="0"/>
        <v>Available</v>
      </c>
      <c r="M30">
        <f t="shared" si="1"/>
        <v>1</v>
      </c>
      <c r="N30">
        <f t="shared" si="2"/>
        <v>1</v>
      </c>
    </row>
    <row r="31" spans="1:14" x14ac:dyDescent="0.35">
      <c r="A31" t="s">
        <v>1587</v>
      </c>
      <c r="B31" t="s">
        <v>25</v>
      </c>
      <c r="C31" t="s">
        <v>69</v>
      </c>
      <c r="D31">
        <v>67</v>
      </c>
      <c r="E31" t="s">
        <v>13</v>
      </c>
      <c r="F31" s="1">
        <v>44497</v>
      </c>
      <c r="G31" s="1">
        <v>46060</v>
      </c>
      <c r="H31" t="s">
        <v>14</v>
      </c>
      <c r="I31" s="2">
        <v>118427</v>
      </c>
      <c r="J31">
        <v>267095</v>
      </c>
      <c r="K31" t="s">
        <v>15</v>
      </c>
      <c r="L31" t="str">
        <f t="shared" si="0"/>
        <v>Available</v>
      </c>
      <c r="M31">
        <f t="shared" si="1"/>
        <v>1</v>
      </c>
      <c r="N31">
        <f t="shared" si="2"/>
        <v>1</v>
      </c>
    </row>
    <row r="32" spans="1:14" x14ac:dyDescent="0.35">
      <c r="A32" t="s">
        <v>1588</v>
      </c>
      <c r="B32" t="s">
        <v>71</v>
      </c>
      <c r="C32" t="s">
        <v>70</v>
      </c>
      <c r="D32">
        <v>24</v>
      </c>
      <c r="E32" t="s">
        <v>13</v>
      </c>
      <c r="F32" s="1">
        <v>44497</v>
      </c>
      <c r="G32" s="1">
        <v>46060</v>
      </c>
      <c r="H32" t="s">
        <v>14</v>
      </c>
      <c r="I32" s="2">
        <v>43575</v>
      </c>
      <c r="J32">
        <v>266418</v>
      </c>
      <c r="K32" t="s">
        <v>15</v>
      </c>
      <c r="L32" t="str">
        <f t="shared" si="0"/>
        <v>Available</v>
      </c>
      <c r="M32">
        <f t="shared" si="1"/>
        <v>1</v>
      </c>
      <c r="N32">
        <f t="shared" si="2"/>
        <v>1</v>
      </c>
    </row>
    <row r="33" spans="1:14" x14ac:dyDescent="0.35">
      <c r="A33" t="s">
        <v>1589</v>
      </c>
      <c r="B33" t="s">
        <v>73</v>
      </c>
      <c r="C33" t="s">
        <v>72</v>
      </c>
      <c r="F33" s="1">
        <v>44497</v>
      </c>
      <c r="G33" s="1">
        <v>46059</v>
      </c>
      <c r="H33" t="s">
        <v>14</v>
      </c>
      <c r="I33" t="s">
        <v>2778</v>
      </c>
      <c r="J33">
        <v>266287</v>
      </c>
      <c r="K33" t="s">
        <v>30</v>
      </c>
      <c r="L33" t="str">
        <f t="shared" si="0"/>
        <v>Available</v>
      </c>
      <c r="M33">
        <f t="shared" si="1"/>
        <v>0</v>
      </c>
      <c r="N33">
        <f t="shared" si="2"/>
        <v>1</v>
      </c>
    </row>
    <row r="34" spans="1:14" x14ac:dyDescent="0.35">
      <c r="A34" t="s">
        <v>1590</v>
      </c>
      <c r="B34" t="s">
        <v>75</v>
      </c>
      <c r="C34" t="s">
        <v>74</v>
      </c>
      <c r="D34">
        <v>14</v>
      </c>
      <c r="E34" t="s">
        <v>13</v>
      </c>
      <c r="F34" s="1">
        <v>45347</v>
      </c>
      <c r="G34" s="1">
        <v>46055</v>
      </c>
      <c r="H34" t="s">
        <v>14</v>
      </c>
      <c r="I34" s="2">
        <v>42887397</v>
      </c>
      <c r="J34">
        <v>264310</v>
      </c>
      <c r="K34" t="s">
        <v>15</v>
      </c>
      <c r="L34" t="str">
        <f t="shared" si="0"/>
        <v>Available</v>
      </c>
      <c r="M34">
        <f t="shared" si="1"/>
        <v>1</v>
      </c>
      <c r="N34">
        <f t="shared" si="2"/>
        <v>1</v>
      </c>
    </row>
    <row r="35" spans="1:14" x14ac:dyDescent="0.35">
      <c r="A35" t="s">
        <v>1591</v>
      </c>
      <c r="B35" t="s">
        <v>25</v>
      </c>
      <c r="C35" t="s">
        <v>76</v>
      </c>
      <c r="D35">
        <v>24</v>
      </c>
      <c r="E35" t="s">
        <v>13</v>
      </c>
      <c r="F35" s="1">
        <v>44497</v>
      </c>
      <c r="G35" s="1">
        <v>46059</v>
      </c>
      <c r="H35" t="s">
        <v>14</v>
      </c>
      <c r="I35" s="2">
        <v>36102</v>
      </c>
      <c r="J35">
        <v>262546</v>
      </c>
      <c r="K35" t="s">
        <v>15</v>
      </c>
      <c r="L35" t="str">
        <f t="shared" si="0"/>
        <v>Available</v>
      </c>
      <c r="M35">
        <f t="shared" si="1"/>
        <v>1</v>
      </c>
      <c r="N35">
        <f t="shared" si="2"/>
        <v>1</v>
      </c>
    </row>
    <row r="36" spans="1:14" x14ac:dyDescent="0.35">
      <c r="A36" t="s">
        <v>1592</v>
      </c>
      <c r="B36" t="s">
        <v>58</v>
      </c>
      <c r="C36" t="s">
        <v>77</v>
      </c>
      <c r="D36">
        <v>20.288091000000001</v>
      </c>
      <c r="E36" t="s">
        <v>35</v>
      </c>
      <c r="F36" s="1">
        <v>45631</v>
      </c>
      <c r="G36" s="1">
        <v>46058</v>
      </c>
      <c r="H36" t="s">
        <v>14</v>
      </c>
      <c r="I36" t="s">
        <v>2778</v>
      </c>
      <c r="J36">
        <v>261566</v>
      </c>
      <c r="K36" t="s">
        <v>30</v>
      </c>
      <c r="L36" t="str">
        <f t="shared" si="0"/>
        <v>Available</v>
      </c>
      <c r="M36">
        <f t="shared" si="1"/>
        <v>0</v>
      </c>
      <c r="N36">
        <f t="shared" si="2"/>
        <v>1</v>
      </c>
    </row>
    <row r="37" spans="1:14" x14ac:dyDescent="0.35">
      <c r="A37" t="s">
        <v>1593</v>
      </c>
      <c r="B37" t="s">
        <v>79</v>
      </c>
      <c r="C37" t="s">
        <v>78</v>
      </c>
      <c r="D37">
        <v>32</v>
      </c>
      <c r="E37" t="s">
        <v>13</v>
      </c>
      <c r="F37" s="1">
        <v>44497</v>
      </c>
      <c r="G37" s="1">
        <v>46059</v>
      </c>
      <c r="H37" t="s">
        <v>14</v>
      </c>
      <c r="I37" s="2">
        <v>16314077</v>
      </c>
      <c r="J37">
        <v>261787</v>
      </c>
      <c r="K37" t="s">
        <v>15</v>
      </c>
      <c r="L37" t="str">
        <f t="shared" si="0"/>
        <v>Available</v>
      </c>
      <c r="M37">
        <f t="shared" si="1"/>
        <v>1</v>
      </c>
      <c r="N37">
        <f t="shared" si="2"/>
        <v>1</v>
      </c>
    </row>
    <row r="38" spans="1:14" x14ac:dyDescent="0.35">
      <c r="A38" t="s">
        <v>1594</v>
      </c>
      <c r="B38" t="s">
        <v>27</v>
      </c>
      <c r="C38" t="s">
        <v>80</v>
      </c>
      <c r="D38">
        <v>24</v>
      </c>
      <c r="E38" t="s">
        <v>13</v>
      </c>
      <c r="F38" s="1">
        <v>45728</v>
      </c>
      <c r="G38" s="1">
        <v>46060</v>
      </c>
      <c r="H38" t="s">
        <v>14</v>
      </c>
      <c r="I38" s="2">
        <v>66908976</v>
      </c>
      <c r="J38">
        <v>261707</v>
      </c>
      <c r="K38" t="s">
        <v>15</v>
      </c>
      <c r="L38" t="str">
        <f t="shared" si="0"/>
        <v>Available</v>
      </c>
      <c r="M38">
        <f t="shared" si="1"/>
        <v>1</v>
      </c>
      <c r="N38">
        <f t="shared" si="2"/>
        <v>1</v>
      </c>
    </row>
    <row r="39" spans="1:14" x14ac:dyDescent="0.35">
      <c r="A39" t="s">
        <v>1595</v>
      </c>
      <c r="B39" t="s">
        <v>82</v>
      </c>
      <c r="C39" t="s">
        <v>81</v>
      </c>
      <c r="D39">
        <v>32</v>
      </c>
      <c r="E39" t="s">
        <v>13</v>
      </c>
      <c r="F39" s="1">
        <v>44497</v>
      </c>
      <c r="G39" s="1">
        <v>46059</v>
      </c>
      <c r="H39" t="s">
        <v>14</v>
      </c>
      <c r="I39" s="2">
        <v>21008214</v>
      </c>
      <c r="J39">
        <v>262011</v>
      </c>
      <c r="K39" t="s">
        <v>15</v>
      </c>
      <c r="L39" t="str">
        <f t="shared" si="0"/>
        <v>Available</v>
      </c>
      <c r="M39">
        <f t="shared" si="1"/>
        <v>1</v>
      </c>
      <c r="N39">
        <f t="shared" si="2"/>
        <v>1</v>
      </c>
    </row>
    <row r="40" spans="1:14" x14ac:dyDescent="0.35">
      <c r="A40" t="s">
        <v>1596</v>
      </c>
      <c r="B40" t="s">
        <v>84</v>
      </c>
      <c r="C40" t="s">
        <v>83</v>
      </c>
      <c r="D40">
        <v>24</v>
      </c>
      <c r="E40" t="s">
        <v>13</v>
      </c>
      <c r="F40" s="1">
        <v>44497</v>
      </c>
      <c r="G40" s="1">
        <v>46056</v>
      </c>
      <c r="H40" t="s">
        <v>14</v>
      </c>
      <c r="I40" s="2">
        <v>2812518</v>
      </c>
      <c r="J40">
        <v>266639</v>
      </c>
      <c r="K40" t="s">
        <v>15</v>
      </c>
      <c r="L40" t="str">
        <f t="shared" si="0"/>
        <v>Available</v>
      </c>
      <c r="M40">
        <f t="shared" si="1"/>
        <v>1</v>
      </c>
      <c r="N40">
        <f t="shared" si="2"/>
        <v>1</v>
      </c>
    </row>
    <row r="41" spans="1:14" x14ac:dyDescent="0.35">
      <c r="A41" t="s">
        <v>1597</v>
      </c>
      <c r="B41" t="s">
        <v>86</v>
      </c>
      <c r="C41" t="s">
        <v>85</v>
      </c>
      <c r="D41">
        <v>24</v>
      </c>
      <c r="E41" t="s">
        <v>13</v>
      </c>
      <c r="F41" s="1">
        <v>44497</v>
      </c>
      <c r="G41" s="1">
        <v>46058</v>
      </c>
      <c r="H41" t="s">
        <v>14</v>
      </c>
      <c r="I41" s="2">
        <v>2691735</v>
      </c>
      <c r="J41">
        <v>261901</v>
      </c>
      <c r="K41" t="s">
        <v>15</v>
      </c>
      <c r="L41" t="str">
        <f t="shared" si="0"/>
        <v>Available</v>
      </c>
      <c r="M41">
        <f t="shared" si="1"/>
        <v>1</v>
      </c>
      <c r="N41">
        <f t="shared" si="2"/>
        <v>1</v>
      </c>
    </row>
    <row r="42" spans="1:14" x14ac:dyDescent="0.35">
      <c r="A42" t="s">
        <v>1598</v>
      </c>
      <c r="B42" t="s">
        <v>60</v>
      </c>
      <c r="C42" t="s">
        <v>87</v>
      </c>
      <c r="D42">
        <v>25</v>
      </c>
      <c r="E42" t="s">
        <v>13</v>
      </c>
      <c r="F42" s="1">
        <v>44497</v>
      </c>
      <c r="G42" s="1">
        <v>46059</v>
      </c>
      <c r="H42" t="s">
        <v>14</v>
      </c>
      <c r="I42" s="2">
        <v>25741398</v>
      </c>
      <c r="J42">
        <v>261540</v>
      </c>
      <c r="K42" t="s">
        <v>15</v>
      </c>
      <c r="L42" t="str">
        <f t="shared" si="0"/>
        <v>Available</v>
      </c>
      <c r="M42">
        <f t="shared" si="1"/>
        <v>1</v>
      </c>
      <c r="N42">
        <f t="shared" si="2"/>
        <v>1</v>
      </c>
    </row>
    <row r="43" spans="1:14" x14ac:dyDescent="0.35">
      <c r="A43" t="s">
        <v>1599</v>
      </c>
      <c r="B43" t="s">
        <v>89</v>
      </c>
      <c r="C43" t="s">
        <v>88</v>
      </c>
      <c r="D43">
        <v>24</v>
      </c>
      <c r="E43" t="s">
        <v>13</v>
      </c>
      <c r="F43" s="1">
        <v>45974</v>
      </c>
      <c r="G43" s="1">
        <v>46059</v>
      </c>
      <c r="H43" t="s">
        <v>14</v>
      </c>
      <c r="I43" s="2">
        <v>74007010</v>
      </c>
      <c r="J43">
        <v>264460</v>
      </c>
      <c r="K43" t="s">
        <v>15</v>
      </c>
      <c r="L43" t="str">
        <f t="shared" si="0"/>
        <v>Available</v>
      </c>
      <c r="M43">
        <f t="shared" si="1"/>
        <v>1</v>
      </c>
      <c r="N43">
        <f t="shared" si="2"/>
        <v>1</v>
      </c>
    </row>
    <row r="44" spans="1:14" x14ac:dyDescent="0.35">
      <c r="A44" t="s">
        <v>1600</v>
      </c>
      <c r="B44" t="s">
        <v>91</v>
      </c>
      <c r="C44" t="s">
        <v>90</v>
      </c>
      <c r="D44">
        <v>28</v>
      </c>
      <c r="E44" t="s">
        <v>13</v>
      </c>
      <c r="F44" s="1">
        <v>44497</v>
      </c>
      <c r="G44" s="1">
        <v>46059</v>
      </c>
      <c r="H44" t="s">
        <v>14</v>
      </c>
      <c r="I44" s="2">
        <v>29328271</v>
      </c>
      <c r="J44">
        <v>267064</v>
      </c>
      <c r="K44" t="s">
        <v>15</v>
      </c>
      <c r="L44" t="str">
        <f t="shared" si="0"/>
        <v>Available</v>
      </c>
      <c r="M44">
        <f t="shared" si="1"/>
        <v>1</v>
      </c>
      <c r="N44">
        <f t="shared" si="2"/>
        <v>1</v>
      </c>
    </row>
    <row r="45" spans="1:14" x14ac:dyDescent="0.35">
      <c r="A45" t="s">
        <v>1601</v>
      </c>
      <c r="B45" t="s">
        <v>23</v>
      </c>
      <c r="C45" t="s">
        <v>92</v>
      </c>
      <c r="F45" s="1">
        <v>44500</v>
      </c>
      <c r="G45" s="1">
        <v>45133</v>
      </c>
      <c r="H45" t="s">
        <v>14</v>
      </c>
      <c r="I45" t="s">
        <v>2778</v>
      </c>
      <c r="J45">
        <v>264426</v>
      </c>
      <c r="K45" t="s">
        <v>30</v>
      </c>
      <c r="L45" t="str">
        <f t="shared" si="0"/>
        <v>Available</v>
      </c>
      <c r="M45">
        <f t="shared" si="1"/>
        <v>0</v>
      </c>
      <c r="N45">
        <f t="shared" si="2"/>
        <v>1</v>
      </c>
    </row>
    <row r="46" spans="1:14" x14ac:dyDescent="0.35">
      <c r="A46" t="s">
        <v>1602</v>
      </c>
      <c r="B46" t="s">
        <v>94</v>
      </c>
      <c r="C46" t="s">
        <v>93</v>
      </c>
      <c r="D46">
        <v>16</v>
      </c>
      <c r="E46" t="s">
        <v>13</v>
      </c>
      <c r="F46" s="1">
        <v>44497</v>
      </c>
      <c r="G46" s="1">
        <v>46059</v>
      </c>
      <c r="H46" t="s">
        <v>14</v>
      </c>
      <c r="I46" s="2">
        <v>110843</v>
      </c>
      <c r="J46">
        <v>266415</v>
      </c>
      <c r="K46" t="s">
        <v>15</v>
      </c>
      <c r="L46" t="str">
        <f t="shared" si="0"/>
        <v>Available</v>
      </c>
      <c r="M46">
        <f t="shared" si="1"/>
        <v>1</v>
      </c>
      <c r="N46">
        <f t="shared" si="2"/>
        <v>1</v>
      </c>
    </row>
    <row r="47" spans="1:14" x14ac:dyDescent="0.35">
      <c r="A47" t="s">
        <v>1603</v>
      </c>
      <c r="B47" t="s">
        <v>96</v>
      </c>
      <c r="C47" t="s">
        <v>95</v>
      </c>
      <c r="D47">
        <v>24</v>
      </c>
      <c r="E47" t="s">
        <v>13</v>
      </c>
      <c r="F47" s="1">
        <v>44497</v>
      </c>
      <c r="G47" s="1">
        <v>46060</v>
      </c>
      <c r="H47" t="s">
        <v>14</v>
      </c>
      <c r="I47" s="2">
        <v>98540</v>
      </c>
      <c r="J47">
        <v>261871</v>
      </c>
      <c r="K47" t="s">
        <v>15</v>
      </c>
      <c r="L47" t="str">
        <f t="shared" si="0"/>
        <v>Available</v>
      </c>
      <c r="M47">
        <f t="shared" si="1"/>
        <v>1</v>
      </c>
      <c r="N47">
        <f t="shared" si="2"/>
        <v>1</v>
      </c>
    </row>
    <row r="48" spans="1:14" x14ac:dyDescent="0.35">
      <c r="A48" t="s">
        <v>1604</v>
      </c>
      <c r="B48" t="s">
        <v>58</v>
      </c>
      <c r="C48" t="s">
        <v>97</v>
      </c>
      <c r="D48">
        <v>13.863529</v>
      </c>
      <c r="E48" t="s">
        <v>35</v>
      </c>
      <c r="F48" s="1">
        <v>44497</v>
      </c>
      <c r="G48" s="1">
        <v>46058</v>
      </c>
      <c r="H48" t="s">
        <v>14</v>
      </c>
      <c r="I48" t="s">
        <v>2778</v>
      </c>
      <c r="J48">
        <v>261785</v>
      </c>
      <c r="K48" t="s">
        <v>30</v>
      </c>
      <c r="L48" t="str">
        <f t="shared" si="0"/>
        <v>Available</v>
      </c>
      <c r="M48">
        <f t="shared" si="1"/>
        <v>0</v>
      </c>
      <c r="N48">
        <f t="shared" si="2"/>
        <v>1</v>
      </c>
    </row>
    <row r="49" spans="1:14" x14ac:dyDescent="0.35">
      <c r="A49" t="s">
        <v>1605</v>
      </c>
      <c r="B49" t="s">
        <v>99</v>
      </c>
      <c r="C49" t="s">
        <v>98</v>
      </c>
      <c r="D49">
        <v>24</v>
      </c>
      <c r="E49" t="s">
        <v>13</v>
      </c>
      <c r="F49" s="1">
        <v>44500</v>
      </c>
      <c r="G49" s="1">
        <v>46059</v>
      </c>
      <c r="H49" t="s">
        <v>14</v>
      </c>
      <c r="I49" s="2">
        <v>19293749</v>
      </c>
      <c r="J49">
        <v>261782</v>
      </c>
      <c r="K49" t="s">
        <v>15</v>
      </c>
      <c r="L49" t="str">
        <f t="shared" si="0"/>
        <v>Available</v>
      </c>
      <c r="M49">
        <f t="shared" si="1"/>
        <v>1</v>
      </c>
      <c r="N49">
        <f t="shared" si="2"/>
        <v>1</v>
      </c>
    </row>
    <row r="50" spans="1:14" x14ac:dyDescent="0.35">
      <c r="A50" t="s">
        <v>1606</v>
      </c>
      <c r="B50" t="s">
        <v>25</v>
      </c>
      <c r="C50" t="s">
        <v>100</v>
      </c>
      <c r="D50">
        <v>24</v>
      </c>
      <c r="E50" t="s">
        <v>13</v>
      </c>
      <c r="F50" s="1">
        <v>44607</v>
      </c>
      <c r="G50" s="1">
        <v>46060</v>
      </c>
      <c r="H50" t="s">
        <v>14</v>
      </c>
      <c r="I50" s="2">
        <v>27126674</v>
      </c>
      <c r="J50">
        <v>266863</v>
      </c>
      <c r="K50" t="s">
        <v>15</v>
      </c>
      <c r="L50" t="str">
        <f t="shared" si="0"/>
        <v>Available</v>
      </c>
      <c r="M50">
        <f t="shared" si="1"/>
        <v>1</v>
      </c>
      <c r="N50">
        <f t="shared" si="2"/>
        <v>1</v>
      </c>
    </row>
    <row r="51" spans="1:14" x14ac:dyDescent="0.35">
      <c r="A51" t="s">
        <v>1607</v>
      </c>
      <c r="B51" t="s">
        <v>25</v>
      </c>
      <c r="C51" t="s">
        <v>101</v>
      </c>
      <c r="D51">
        <v>59.174500000000002</v>
      </c>
      <c r="E51" t="s">
        <v>35</v>
      </c>
      <c r="F51" s="1">
        <v>44497</v>
      </c>
      <c r="G51" s="1">
        <v>46058</v>
      </c>
      <c r="H51" t="s">
        <v>14</v>
      </c>
      <c r="I51" t="s">
        <v>2778</v>
      </c>
      <c r="J51">
        <v>264031</v>
      </c>
      <c r="K51" t="s">
        <v>30</v>
      </c>
      <c r="L51" t="str">
        <f t="shared" si="0"/>
        <v>Available</v>
      </c>
      <c r="M51">
        <f t="shared" si="1"/>
        <v>0</v>
      </c>
      <c r="N51">
        <f t="shared" si="2"/>
        <v>1</v>
      </c>
    </row>
    <row r="52" spans="1:14" x14ac:dyDescent="0.35">
      <c r="A52" t="s">
        <v>1608</v>
      </c>
      <c r="B52" t="s">
        <v>103</v>
      </c>
      <c r="C52" t="s">
        <v>102</v>
      </c>
      <c r="D52">
        <v>24</v>
      </c>
      <c r="E52" t="s">
        <v>13</v>
      </c>
      <c r="F52" s="1">
        <v>44500</v>
      </c>
      <c r="G52" s="1">
        <v>46059</v>
      </c>
      <c r="H52" t="s">
        <v>14</v>
      </c>
      <c r="I52" s="2">
        <v>19415306</v>
      </c>
      <c r="J52">
        <v>266361</v>
      </c>
      <c r="K52" t="s">
        <v>15</v>
      </c>
      <c r="L52" t="str">
        <f t="shared" si="0"/>
        <v>Available</v>
      </c>
      <c r="M52">
        <f t="shared" si="1"/>
        <v>1</v>
      </c>
      <c r="N52">
        <f t="shared" si="2"/>
        <v>1</v>
      </c>
    </row>
    <row r="53" spans="1:14" x14ac:dyDescent="0.35">
      <c r="A53" t="s">
        <v>1609</v>
      </c>
      <c r="B53" t="s">
        <v>105</v>
      </c>
      <c r="C53" t="s">
        <v>104</v>
      </c>
      <c r="D53">
        <v>23.5</v>
      </c>
      <c r="E53" t="s">
        <v>13</v>
      </c>
      <c r="F53" s="1">
        <v>44497</v>
      </c>
      <c r="G53" s="1">
        <v>46059</v>
      </c>
      <c r="H53" t="s">
        <v>14</v>
      </c>
      <c r="I53" s="2">
        <v>20218143</v>
      </c>
      <c r="J53">
        <v>266868</v>
      </c>
      <c r="K53" t="s">
        <v>15</v>
      </c>
      <c r="L53" t="str">
        <f t="shared" si="0"/>
        <v>Available</v>
      </c>
      <c r="M53">
        <f t="shared" si="1"/>
        <v>1</v>
      </c>
      <c r="N53">
        <f t="shared" si="2"/>
        <v>1</v>
      </c>
    </row>
    <row r="54" spans="1:14" x14ac:dyDescent="0.35">
      <c r="A54" t="s">
        <v>1610</v>
      </c>
      <c r="B54" t="s">
        <v>25</v>
      </c>
      <c r="C54" t="s">
        <v>106</v>
      </c>
      <c r="D54">
        <v>45</v>
      </c>
      <c r="E54" t="s">
        <v>13</v>
      </c>
      <c r="F54" s="1">
        <v>44497</v>
      </c>
      <c r="G54" s="1">
        <v>46060</v>
      </c>
      <c r="H54" t="s">
        <v>14</v>
      </c>
      <c r="I54" s="2">
        <v>20020258</v>
      </c>
      <c r="J54">
        <v>261884</v>
      </c>
      <c r="K54" t="s">
        <v>15</v>
      </c>
      <c r="L54" t="str">
        <f t="shared" si="0"/>
        <v>Available</v>
      </c>
      <c r="M54">
        <f t="shared" si="1"/>
        <v>1</v>
      </c>
      <c r="N54">
        <f t="shared" si="2"/>
        <v>1</v>
      </c>
    </row>
    <row r="55" spans="1:14" x14ac:dyDescent="0.35">
      <c r="A55" t="s">
        <v>1611</v>
      </c>
      <c r="B55" t="s">
        <v>103</v>
      </c>
      <c r="C55" t="s">
        <v>107</v>
      </c>
      <c r="D55">
        <v>24</v>
      </c>
      <c r="E55" t="s">
        <v>13</v>
      </c>
      <c r="F55" s="1">
        <v>44497</v>
      </c>
      <c r="G55" s="1">
        <v>46058</v>
      </c>
      <c r="H55" t="s">
        <v>14</v>
      </c>
      <c r="I55" t="s">
        <v>2778</v>
      </c>
      <c r="J55">
        <v>262068</v>
      </c>
      <c r="K55" t="s">
        <v>30</v>
      </c>
      <c r="L55" t="str">
        <f t="shared" si="0"/>
        <v>Available</v>
      </c>
      <c r="M55">
        <f t="shared" si="1"/>
        <v>0</v>
      </c>
      <c r="N55">
        <f t="shared" si="2"/>
        <v>1</v>
      </c>
    </row>
    <row r="56" spans="1:14" x14ac:dyDescent="0.35">
      <c r="A56" t="s">
        <v>1612</v>
      </c>
      <c r="C56" t="s">
        <v>108</v>
      </c>
      <c r="D56">
        <v>24</v>
      </c>
      <c r="E56" t="s">
        <v>13</v>
      </c>
      <c r="F56" s="1">
        <v>44531</v>
      </c>
      <c r="G56" s="1">
        <v>45599</v>
      </c>
      <c r="H56" t="s">
        <v>14</v>
      </c>
      <c r="I56" t="s">
        <v>2778</v>
      </c>
      <c r="J56">
        <v>264699</v>
      </c>
      <c r="K56" t="s">
        <v>30</v>
      </c>
      <c r="L56" t="str">
        <f t="shared" si="0"/>
        <v>Missing</v>
      </c>
      <c r="M56">
        <f t="shared" si="1"/>
        <v>0</v>
      </c>
      <c r="N56">
        <f t="shared" si="2"/>
        <v>0</v>
      </c>
    </row>
    <row r="57" spans="1:14" x14ac:dyDescent="0.35">
      <c r="A57" t="s">
        <v>1613</v>
      </c>
      <c r="B57" t="s">
        <v>110</v>
      </c>
      <c r="C57" t="s">
        <v>109</v>
      </c>
      <c r="D57">
        <v>24</v>
      </c>
      <c r="E57" t="s">
        <v>13</v>
      </c>
      <c r="F57" s="1">
        <v>44497</v>
      </c>
      <c r="G57" s="1">
        <v>46058</v>
      </c>
      <c r="H57" t="s">
        <v>14</v>
      </c>
      <c r="I57" s="2">
        <v>218913</v>
      </c>
      <c r="J57">
        <v>266880</v>
      </c>
      <c r="K57" t="s">
        <v>15</v>
      </c>
      <c r="L57" t="str">
        <f t="shared" si="0"/>
        <v>Available</v>
      </c>
      <c r="M57">
        <f t="shared" si="1"/>
        <v>1</v>
      </c>
      <c r="N57">
        <f t="shared" si="2"/>
        <v>1</v>
      </c>
    </row>
    <row r="58" spans="1:14" x14ac:dyDescent="0.35">
      <c r="A58" t="s">
        <v>1614</v>
      </c>
      <c r="B58" t="s">
        <v>112</v>
      </c>
      <c r="C58" t="s">
        <v>111</v>
      </c>
      <c r="D58">
        <v>23.5</v>
      </c>
      <c r="E58" t="s">
        <v>13</v>
      </c>
      <c r="F58" s="1">
        <v>44497</v>
      </c>
      <c r="G58" s="1">
        <v>46058</v>
      </c>
      <c r="H58" t="s">
        <v>14</v>
      </c>
      <c r="I58" t="s">
        <v>2778</v>
      </c>
      <c r="J58">
        <v>261788</v>
      </c>
      <c r="K58" t="s">
        <v>30</v>
      </c>
      <c r="L58" t="str">
        <f t="shared" si="0"/>
        <v>Available</v>
      </c>
      <c r="M58">
        <f t="shared" si="1"/>
        <v>0</v>
      </c>
      <c r="N58">
        <f t="shared" si="2"/>
        <v>1</v>
      </c>
    </row>
    <row r="59" spans="1:14" x14ac:dyDescent="0.35">
      <c r="A59" t="s">
        <v>1615</v>
      </c>
      <c r="B59" t="s">
        <v>114</v>
      </c>
      <c r="C59" t="s">
        <v>113</v>
      </c>
      <c r="D59">
        <v>22.3169</v>
      </c>
      <c r="E59" t="s">
        <v>35</v>
      </c>
      <c r="F59" s="1">
        <v>45953</v>
      </c>
      <c r="G59" s="1">
        <v>46058</v>
      </c>
      <c r="H59" t="s">
        <v>14</v>
      </c>
      <c r="I59" t="s">
        <v>2778</v>
      </c>
      <c r="J59">
        <v>261889</v>
      </c>
      <c r="K59" t="s">
        <v>30</v>
      </c>
      <c r="L59" t="str">
        <f t="shared" si="0"/>
        <v>Available</v>
      </c>
      <c r="M59">
        <f t="shared" si="1"/>
        <v>0</v>
      </c>
      <c r="N59">
        <f t="shared" si="2"/>
        <v>1</v>
      </c>
    </row>
    <row r="60" spans="1:14" x14ac:dyDescent="0.35">
      <c r="A60" t="s">
        <v>1616</v>
      </c>
      <c r="B60" t="s">
        <v>116</v>
      </c>
      <c r="C60" t="s">
        <v>115</v>
      </c>
      <c r="D60">
        <v>24</v>
      </c>
      <c r="E60" t="s">
        <v>13</v>
      </c>
      <c r="F60" s="1">
        <v>44937</v>
      </c>
      <c r="G60" s="1">
        <v>46060</v>
      </c>
      <c r="H60" t="s">
        <v>14</v>
      </c>
      <c r="I60" s="2">
        <v>29202912</v>
      </c>
      <c r="J60">
        <v>267004</v>
      </c>
      <c r="K60" t="s">
        <v>15</v>
      </c>
      <c r="L60" t="str">
        <f t="shared" si="0"/>
        <v>Available</v>
      </c>
      <c r="M60">
        <f t="shared" si="1"/>
        <v>1</v>
      </c>
      <c r="N60">
        <f t="shared" si="2"/>
        <v>1</v>
      </c>
    </row>
    <row r="61" spans="1:14" x14ac:dyDescent="0.35">
      <c r="A61" t="s">
        <v>1617</v>
      </c>
      <c r="B61" t="s">
        <v>118</v>
      </c>
      <c r="C61" t="s">
        <v>117</v>
      </c>
      <c r="D61">
        <v>24</v>
      </c>
      <c r="E61" t="s">
        <v>13</v>
      </c>
      <c r="F61" s="1">
        <v>45459</v>
      </c>
      <c r="G61" s="1">
        <v>46059</v>
      </c>
      <c r="H61" t="s">
        <v>14</v>
      </c>
      <c r="I61" s="2">
        <v>48699362</v>
      </c>
      <c r="J61">
        <v>262287</v>
      </c>
      <c r="K61" t="s">
        <v>15</v>
      </c>
      <c r="L61" t="str">
        <f t="shared" si="0"/>
        <v>Available</v>
      </c>
      <c r="M61">
        <f t="shared" si="1"/>
        <v>1</v>
      </c>
      <c r="N61">
        <f t="shared" si="2"/>
        <v>1</v>
      </c>
    </row>
    <row r="62" spans="1:14" x14ac:dyDescent="0.35">
      <c r="A62" t="s">
        <v>1618</v>
      </c>
      <c r="B62" t="s">
        <v>25</v>
      </c>
      <c r="C62" t="s">
        <v>119</v>
      </c>
      <c r="D62">
        <v>23.5</v>
      </c>
      <c r="E62" t="s">
        <v>13</v>
      </c>
      <c r="F62" s="1">
        <v>44497</v>
      </c>
      <c r="G62" s="1">
        <v>46059</v>
      </c>
      <c r="H62" t="s">
        <v>14</v>
      </c>
      <c r="I62" s="2">
        <v>27126599</v>
      </c>
      <c r="J62">
        <v>261532</v>
      </c>
      <c r="K62" t="s">
        <v>15</v>
      </c>
      <c r="L62" t="str">
        <f t="shared" si="0"/>
        <v>Available</v>
      </c>
      <c r="M62">
        <f t="shared" si="1"/>
        <v>1</v>
      </c>
      <c r="N62">
        <f t="shared" si="2"/>
        <v>1</v>
      </c>
    </row>
    <row r="63" spans="1:14" x14ac:dyDescent="0.35">
      <c r="A63" t="s">
        <v>1619</v>
      </c>
      <c r="B63" t="s">
        <v>121</v>
      </c>
      <c r="C63" t="s">
        <v>120</v>
      </c>
      <c r="D63">
        <v>24</v>
      </c>
      <c r="E63" t="s">
        <v>13</v>
      </c>
      <c r="F63" s="1">
        <v>45686</v>
      </c>
      <c r="G63" s="1">
        <v>46059</v>
      </c>
      <c r="H63" t="s">
        <v>14</v>
      </c>
      <c r="I63" s="2">
        <v>64885851</v>
      </c>
      <c r="J63">
        <v>267038</v>
      </c>
      <c r="K63" t="s">
        <v>15</v>
      </c>
      <c r="L63" t="str">
        <f t="shared" si="0"/>
        <v>Available</v>
      </c>
      <c r="M63">
        <f t="shared" si="1"/>
        <v>1</v>
      </c>
      <c r="N63">
        <f t="shared" si="2"/>
        <v>1</v>
      </c>
    </row>
    <row r="64" spans="1:14" x14ac:dyDescent="0.35">
      <c r="A64" t="s">
        <v>1620</v>
      </c>
      <c r="B64" t="s">
        <v>123</v>
      </c>
      <c r="C64" t="s">
        <v>122</v>
      </c>
      <c r="D64">
        <v>45</v>
      </c>
      <c r="E64" t="s">
        <v>13</v>
      </c>
      <c r="F64" s="1">
        <v>44497</v>
      </c>
      <c r="G64" s="1">
        <v>46060</v>
      </c>
      <c r="H64" t="s">
        <v>14</v>
      </c>
      <c r="I64" s="2">
        <v>19950603</v>
      </c>
      <c r="J64">
        <v>267072</v>
      </c>
      <c r="K64" t="s">
        <v>15</v>
      </c>
      <c r="L64" t="str">
        <f t="shared" si="0"/>
        <v>Available</v>
      </c>
      <c r="M64">
        <f t="shared" si="1"/>
        <v>1</v>
      </c>
      <c r="N64">
        <f t="shared" si="2"/>
        <v>1</v>
      </c>
    </row>
    <row r="65" spans="1:14" x14ac:dyDescent="0.35">
      <c r="A65" t="s">
        <v>1621</v>
      </c>
      <c r="B65" t="s">
        <v>125</v>
      </c>
      <c r="C65" t="s">
        <v>124</v>
      </c>
      <c r="D65">
        <v>25</v>
      </c>
      <c r="E65" t="s">
        <v>13</v>
      </c>
      <c r="F65" s="1">
        <v>44607</v>
      </c>
      <c r="G65" s="1">
        <v>46059</v>
      </c>
      <c r="H65" t="s">
        <v>14</v>
      </c>
      <c r="I65" s="2">
        <v>27582936</v>
      </c>
      <c r="J65">
        <v>267036</v>
      </c>
      <c r="K65" t="s">
        <v>15</v>
      </c>
      <c r="L65" t="str">
        <f t="shared" si="0"/>
        <v>Available</v>
      </c>
      <c r="M65">
        <f t="shared" si="1"/>
        <v>1</v>
      </c>
      <c r="N65">
        <f t="shared" si="2"/>
        <v>1</v>
      </c>
    </row>
    <row r="66" spans="1:14" x14ac:dyDescent="0.35">
      <c r="A66" t="s">
        <v>1622</v>
      </c>
      <c r="B66" t="s">
        <v>32</v>
      </c>
      <c r="C66" t="s">
        <v>126</v>
      </c>
      <c r="D66">
        <v>25</v>
      </c>
      <c r="E66" t="s">
        <v>13</v>
      </c>
      <c r="F66" s="1">
        <v>44498</v>
      </c>
      <c r="G66" s="1">
        <v>46058</v>
      </c>
      <c r="H66" t="s">
        <v>14</v>
      </c>
      <c r="I66" s="2">
        <v>16511765</v>
      </c>
      <c r="J66">
        <v>266462</v>
      </c>
      <c r="K66" t="s">
        <v>15</v>
      </c>
      <c r="L66" t="str">
        <f t="shared" si="0"/>
        <v>Available</v>
      </c>
      <c r="M66">
        <f t="shared" si="1"/>
        <v>1</v>
      </c>
      <c r="N66">
        <f t="shared" si="2"/>
        <v>1</v>
      </c>
    </row>
    <row r="67" spans="1:14" x14ac:dyDescent="0.35">
      <c r="A67" t="s">
        <v>1623</v>
      </c>
      <c r="B67" t="s">
        <v>58</v>
      </c>
      <c r="C67" t="s">
        <v>127</v>
      </c>
      <c r="D67">
        <v>21.978764999999999</v>
      </c>
      <c r="E67" t="s">
        <v>35</v>
      </c>
      <c r="F67" s="1">
        <v>44497</v>
      </c>
      <c r="G67" s="1">
        <v>45820</v>
      </c>
      <c r="H67" t="s">
        <v>14</v>
      </c>
      <c r="I67" t="s">
        <v>2778</v>
      </c>
      <c r="J67">
        <v>262043</v>
      </c>
      <c r="K67" t="s">
        <v>30</v>
      </c>
      <c r="L67" t="str">
        <f t="shared" ref="L67:L130" si="3">IF(OR(B67="",ISBLANK(B67)),"Missing","Available")</f>
        <v>Available</v>
      </c>
      <c r="M67">
        <f t="shared" ref="M67:M130" si="4">IF(K67="Mapped",1,0)</f>
        <v>0</v>
      </c>
      <c r="N67">
        <f t="shared" ref="N67:N130" si="5">IF(AND(B67&lt;&gt;"",A67&lt;&gt;""),1,0)</f>
        <v>1</v>
      </c>
    </row>
    <row r="68" spans="1:14" x14ac:dyDescent="0.35">
      <c r="A68" t="s">
        <v>1624</v>
      </c>
      <c r="B68" t="s">
        <v>129</v>
      </c>
      <c r="C68" t="s">
        <v>128</v>
      </c>
      <c r="D68">
        <v>25</v>
      </c>
      <c r="E68" t="s">
        <v>13</v>
      </c>
      <c r="F68" s="1">
        <v>44497</v>
      </c>
      <c r="G68" s="1">
        <v>46059</v>
      </c>
      <c r="H68" t="s">
        <v>14</v>
      </c>
      <c r="I68" s="2">
        <v>2219447</v>
      </c>
      <c r="J68">
        <v>266548</v>
      </c>
      <c r="K68" t="s">
        <v>15</v>
      </c>
      <c r="L68" t="str">
        <f t="shared" si="3"/>
        <v>Available</v>
      </c>
      <c r="M68">
        <f t="shared" si="4"/>
        <v>1</v>
      </c>
      <c r="N68">
        <f t="shared" si="5"/>
        <v>1</v>
      </c>
    </row>
    <row r="69" spans="1:14" x14ac:dyDescent="0.35">
      <c r="A69" t="s">
        <v>1625</v>
      </c>
      <c r="B69" t="s">
        <v>132</v>
      </c>
      <c r="C69" t="s">
        <v>131</v>
      </c>
      <c r="D69">
        <v>24</v>
      </c>
      <c r="E69" t="s">
        <v>13</v>
      </c>
      <c r="F69" s="1">
        <v>45189</v>
      </c>
      <c r="G69" s="1">
        <v>46059</v>
      </c>
      <c r="H69" t="s">
        <v>14</v>
      </c>
      <c r="I69" s="2">
        <v>30769766</v>
      </c>
      <c r="J69">
        <v>264179</v>
      </c>
      <c r="K69" t="s">
        <v>15</v>
      </c>
      <c r="L69" t="str">
        <f t="shared" si="3"/>
        <v>Available</v>
      </c>
      <c r="M69">
        <f t="shared" si="4"/>
        <v>1</v>
      </c>
      <c r="N69">
        <f t="shared" si="5"/>
        <v>1</v>
      </c>
    </row>
    <row r="70" spans="1:14" x14ac:dyDescent="0.35">
      <c r="A70" t="s">
        <v>1626</v>
      </c>
      <c r="B70" t="s">
        <v>121</v>
      </c>
      <c r="C70" t="s">
        <v>133</v>
      </c>
      <c r="D70">
        <v>14.5</v>
      </c>
      <c r="E70" t="s">
        <v>13</v>
      </c>
      <c r="F70" s="1">
        <v>44501</v>
      </c>
      <c r="G70" s="1">
        <v>46059</v>
      </c>
      <c r="H70" t="s">
        <v>14</v>
      </c>
      <c r="I70" s="2">
        <v>25392842</v>
      </c>
      <c r="J70">
        <v>261770</v>
      </c>
      <c r="K70" t="s">
        <v>15</v>
      </c>
      <c r="L70" t="str">
        <f t="shared" si="3"/>
        <v>Available</v>
      </c>
      <c r="M70">
        <f t="shared" si="4"/>
        <v>1</v>
      </c>
      <c r="N70">
        <f t="shared" si="5"/>
        <v>1</v>
      </c>
    </row>
    <row r="71" spans="1:14" x14ac:dyDescent="0.35">
      <c r="A71" t="s">
        <v>1627</v>
      </c>
      <c r="B71" t="s">
        <v>135</v>
      </c>
      <c r="C71" t="s">
        <v>134</v>
      </c>
      <c r="D71">
        <v>24</v>
      </c>
      <c r="E71" t="s">
        <v>13</v>
      </c>
      <c r="F71" s="1">
        <v>44497</v>
      </c>
      <c r="G71" s="1">
        <v>46060</v>
      </c>
      <c r="H71" t="s">
        <v>14</v>
      </c>
      <c r="I71" s="2">
        <v>16293666</v>
      </c>
      <c r="J71">
        <v>267044</v>
      </c>
      <c r="K71" t="s">
        <v>15</v>
      </c>
      <c r="L71" t="str">
        <f t="shared" si="3"/>
        <v>Available</v>
      </c>
      <c r="M71">
        <f t="shared" si="4"/>
        <v>1</v>
      </c>
      <c r="N71">
        <f t="shared" si="5"/>
        <v>1</v>
      </c>
    </row>
    <row r="72" spans="1:14" x14ac:dyDescent="0.35">
      <c r="A72" t="s">
        <v>1628</v>
      </c>
      <c r="B72" t="s">
        <v>137</v>
      </c>
      <c r="C72" t="s">
        <v>136</v>
      </c>
      <c r="D72">
        <v>24</v>
      </c>
      <c r="E72" t="s">
        <v>13</v>
      </c>
      <c r="F72" s="1">
        <v>44501</v>
      </c>
      <c r="G72" s="1">
        <v>45331</v>
      </c>
      <c r="H72" t="s">
        <v>14</v>
      </c>
      <c r="I72" t="s">
        <v>2778</v>
      </c>
      <c r="J72">
        <v>262045</v>
      </c>
      <c r="K72" t="s">
        <v>30</v>
      </c>
      <c r="L72" t="str">
        <f t="shared" si="3"/>
        <v>Available</v>
      </c>
      <c r="M72">
        <f t="shared" si="4"/>
        <v>0</v>
      </c>
      <c r="N72">
        <f t="shared" si="5"/>
        <v>1</v>
      </c>
    </row>
    <row r="73" spans="1:14" x14ac:dyDescent="0.35">
      <c r="A73" t="s">
        <v>1629</v>
      </c>
      <c r="B73" t="s">
        <v>139</v>
      </c>
      <c r="C73" t="s">
        <v>138</v>
      </c>
      <c r="D73">
        <v>24</v>
      </c>
      <c r="E73" t="s">
        <v>13</v>
      </c>
      <c r="F73" s="1">
        <v>44497</v>
      </c>
      <c r="G73" s="1">
        <v>45317</v>
      </c>
      <c r="H73" t="s">
        <v>14</v>
      </c>
      <c r="I73" t="s">
        <v>2778</v>
      </c>
      <c r="J73">
        <v>261487</v>
      </c>
      <c r="K73" t="s">
        <v>30</v>
      </c>
      <c r="L73" t="str">
        <f t="shared" si="3"/>
        <v>Available</v>
      </c>
      <c r="M73">
        <f t="shared" si="4"/>
        <v>0</v>
      </c>
      <c r="N73">
        <f t="shared" si="5"/>
        <v>1</v>
      </c>
    </row>
    <row r="74" spans="1:14" x14ac:dyDescent="0.35">
      <c r="A74" t="s">
        <v>1630</v>
      </c>
      <c r="B74" t="s">
        <v>12</v>
      </c>
      <c r="C74" t="s">
        <v>140</v>
      </c>
      <c r="D74">
        <v>23.5</v>
      </c>
      <c r="E74" t="s">
        <v>13</v>
      </c>
      <c r="F74" s="1">
        <v>44497</v>
      </c>
      <c r="G74" s="1">
        <v>46059</v>
      </c>
      <c r="H74" t="s">
        <v>14</v>
      </c>
      <c r="I74" s="2">
        <v>36160</v>
      </c>
      <c r="J74">
        <v>262522</v>
      </c>
      <c r="K74" t="s">
        <v>15</v>
      </c>
      <c r="L74" t="str">
        <f t="shared" si="3"/>
        <v>Available</v>
      </c>
      <c r="M74">
        <f t="shared" si="4"/>
        <v>1</v>
      </c>
      <c r="N74">
        <f t="shared" si="5"/>
        <v>1</v>
      </c>
    </row>
    <row r="75" spans="1:14" x14ac:dyDescent="0.35">
      <c r="A75" t="s">
        <v>1631</v>
      </c>
      <c r="B75" t="s">
        <v>142</v>
      </c>
      <c r="C75" t="s">
        <v>141</v>
      </c>
      <c r="D75">
        <v>32</v>
      </c>
      <c r="E75" t="s">
        <v>13</v>
      </c>
      <c r="F75" s="1">
        <v>44497</v>
      </c>
      <c r="G75" s="1">
        <v>46057</v>
      </c>
      <c r="H75" t="s">
        <v>14</v>
      </c>
      <c r="I75" t="s">
        <v>2778</v>
      </c>
      <c r="J75">
        <v>266872</v>
      </c>
      <c r="K75" t="s">
        <v>30</v>
      </c>
      <c r="L75" t="str">
        <f t="shared" si="3"/>
        <v>Available</v>
      </c>
      <c r="M75">
        <f t="shared" si="4"/>
        <v>0</v>
      </c>
      <c r="N75">
        <f t="shared" si="5"/>
        <v>1</v>
      </c>
    </row>
    <row r="76" spans="1:14" x14ac:dyDescent="0.35">
      <c r="A76" t="s">
        <v>1632</v>
      </c>
      <c r="B76" t="s">
        <v>58</v>
      </c>
      <c r="C76" t="s">
        <v>143</v>
      </c>
      <c r="D76">
        <v>20.288091000000001</v>
      </c>
      <c r="E76" t="s">
        <v>35</v>
      </c>
      <c r="F76" s="1">
        <v>45631</v>
      </c>
      <c r="G76" s="1">
        <v>46058</v>
      </c>
      <c r="H76" t="s">
        <v>14</v>
      </c>
      <c r="I76" t="s">
        <v>2778</v>
      </c>
      <c r="J76">
        <v>261784</v>
      </c>
      <c r="K76" t="s">
        <v>30</v>
      </c>
      <c r="L76" t="str">
        <f t="shared" si="3"/>
        <v>Available</v>
      </c>
      <c r="M76">
        <f t="shared" si="4"/>
        <v>0</v>
      </c>
      <c r="N76">
        <f t="shared" si="5"/>
        <v>1</v>
      </c>
    </row>
    <row r="77" spans="1:14" x14ac:dyDescent="0.35">
      <c r="A77" t="s">
        <v>1633</v>
      </c>
      <c r="C77" t="s">
        <v>144</v>
      </c>
      <c r="D77">
        <v>24</v>
      </c>
      <c r="E77" t="s">
        <v>13</v>
      </c>
      <c r="F77" s="1">
        <v>44539</v>
      </c>
      <c r="G77" s="1">
        <v>46059</v>
      </c>
      <c r="H77" t="s">
        <v>14</v>
      </c>
      <c r="I77" s="2">
        <v>23820092</v>
      </c>
      <c r="J77">
        <v>263993</v>
      </c>
      <c r="K77" t="s">
        <v>15</v>
      </c>
      <c r="L77" t="str">
        <f t="shared" si="3"/>
        <v>Missing</v>
      </c>
      <c r="M77">
        <f t="shared" si="4"/>
        <v>1</v>
      </c>
      <c r="N77">
        <f t="shared" si="5"/>
        <v>0</v>
      </c>
    </row>
    <row r="78" spans="1:14" x14ac:dyDescent="0.35">
      <c r="A78" t="s">
        <v>1634</v>
      </c>
      <c r="C78" t="s">
        <v>145</v>
      </c>
      <c r="D78">
        <v>16</v>
      </c>
      <c r="E78" t="s">
        <v>13</v>
      </c>
      <c r="F78" s="1">
        <v>44500</v>
      </c>
      <c r="G78" s="1">
        <v>45736</v>
      </c>
      <c r="H78" t="s">
        <v>14</v>
      </c>
      <c r="I78" t="s">
        <v>2778</v>
      </c>
      <c r="J78">
        <v>266445</v>
      </c>
      <c r="K78" t="s">
        <v>30</v>
      </c>
      <c r="L78" t="str">
        <f t="shared" si="3"/>
        <v>Missing</v>
      </c>
      <c r="M78">
        <f t="shared" si="4"/>
        <v>0</v>
      </c>
      <c r="N78">
        <f t="shared" si="5"/>
        <v>0</v>
      </c>
    </row>
    <row r="79" spans="1:14" x14ac:dyDescent="0.35">
      <c r="A79" t="s">
        <v>1635</v>
      </c>
      <c r="B79" t="s">
        <v>147</v>
      </c>
      <c r="C79" t="s">
        <v>146</v>
      </c>
      <c r="D79">
        <v>24</v>
      </c>
      <c r="E79" t="s">
        <v>13</v>
      </c>
      <c r="F79" s="1">
        <v>44497</v>
      </c>
      <c r="G79" s="1">
        <v>46059</v>
      </c>
      <c r="H79" t="s">
        <v>14</v>
      </c>
      <c r="I79" t="s">
        <v>2779</v>
      </c>
      <c r="J79" t="s">
        <v>148</v>
      </c>
      <c r="K79" t="s">
        <v>15</v>
      </c>
      <c r="L79" t="str">
        <f t="shared" si="3"/>
        <v>Available</v>
      </c>
      <c r="M79">
        <f t="shared" si="4"/>
        <v>1</v>
      </c>
      <c r="N79">
        <f t="shared" si="5"/>
        <v>1</v>
      </c>
    </row>
    <row r="80" spans="1:14" x14ac:dyDescent="0.35">
      <c r="A80" t="s">
        <v>1636</v>
      </c>
      <c r="B80" t="s">
        <v>27</v>
      </c>
      <c r="C80" t="s">
        <v>149</v>
      </c>
      <c r="D80">
        <v>23</v>
      </c>
      <c r="E80" t="s">
        <v>13</v>
      </c>
      <c r="F80" s="1">
        <v>44497</v>
      </c>
      <c r="G80" s="1">
        <v>46059</v>
      </c>
      <c r="H80" t="s">
        <v>14</v>
      </c>
      <c r="I80" s="2">
        <v>17066490</v>
      </c>
      <c r="J80">
        <v>261855</v>
      </c>
      <c r="K80" t="s">
        <v>15</v>
      </c>
      <c r="L80" t="str">
        <f t="shared" si="3"/>
        <v>Available</v>
      </c>
      <c r="M80">
        <f t="shared" si="4"/>
        <v>1</v>
      </c>
      <c r="N80">
        <f t="shared" si="5"/>
        <v>1</v>
      </c>
    </row>
    <row r="81" spans="1:14" x14ac:dyDescent="0.35">
      <c r="A81" t="s">
        <v>1637</v>
      </c>
      <c r="C81" t="s">
        <v>150</v>
      </c>
      <c r="D81">
        <v>24</v>
      </c>
      <c r="E81" t="s">
        <v>13</v>
      </c>
      <c r="F81" s="1">
        <v>44502</v>
      </c>
      <c r="G81" s="1">
        <v>45833</v>
      </c>
      <c r="H81" t="s">
        <v>14</v>
      </c>
      <c r="I81" t="s">
        <v>2778</v>
      </c>
      <c r="J81">
        <v>264245</v>
      </c>
      <c r="K81" t="s">
        <v>30</v>
      </c>
      <c r="L81" t="str">
        <f t="shared" si="3"/>
        <v>Missing</v>
      </c>
      <c r="M81">
        <f t="shared" si="4"/>
        <v>0</v>
      </c>
      <c r="N81">
        <f t="shared" si="5"/>
        <v>0</v>
      </c>
    </row>
    <row r="82" spans="1:14" x14ac:dyDescent="0.35">
      <c r="A82" t="s">
        <v>1638</v>
      </c>
      <c r="B82" t="s">
        <v>152</v>
      </c>
      <c r="C82" t="s">
        <v>151</v>
      </c>
      <c r="D82">
        <v>32</v>
      </c>
      <c r="E82" t="s">
        <v>13</v>
      </c>
      <c r="F82" s="1">
        <v>44497</v>
      </c>
      <c r="G82" s="1">
        <v>46059</v>
      </c>
      <c r="H82" t="s">
        <v>14</v>
      </c>
      <c r="I82" s="2">
        <v>16948683</v>
      </c>
      <c r="J82">
        <v>266372</v>
      </c>
      <c r="K82" t="s">
        <v>15</v>
      </c>
      <c r="L82" t="str">
        <f t="shared" si="3"/>
        <v>Available</v>
      </c>
      <c r="M82">
        <f t="shared" si="4"/>
        <v>1</v>
      </c>
      <c r="N82">
        <f t="shared" si="5"/>
        <v>1</v>
      </c>
    </row>
    <row r="83" spans="1:14" x14ac:dyDescent="0.35">
      <c r="A83" t="s">
        <v>1639</v>
      </c>
      <c r="C83" t="s">
        <v>153</v>
      </c>
      <c r="D83">
        <v>25</v>
      </c>
      <c r="E83" t="s">
        <v>13</v>
      </c>
      <c r="F83" s="1">
        <v>44500</v>
      </c>
      <c r="G83" s="1">
        <v>46059</v>
      </c>
      <c r="H83" t="s">
        <v>14</v>
      </c>
      <c r="I83" s="2">
        <v>22221627</v>
      </c>
      <c r="J83">
        <v>264254</v>
      </c>
      <c r="K83" t="s">
        <v>15</v>
      </c>
      <c r="L83" t="str">
        <f t="shared" si="3"/>
        <v>Missing</v>
      </c>
      <c r="M83">
        <f t="shared" si="4"/>
        <v>1</v>
      </c>
      <c r="N83">
        <f t="shared" si="5"/>
        <v>0</v>
      </c>
    </row>
    <row r="84" spans="1:14" x14ac:dyDescent="0.35">
      <c r="A84" t="s">
        <v>1640</v>
      </c>
      <c r="C84" t="s">
        <v>154</v>
      </c>
      <c r="D84">
        <v>24</v>
      </c>
      <c r="E84" t="s">
        <v>13</v>
      </c>
      <c r="F84" s="1">
        <v>44497</v>
      </c>
      <c r="G84" s="1">
        <v>46059</v>
      </c>
      <c r="H84" t="s">
        <v>14</v>
      </c>
      <c r="I84" s="2">
        <v>19630001</v>
      </c>
      <c r="J84">
        <v>266332</v>
      </c>
      <c r="K84" t="s">
        <v>15</v>
      </c>
      <c r="L84" t="str">
        <f t="shared" si="3"/>
        <v>Missing</v>
      </c>
      <c r="M84">
        <f t="shared" si="4"/>
        <v>1</v>
      </c>
      <c r="N84">
        <f t="shared" si="5"/>
        <v>0</v>
      </c>
    </row>
    <row r="85" spans="1:14" x14ac:dyDescent="0.35">
      <c r="A85" t="s">
        <v>1641</v>
      </c>
      <c r="B85" t="s">
        <v>156</v>
      </c>
      <c r="C85" t="s">
        <v>155</v>
      </c>
      <c r="D85">
        <v>24</v>
      </c>
      <c r="E85" t="s">
        <v>13</v>
      </c>
      <c r="F85" s="1">
        <v>45939</v>
      </c>
      <c r="G85" s="1">
        <v>46059</v>
      </c>
      <c r="H85" t="s">
        <v>14</v>
      </c>
      <c r="I85" s="2">
        <v>89942536</v>
      </c>
      <c r="J85">
        <v>267003</v>
      </c>
      <c r="K85" t="s">
        <v>15</v>
      </c>
      <c r="L85" t="str">
        <f t="shared" si="3"/>
        <v>Available</v>
      </c>
      <c r="M85">
        <f t="shared" si="4"/>
        <v>1</v>
      </c>
      <c r="N85">
        <f t="shared" si="5"/>
        <v>1</v>
      </c>
    </row>
    <row r="86" spans="1:14" x14ac:dyDescent="0.35">
      <c r="A86" t="s">
        <v>1642</v>
      </c>
      <c r="B86" t="s">
        <v>158</v>
      </c>
      <c r="C86" t="s">
        <v>157</v>
      </c>
      <c r="D86">
        <v>25</v>
      </c>
      <c r="E86" t="s">
        <v>13</v>
      </c>
      <c r="F86" s="1">
        <v>44497</v>
      </c>
      <c r="G86" s="1">
        <v>46059</v>
      </c>
      <c r="H86" t="s">
        <v>14</v>
      </c>
      <c r="I86" s="2">
        <v>53393</v>
      </c>
      <c r="J86">
        <v>264743</v>
      </c>
      <c r="K86" t="s">
        <v>15</v>
      </c>
      <c r="L86" t="str">
        <f t="shared" si="3"/>
        <v>Available</v>
      </c>
      <c r="M86">
        <f t="shared" si="4"/>
        <v>1</v>
      </c>
      <c r="N86">
        <f t="shared" si="5"/>
        <v>1</v>
      </c>
    </row>
    <row r="87" spans="1:14" x14ac:dyDescent="0.35">
      <c r="A87" t="s">
        <v>1643</v>
      </c>
      <c r="C87" t="s">
        <v>159</v>
      </c>
      <c r="F87" s="1">
        <v>45765</v>
      </c>
      <c r="G87" s="1">
        <v>46059</v>
      </c>
      <c r="H87" t="s">
        <v>14</v>
      </c>
      <c r="I87" t="s">
        <v>2778</v>
      </c>
      <c r="J87">
        <v>262136</v>
      </c>
      <c r="K87" t="s">
        <v>30</v>
      </c>
      <c r="L87" t="str">
        <f t="shared" si="3"/>
        <v>Missing</v>
      </c>
      <c r="M87">
        <f t="shared" si="4"/>
        <v>0</v>
      </c>
      <c r="N87">
        <f t="shared" si="5"/>
        <v>0</v>
      </c>
    </row>
    <row r="88" spans="1:14" x14ac:dyDescent="0.35">
      <c r="A88" t="s">
        <v>1644</v>
      </c>
      <c r="C88" t="s">
        <v>160</v>
      </c>
      <c r="D88">
        <v>17.600000000000001</v>
      </c>
      <c r="E88" t="s">
        <v>13</v>
      </c>
      <c r="F88" s="1">
        <v>44500</v>
      </c>
      <c r="G88" s="1">
        <v>46059</v>
      </c>
      <c r="H88" t="s">
        <v>14</v>
      </c>
      <c r="I88" t="s">
        <v>2778</v>
      </c>
      <c r="J88">
        <v>264641</v>
      </c>
      <c r="K88" t="s">
        <v>30</v>
      </c>
      <c r="L88" t="str">
        <f t="shared" si="3"/>
        <v>Missing</v>
      </c>
      <c r="M88">
        <f t="shared" si="4"/>
        <v>0</v>
      </c>
      <c r="N88">
        <f t="shared" si="5"/>
        <v>0</v>
      </c>
    </row>
    <row r="89" spans="1:14" x14ac:dyDescent="0.35">
      <c r="A89" t="s">
        <v>1645</v>
      </c>
      <c r="B89" t="s">
        <v>27</v>
      </c>
      <c r="C89" t="s">
        <v>161</v>
      </c>
      <c r="D89">
        <v>23</v>
      </c>
      <c r="E89" t="s">
        <v>13</v>
      </c>
      <c r="F89" s="1">
        <v>44497</v>
      </c>
      <c r="G89" s="1">
        <v>46058</v>
      </c>
      <c r="H89" t="s">
        <v>14</v>
      </c>
      <c r="I89" s="2">
        <v>17066489</v>
      </c>
      <c r="J89">
        <v>267111</v>
      </c>
      <c r="K89" t="s">
        <v>15</v>
      </c>
      <c r="L89" t="str">
        <f t="shared" si="3"/>
        <v>Available</v>
      </c>
      <c r="M89">
        <f t="shared" si="4"/>
        <v>1</v>
      </c>
      <c r="N89">
        <f t="shared" si="5"/>
        <v>1</v>
      </c>
    </row>
    <row r="90" spans="1:14" x14ac:dyDescent="0.35">
      <c r="A90" t="s">
        <v>1646</v>
      </c>
      <c r="B90" t="s">
        <v>163</v>
      </c>
      <c r="C90" t="s">
        <v>162</v>
      </c>
      <c r="D90">
        <v>46</v>
      </c>
      <c r="E90" t="s">
        <v>13</v>
      </c>
      <c r="F90" s="1">
        <v>44498</v>
      </c>
      <c r="G90" s="1">
        <v>46058</v>
      </c>
      <c r="H90" t="s">
        <v>14</v>
      </c>
      <c r="I90" s="2">
        <v>17680729</v>
      </c>
      <c r="J90">
        <v>262375</v>
      </c>
      <c r="K90" t="s">
        <v>15</v>
      </c>
      <c r="L90" t="str">
        <f t="shared" si="3"/>
        <v>Available</v>
      </c>
      <c r="M90">
        <f t="shared" si="4"/>
        <v>1</v>
      </c>
      <c r="N90">
        <f t="shared" si="5"/>
        <v>1</v>
      </c>
    </row>
    <row r="91" spans="1:14" x14ac:dyDescent="0.35">
      <c r="A91" t="s">
        <v>1647</v>
      </c>
      <c r="B91" t="s">
        <v>165</v>
      </c>
      <c r="C91" t="s">
        <v>164</v>
      </c>
      <c r="D91">
        <v>25</v>
      </c>
      <c r="E91" t="s">
        <v>13</v>
      </c>
      <c r="F91" s="1">
        <v>44498</v>
      </c>
      <c r="G91" s="1">
        <v>46059</v>
      </c>
      <c r="H91" t="s">
        <v>14</v>
      </c>
      <c r="I91" t="s">
        <v>2778</v>
      </c>
      <c r="J91">
        <v>264030</v>
      </c>
      <c r="K91" t="s">
        <v>30</v>
      </c>
      <c r="L91" t="str">
        <f t="shared" si="3"/>
        <v>Available</v>
      </c>
      <c r="M91">
        <f t="shared" si="4"/>
        <v>0</v>
      </c>
      <c r="N91">
        <f t="shared" si="5"/>
        <v>1</v>
      </c>
    </row>
    <row r="92" spans="1:14" x14ac:dyDescent="0.35">
      <c r="A92" t="s">
        <v>1648</v>
      </c>
      <c r="B92" t="s">
        <v>152</v>
      </c>
      <c r="C92" t="s">
        <v>166</v>
      </c>
      <c r="D92">
        <v>24</v>
      </c>
      <c r="E92" t="s">
        <v>13</v>
      </c>
      <c r="F92" s="1">
        <v>45358</v>
      </c>
      <c r="G92" s="1">
        <v>46057</v>
      </c>
      <c r="H92" t="s">
        <v>14</v>
      </c>
      <c r="I92" t="s">
        <v>2778</v>
      </c>
      <c r="J92">
        <v>264582</v>
      </c>
      <c r="K92" t="s">
        <v>30</v>
      </c>
      <c r="L92" t="str">
        <f t="shared" si="3"/>
        <v>Available</v>
      </c>
      <c r="M92">
        <f t="shared" si="4"/>
        <v>0</v>
      </c>
      <c r="N92">
        <f t="shared" si="5"/>
        <v>1</v>
      </c>
    </row>
    <row r="93" spans="1:14" x14ac:dyDescent="0.35">
      <c r="A93" t="s">
        <v>1649</v>
      </c>
      <c r="B93" t="s">
        <v>168</v>
      </c>
      <c r="C93" t="s">
        <v>167</v>
      </c>
      <c r="D93">
        <v>19.399999999999999</v>
      </c>
      <c r="E93" t="s">
        <v>13</v>
      </c>
      <c r="F93" s="1">
        <v>44497</v>
      </c>
      <c r="G93" s="1">
        <v>46059</v>
      </c>
      <c r="H93" t="s">
        <v>14</v>
      </c>
      <c r="I93" s="2">
        <v>20111494</v>
      </c>
      <c r="J93">
        <v>264139</v>
      </c>
      <c r="K93" t="s">
        <v>15</v>
      </c>
      <c r="L93" t="str">
        <f t="shared" si="3"/>
        <v>Available</v>
      </c>
      <c r="M93">
        <f t="shared" si="4"/>
        <v>1</v>
      </c>
      <c r="N93">
        <f t="shared" si="5"/>
        <v>1</v>
      </c>
    </row>
    <row r="94" spans="1:14" x14ac:dyDescent="0.35">
      <c r="A94" t="s">
        <v>1650</v>
      </c>
      <c r="B94" t="s">
        <v>12</v>
      </c>
      <c r="C94" t="s">
        <v>169</v>
      </c>
      <c r="D94">
        <v>24</v>
      </c>
      <c r="E94" t="s">
        <v>13</v>
      </c>
      <c r="F94" s="1">
        <v>44497</v>
      </c>
      <c r="G94" s="1">
        <v>46059</v>
      </c>
      <c r="H94" t="s">
        <v>14</v>
      </c>
      <c r="I94" s="2">
        <v>39371</v>
      </c>
      <c r="J94">
        <v>266385</v>
      </c>
      <c r="K94" t="s">
        <v>15</v>
      </c>
      <c r="L94" t="str">
        <f t="shared" si="3"/>
        <v>Available</v>
      </c>
      <c r="M94">
        <f t="shared" si="4"/>
        <v>1</v>
      </c>
      <c r="N94">
        <f t="shared" si="5"/>
        <v>1</v>
      </c>
    </row>
    <row r="95" spans="1:14" x14ac:dyDescent="0.35">
      <c r="A95" t="s">
        <v>1651</v>
      </c>
      <c r="B95" t="s">
        <v>171</v>
      </c>
      <c r="C95" t="s">
        <v>170</v>
      </c>
      <c r="D95">
        <v>26</v>
      </c>
      <c r="E95" t="s">
        <v>13</v>
      </c>
      <c r="F95" s="1">
        <v>44497</v>
      </c>
      <c r="G95" s="1">
        <v>46056</v>
      </c>
      <c r="H95" t="s">
        <v>14</v>
      </c>
      <c r="I95" s="2">
        <v>17616707</v>
      </c>
      <c r="J95">
        <v>261824</v>
      </c>
      <c r="K95" t="s">
        <v>15</v>
      </c>
      <c r="L95" t="str">
        <f t="shared" si="3"/>
        <v>Available</v>
      </c>
      <c r="M95">
        <f t="shared" si="4"/>
        <v>1</v>
      </c>
      <c r="N95">
        <f t="shared" si="5"/>
        <v>1</v>
      </c>
    </row>
    <row r="96" spans="1:14" x14ac:dyDescent="0.35">
      <c r="A96" t="s">
        <v>1652</v>
      </c>
      <c r="B96" t="s">
        <v>173</v>
      </c>
      <c r="C96" t="s">
        <v>172</v>
      </c>
      <c r="D96">
        <v>26</v>
      </c>
      <c r="E96" t="s">
        <v>13</v>
      </c>
      <c r="F96" s="1">
        <v>44901</v>
      </c>
      <c r="G96" s="1">
        <v>46055</v>
      </c>
      <c r="H96" t="s">
        <v>14</v>
      </c>
      <c r="I96" t="s">
        <v>2778</v>
      </c>
      <c r="J96">
        <v>261513</v>
      </c>
      <c r="K96" t="s">
        <v>30</v>
      </c>
      <c r="L96" t="str">
        <f t="shared" si="3"/>
        <v>Available</v>
      </c>
      <c r="M96">
        <f t="shared" si="4"/>
        <v>0</v>
      </c>
      <c r="N96">
        <f t="shared" si="5"/>
        <v>1</v>
      </c>
    </row>
    <row r="97" spans="1:14" x14ac:dyDescent="0.35">
      <c r="A97" t="s">
        <v>1653</v>
      </c>
      <c r="B97" t="s">
        <v>175</v>
      </c>
      <c r="C97" t="s">
        <v>174</v>
      </c>
      <c r="D97">
        <v>7.1</v>
      </c>
      <c r="E97" t="s">
        <v>13</v>
      </c>
      <c r="F97" s="1">
        <v>44509</v>
      </c>
      <c r="G97" s="1">
        <v>46059</v>
      </c>
      <c r="H97" t="s">
        <v>14</v>
      </c>
      <c r="I97" s="2">
        <v>25372760</v>
      </c>
      <c r="J97">
        <v>264591</v>
      </c>
      <c r="K97" t="s">
        <v>15</v>
      </c>
      <c r="L97" t="str">
        <f t="shared" si="3"/>
        <v>Available</v>
      </c>
      <c r="M97">
        <f t="shared" si="4"/>
        <v>1</v>
      </c>
      <c r="N97">
        <f t="shared" si="5"/>
        <v>1</v>
      </c>
    </row>
    <row r="98" spans="1:14" x14ac:dyDescent="0.35">
      <c r="A98" t="s">
        <v>1654</v>
      </c>
      <c r="B98" t="s">
        <v>114</v>
      </c>
      <c r="C98" t="s">
        <v>176</v>
      </c>
      <c r="D98">
        <v>22.3169</v>
      </c>
      <c r="E98" t="s">
        <v>35</v>
      </c>
      <c r="F98" s="1">
        <v>45757</v>
      </c>
      <c r="G98" s="1">
        <v>46058</v>
      </c>
      <c r="H98" t="s">
        <v>14</v>
      </c>
      <c r="I98" t="s">
        <v>2778</v>
      </c>
      <c r="J98">
        <v>266289</v>
      </c>
      <c r="K98" t="s">
        <v>30</v>
      </c>
      <c r="L98" t="str">
        <f t="shared" si="3"/>
        <v>Available</v>
      </c>
      <c r="M98">
        <f t="shared" si="4"/>
        <v>0</v>
      </c>
      <c r="N98">
        <f t="shared" si="5"/>
        <v>1</v>
      </c>
    </row>
    <row r="99" spans="1:14" x14ac:dyDescent="0.35">
      <c r="A99" t="s">
        <v>1655</v>
      </c>
      <c r="C99" t="s">
        <v>177</v>
      </c>
      <c r="D99">
        <v>32</v>
      </c>
      <c r="E99" t="s">
        <v>35</v>
      </c>
      <c r="F99" s="1">
        <v>44503</v>
      </c>
      <c r="G99" s="1">
        <v>46058</v>
      </c>
      <c r="H99" t="s">
        <v>14</v>
      </c>
      <c r="I99" s="2">
        <v>17183494</v>
      </c>
      <c r="J99">
        <v>261584</v>
      </c>
      <c r="K99" t="s">
        <v>15</v>
      </c>
      <c r="L99" t="str">
        <f t="shared" si="3"/>
        <v>Missing</v>
      </c>
      <c r="M99">
        <f t="shared" si="4"/>
        <v>1</v>
      </c>
      <c r="N99">
        <f t="shared" si="5"/>
        <v>0</v>
      </c>
    </row>
    <row r="100" spans="1:14" x14ac:dyDescent="0.35">
      <c r="A100" t="s">
        <v>1656</v>
      </c>
      <c r="C100" t="s">
        <v>178</v>
      </c>
      <c r="D100">
        <v>32</v>
      </c>
      <c r="E100" t="s">
        <v>35</v>
      </c>
      <c r="F100" s="1">
        <v>44503</v>
      </c>
      <c r="G100" s="1">
        <v>46058</v>
      </c>
      <c r="H100" t="s">
        <v>14</v>
      </c>
      <c r="I100" s="2">
        <v>17183461</v>
      </c>
      <c r="J100">
        <v>262233</v>
      </c>
      <c r="K100" t="s">
        <v>15</v>
      </c>
      <c r="L100" t="str">
        <f t="shared" si="3"/>
        <v>Missing</v>
      </c>
      <c r="M100">
        <f t="shared" si="4"/>
        <v>1</v>
      </c>
      <c r="N100">
        <f t="shared" si="5"/>
        <v>0</v>
      </c>
    </row>
    <row r="101" spans="1:14" x14ac:dyDescent="0.35">
      <c r="A101" t="s">
        <v>1657</v>
      </c>
      <c r="B101" t="s">
        <v>58</v>
      </c>
      <c r="C101" t="s">
        <v>179</v>
      </c>
      <c r="D101">
        <v>24</v>
      </c>
      <c r="E101" t="s">
        <v>13</v>
      </c>
      <c r="F101" s="1">
        <v>44497</v>
      </c>
      <c r="G101" s="1">
        <v>46060</v>
      </c>
      <c r="H101" t="s">
        <v>14</v>
      </c>
      <c r="I101" s="2">
        <v>73903</v>
      </c>
      <c r="J101">
        <v>261748</v>
      </c>
      <c r="K101" t="s">
        <v>15</v>
      </c>
      <c r="L101" t="str">
        <f t="shared" si="3"/>
        <v>Available</v>
      </c>
      <c r="M101">
        <f t="shared" si="4"/>
        <v>1</v>
      </c>
      <c r="N101">
        <f t="shared" si="5"/>
        <v>1</v>
      </c>
    </row>
    <row r="102" spans="1:14" x14ac:dyDescent="0.35">
      <c r="A102" t="s">
        <v>1658</v>
      </c>
      <c r="C102" t="s">
        <v>180</v>
      </c>
      <c r="D102">
        <v>16</v>
      </c>
      <c r="E102" t="s">
        <v>13</v>
      </c>
      <c r="F102" s="1">
        <v>45198</v>
      </c>
      <c r="G102" s="1">
        <v>45987</v>
      </c>
      <c r="H102" t="s">
        <v>14</v>
      </c>
      <c r="I102" t="s">
        <v>2778</v>
      </c>
      <c r="J102">
        <v>264213</v>
      </c>
      <c r="K102" t="s">
        <v>30</v>
      </c>
      <c r="L102" t="str">
        <f t="shared" si="3"/>
        <v>Missing</v>
      </c>
      <c r="M102">
        <f t="shared" si="4"/>
        <v>0</v>
      </c>
      <c r="N102">
        <f t="shared" si="5"/>
        <v>0</v>
      </c>
    </row>
    <row r="103" spans="1:14" x14ac:dyDescent="0.35">
      <c r="A103" t="s">
        <v>1659</v>
      </c>
      <c r="B103" t="s">
        <v>123</v>
      </c>
      <c r="C103" t="s">
        <v>181</v>
      </c>
      <c r="D103">
        <v>24</v>
      </c>
      <c r="E103" t="s">
        <v>13</v>
      </c>
      <c r="F103" s="1">
        <v>44497</v>
      </c>
      <c r="G103" s="1">
        <v>46059</v>
      </c>
      <c r="H103" t="s">
        <v>14</v>
      </c>
      <c r="I103" s="2">
        <v>21836235</v>
      </c>
      <c r="J103">
        <v>264473</v>
      </c>
      <c r="K103" t="s">
        <v>15</v>
      </c>
      <c r="L103" t="str">
        <f t="shared" si="3"/>
        <v>Available</v>
      </c>
      <c r="M103">
        <f t="shared" si="4"/>
        <v>1</v>
      </c>
      <c r="N103">
        <f t="shared" si="5"/>
        <v>1</v>
      </c>
    </row>
    <row r="104" spans="1:14" x14ac:dyDescent="0.35">
      <c r="A104" t="s">
        <v>1660</v>
      </c>
      <c r="B104" t="s">
        <v>183</v>
      </c>
      <c r="C104" t="s">
        <v>182</v>
      </c>
      <c r="D104">
        <v>26</v>
      </c>
      <c r="E104" t="s">
        <v>13</v>
      </c>
      <c r="F104" s="1">
        <v>44499</v>
      </c>
      <c r="G104" s="1">
        <v>46058</v>
      </c>
      <c r="H104" t="s">
        <v>14</v>
      </c>
      <c r="I104" s="2">
        <v>212233</v>
      </c>
      <c r="J104">
        <v>262542</v>
      </c>
      <c r="K104" t="s">
        <v>15</v>
      </c>
      <c r="L104" t="str">
        <f t="shared" si="3"/>
        <v>Available</v>
      </c>
      <c r="M104">
        <f t="shared" si="4"/>
        <v>1</v>
      </c>
      <c r="N104">
        <f t="shared" si="5"/>
        <v>1</v>
      </c>
    </row>
    <row r="105" spans="1:14" x14ac:dyDescent="0.35">
      <c r="A105" t="s">
        <v>1661</v>
      </c>
      <c r="B105" t="s">
        <v>147</v>
      </c>
      <c r="C105" t="s">
        <v>184</v>
      </c>
      <c r="D105">
        <v>25</v>
      </c>
      <c r="E105" t="s">
        <v>13</v>
      </c>
      <c r="F105" s="1">
        <v>44497</v>
      </c>
      <c r="G105" s="1">
        <v>46059</v>
      </c>
      <c r="H105" t="s">
        <v>14</v>
      </c>
      <c r="I105" s="2">
        <v>211562</v>
      </c>
      <c r="J105">
        <v>266830</v>
      </c>
      <c r="K105" t="s">
        <v>15</v>
      </c>
      <c r="L105" t="str">
        <f t="shared" si="3"/>
        <v>Available</v>
      </c>
      <c r="M105">
        <f t="shared" si="4"/>
        <v>1</v>
      </c>
      <c r="N105">
        <f t="shared" si="5"/>
        <v>1</v>
      </c>
    </row>
    <row r="106" spans="1:14" x14ac:dyDescent="0.35">
      <c r="A106" t="s">
        <v>1662</v>
      </c>
      <c r="B106" t="s">
        <v>186</v>
      </c>
      <c r="C106" t="s">
        <v>185</v>
      </c>
      <c r="D106">
        <v>24</v>
      </c>
      <c r="E106" t="s">
        <v>13</v>
      </c>
      <c r="F106" s="1">
        <v>44497</v>
      </c>
      <c r="G106" s="1">
        <v>46059</v>
      </c>
      <c r="H106" t="s">
        <v>14</v>
      </c>
      <c r="I106" s="2">
        <v>91462</v>
      </c>
      <c r="J106">
        <v>264132</v>
      </c>
      <c r="K106" t="s">
        <v>15</v>
      </c>
      <c r="L106" t="str">
        <f t="shared" si="3"/>
        <v>Available</v>
      </c>
      <c r="M106">
        <f t="shared" si="4"/>
        <v>1</v>
      </c>
      <c r="N106">
        <f t="shared" si="5"/>
        <v>1</v>
      </c>
    </row>
    <row r="107" spans="1:14" x14ac:dyDescent="0.35">
      <c r="A107" t="s">
        <v>1663</v>
      </c>
      <c r="C107" t="s">
        <v>187</v>
      </c>
      <c r="D107">
        <v>24</v>
      </c>
      <c r="E107" t="s">
        <v>13</v>
      </c>
      <c r="F107" s="1">
        <v>45084</v>
      </c>
      <c r="G107" s="1">
        <v>45735</v>
      </c>
      <c r="H107" t="s">
        <v>14</v>
      </c>
      <c r="I107" t="s">
        <v>2778</v>
      </c>
      <c r="J107">
        <v>266439</v>
      </c>
      <c r="K107" t="s">
        <v>30</v>
      </c>
      <c r="L107" t="str">
        <f t="shared" si="3"/>
        <v>Missing</v>
      </c>
      <c r="M107">
        <f t="shared" si="4"/>
        <v>0</v>
      </c>
      <c r="N107">
        <f t="shared" si="5"/>
        <v>0</v>
      </c>
    </row>
    <row r="108" spans="1:14" x14ac:dyDescent="0.35">
      <c r="A108" t="s">
        <v>1664</v>
      </c>
      <c r="B108" t="s">
        <v>189</v>
      </c>
      <c r="C108" t="s">
        <v>188</v>
      </c>
      <c r="D108">
        <v>26</v>
      </c>
      <c r="E108" t="s">
        <v>13</v>
      </c>
      <c r="F108" s="1">
        <v>44497</v>
      </c>
      <c r="G108" s="1">
        <v>46056</v>
      </c>
      <c r="H108" t="s">
        <v>14</v>
      </c>
      <c r="I108" s="2">
        <v>17616183</v>
      </c>
      <c r="J108">
        <v>266383</v>
      </c>
      <c r="K108" t="s">
        <v>15</v>
      </c>
      <c r="L108" t="str">
        <f t="shared" si="3"/>
        <v>Available</v>
      </c>
      <c r="M108">
        <f t="shared" si="4"/>
        <v>1</v>
      </c>
      <c r="N108">
        <f t="shared" si="5"/>
        <v>1</v>
      </c>
    </row>
    <row r="109" spans="1:14" x14ac:dyDescent="0.35">
      <c r="A109" t="s">
        <v>1665</v>
      </c>
      <c r="B109" t="s">
        <v>135</v>
      </c>
      <c r="C109" t="s">
        <v>190</v>
      </c>
      <c r="D109">
        <v>22</v>
      </c>
      <c r="E109" t="s">
        <v>13</v>
      </c>
      <c r="F109" s="1">
        <v>44497</v>
      </c>
      <c r="G109" s="1">
        <v>46059</v>
      </c>
      <c r="H109" t="s">
        <v>14</v>
      </c>
      <c r="I109" s="2">
        <v>20753442</v>
      </c>
      <c r="J109">
        <v>262367</v>
      </c>
      <c r="K109" t="s">
        <v>15</v>
      </c>
      <c r="L109" t="str">
        <f t="shared" si="3"/>
        <v>Available</v>
      </c>
      <c r="M109">
        <f t="shared" si="4"/>
        <v>1</v>
      </c>
      <c r="N109">
        <f t="shared" si="5"/>
        <v>1</v>
      </c>
    </row>
    <row r="110" spans="1:14" x14ac:dyDescent="0.35">
      <c r="A110" t="s">
        <v>1666</v>
      </c>
      <c r="B110" t="s">
        <v>192</v>
      </c>
      <c r="C110" t="s">
        <v>191</v>
      </c>
      <c r="D110">
        <v>32</v>
      </c>
      <c r="E110" t="s">
        <v>13</v>
      </c>
      <c r="F110" s="1">
        <v>44498</v>
      </c>
      <c r="G110" s="1">
        <v>45952</v>
      </c>
      <c r="H110" t="s">
        <v>14</v>
      </c>
      <c r="I110" t="s">
        <v>2778</v>
      </c>
      <c r="J110">
        <v>264246</v>
      </c>
      <c r="K110" t="s">
        <v>30</v>
      </c>
      <c r="L110" t="str">
        <f t="shared" si="3"/>
        <v>Available</v>
      </c>
      <c r="M110">
        <f t="shared" si="4"/>
        <v>0</v>
      </c>
      <c r="N110">
        <f t="shared" si="5"/>
        <v>1</v>
      </c>
    </row>
    <row r="111" spans="1:14" x14ac:dyDescent="0.35">
      <c r="A111" t="s">
        <v>1667</v>
      </c>
      <c r="B111" t="s">
        <v>194</v>
      </c>
      <c r="C111" t="s">
        <v>193</v>
      </c>
      <c r="D111">
        <v>26</v>
      </c>
      <c r="E111" t="s">
        <v>13</v>
      </c>
      <c r="F111" s="1">
        <v>44500</v>
      </c>
      <c r="G111" s="1">
        <v>45740</v>
      </c>
      <c r="H111" t="s">
        <v>14</v>
      </c>
      <c r="I111" t="s">
        <v>2778</v>
      </c>
      <c r="J111">
        <v>264707</v>
      </c>
      <c r="K111" t="s">
        <v>30</v>
      </c>
      <c r="L111" t="str">
        <f t="shared" si="3"/>
        <v>Available</v>
      </c>
      <c r="M111">
        <f t="shared" si="4"/>
        <v>0</v>
      </c>
      <c r="N111">
        <f t="shared" si="5"/>
        <v>1</v>
      </c>
    </row>
    <row r="112" spans="1:14" x14ac:dyDescent="0.35">
      <c r="A112" t="s">
        <v>1668</v>
      </c>
      <c r="B112" t="s">
        <v>196</v>
      </c>
      <c r="C112" t="s">
        <v>195</v>
      </c>
      <c r="D112">
        <v>25</v>
      </c>
      <c r="E112" t="s">
        <v>13</v>
      </c>
      <c r="F112" s="1">
        <v>44497</v>
      </c>
      <c r="G112" s="1">
        <v>46058</v>
      </c>
      <c r="H112" t="s">
        <v>14</v>
      </c>
      <c r="I112" s="2">
        <v>73917</v>
      </c>
      <c r="J112">
        <v>261567</v>
      </c>
      <c r="K112" t="s">
        <v>15</v>
      </c>
      <c r="L112" t="str">
        <f t="shared" si="3"/>
        <v>Available</v>
      </c>
      <c r="M112">
        <f t="shared" si="4"/>
        <v>1</v>
      </c>
      <c r="N112">
        <f t="shared" si="5"/>
        <v>1</v>
      </c>
    </row>
    <row r="113" spans="1:14" x14ac:dyDescent="0.35">
      <c r="A113" t="s">
        <v>1669</v>
      </c>
      <c r="B113" t="s">
        <v>47</v>
      </c>
      <c r="C113" t="s">
        <v>197</v>
      </c>
      <c r="D113">
        <v>24</v>
      </c>
      <c r="E113" t="s">
        <v>13</v>
      </c>
      <c r="F113" s="1">
        <v>44497</v>
      </c>
      <c r="G113" s="1">
        <v>46059</v>
      </c>
      <c r="H113" t="s">
        <v>14</v>
      </c>
      <c r="I113" s="2">
        <v>19618069</v>
      </c>
      <c r="J113">
        <v>262185</v>
      </c>
      <c r="K113" t="s">
        <v>15</v>
      </c>
      <c r="L113" t="str">
        <f t="shared" si="3"/>
        <v>Available</v>
      </c>
      <c r="M113">
        <f t="shared" si="4"/>
        <v>1</v>
      </c>
      <c r="N113">
        <f t="shared" si="5"/>
        <v>1</v>
      </c>
    </row>
    <row r="114" spans="1:14" x14ac:dyDescent="0.35">
      <c r="A114" t="s">
        <v>1670</v>
      </c>
      <c r="B114" t="s">
        <v>199</v>
      </c>
      <c r="C114" t="s">
        <v>198</v>
      </c>
      <c r="D114">
        <v>15</v>
      </c>
      <c r="E114" t="s">
        <v>13</v>
      </c>
      <c r="F114" s="1">
        <v>44497</v>
      </c>
      <c r="G114" s="1">
        <v>45981</v>
      </c>
      <c r="H114" t="s">
        <v>14</v>
      </c>
      <c r="I114" s="2">
        <v>25372704</v>
      </c>
      <c r="J114">
        <v>266367</v>
      </c>
      <c r="K114" t="s">
        <v>15</v>
      </c>
      <c r="L114" t="str">
        <f t="shared" si="3"/>
        <v>Available</v>
      </c>
      <c r="M114">
        <f t="shared" si="4"/>
        <v>1</v>
      </c>
      <c r="N114">
        <f t="shared" si="5"/>
        <v>1</v>
      </c>
    </row>
    <row r="115" spans="1:14" x14ac:dyDescent="0.35">
      <c r="A115" t="s">
        <v>1671</v>
      </c>
      <c r="B115" t="s">
        <v>200</v>
      </c>
      <c r="C115" t="s">
        <v>2788</v>
      </c>
      <c r="D115">
        <v>26</v>
      </c>
      <c r="E115" t="s">
        <v>13</v>
      </c>
      <c r="F115" s="1">
        <v>44497</v>
      </c>
      <c r="G115" s="1">
        <v>46059</v>
      </c>
      <c r="H115" t="s">
        <v>14</v>
      </c>
      <c r="I115" s="2">
        <v>190698</v>
      </c>
      <c r="J115">
        <v>264449</v>
      </c>
      <c r="K115" t="s">
        <v>15</v>
      </c>
      <c r="L115" t="str">
        <f t="shared" si="3"/>
        <v>Available</v>
      </c>
      <c r="M115">
        <f t="shared" si="4"/>
        <v>1</v>
      </c>
      <c r="N115">
        <f t="shared" si="5"/>
        <v>1</v>
      </c>
    </row>
    <row r="116" spans="1:14" x14ac:dyDescent="0.35">
      <c r="A116" t="s">
        <v>1672</v>
      </c>
      <c r="B116" t="s">
        <v>43</v>
      </c>
      <c r="C116" t="s">
        <v>201</v>
      </c>
      <c r="D116">
        <v>25</v>
      </c>
      <c r="E116" t="s">
        <v>13</v>
      </c>
      <c r="F116" s="1">
        <v>44497</v>
      </c>
      <c r="G116" s="1">
        <v>45961</v>
      </c>
      <c r="H116" t="s">
        <v>14</v>
      </c>
      <c r="I116" t="s">
        <v>2778</v>
      </c>
      <c r="J116">
        <v>262173</v>
      </c>
      <c r="K116" t="s">
        <v>30</v>
      </c>
      <c r="L116" t="str">
        <f t="shared" si="3"/>
        <v>Available</v>
      </c>
      <c r="M116">
        <f t="shared" si="4"/>
        <v>0</v>
      </c>
      <c r="N116">
        <f t="shared" si="5"/>
        <v>1</v>
      </c>
    </row>
    <row r="117" spans="1:14" x14ac:dyDescent="0.35">
      <c r="A117" t="s">
        <v>1673</v>
      </c>
      <c r="B117" t="s">
        <v>203</v>
      </c>
      <c r="C117" t="s">
        <v>202</v>
      </c>
      <c r="D117">
        <v>16</v>
      </c>
      <c r="E117" t="s">
        <v>13</v>
      </c>
      <c r="F117" s="1">
        <v>44937</v>
      </c>
      <c r="G117" s="1">
        <v>46059</v>
      </c>
      <c r="H117" t="s">
        <v>14</v>
      </c>
      <c r="I117" s="2">
        <v>27261156</v>
      </c>
      <c r="J117">
        <v>264347</v>
      </c>
      <c r="K117" t="s">
        <v>15</v>
      </c>
      <c r="L117" t="str">
        <f t="shared" si="3"/>
        <v>Available</v>
      </c>
      <c r="M117">
        <f t="shared" si="4"/>
        <v>1</v>
      </c>
      <c r="N117">
        <f t="shared" si="5"/>
        <v>1</v>
      </c>
    </row>
    <row r="118" spans="1:14" x14ac:dyDescent="0.35">
      <c r="A118" t="s">
        <v>1674</v>
      </c>
      <c r="B118" t="s">
        <v>205</v>
      </c>
      <c r="C118" t="s">
        <v>204</v>
      </c>
      <c r="D118">
        <v>24</v>
      </c>
      <c r="E118" t="s">
        <v>13</v>
      </c>
      <c r="F118" s="1">
        <v>44744</v>
      </c>
      <c r="G118" s="1">
        <v>45477</v>
      </c>
      <c r="H118" t="s">
        <v>14</v>
      </c>
      <c r="I118" t="s">
        <v>2778</v>
      </c>
      <c r="J118">
        <v>264041</v>
      </c>
      <c r="K118" t="s">
        <v>30</v>
      </c>
      <c r="L118" t="str">
        <f t="shared" si="3"/>
        <v>Available</v>
      </c>
      <c r="M118">
        <f t="shared" si="4"/>
        <v>0</v>
      </c>
      <c r="N118">
        <f t="shared" si="5"/>
        <v>1</v>
      </c>
    </row>
    <row r="119" spans="1:14" x14ac:dyDescent="0.35">
      <c r="A119" t="s">
        <v>1675</v>
      </c>
      <c r="B119" t="s">
        <v>152</v>
      </c>
      <c r="C119" t="s">
        <v>206</v>
      </c>
      <c r="D119">
        <v>25</v>
      </c>
      <c r="E119" t="s">
        <v>13</v>
      </c>
      <c r="F119" s="1">
        <v>45442</v>
      </c>
      <c r="G119" s="1">
        <v>46057</v>
      </c>
      <c r="H119" t="s">
        <v>14</v>
      </c>
      <c r="I119" t="s">
        <v>2778</v>
      </c>
      <c r="J119">
        <v>261802</v>
      </c>
      <c r="K119" t="s">
        <v>30</v>
      </c>
      <c r="L119" t="str">
        <f t="shared" si="3"/>
        <v>Available</v>
      </c>
      <c r="M119">
        <f t="shared" si="4"/>
        <v>0</v>
      </c>
      <c r="N119">
        <f t="shared" si="5"/>
        <v>1</v>
      </c>
    </row>
    <row r="120" spans="1:14" x14ac:dyDescent="0.35">
      <c r="A120" t="s">
        <v>1676</v>
      </c>
      <c r="B120" t="s">
        <v>208</v>
      </c>
      <c r="C120" t="s">
        <v>207</v>
      </c>
      <c r="D120">
        <v>19.8</v>
      </c>
      <c r="E120" t="s">
        <v>13</v>
      </c>
      <c r="F120" s="1">
        <v>44497</v>
      </c>
      <c r="G120" s="1">
        <v>46034</v>
      </c>
      <c r="H120" t="s">
        <v>14</v>
      </c>
      <c r="I120" t="s">
        <v>2778</v>
      </c>
      <c r="J120">
        <v>264027</v>
      </c>
      <c r="K120" t="s">
        <v>30</v>
      </c>
      <c r="L120" t="str">
        <f t="shared" si="3"/>
        <v>Available</v>
      </c>
      <c r="M120">
        <f t="shared" si="4"/>
        <v>0</v>
      </c>
      <c r="N120">
        <f t="shared" si="5"/>
        <v>1</v>
      </c>
    </row>
    <row r="121" spans="1:14" x14ac:dyDescent="0.35">
      <c r="A121" t="s">
        <v>1677</v>
      </c>
      <c r="B121" t="s">
        <v>210</v>
      </c>
      <c r="C121" t="s">
        <v>209</v>
      </c>
      <c r="D121">
        <v>24</v>
      </c>
      <c r="E121" t="s">
        <v>13</v>
      </c>
      <c r="F121" s="1">
        <v>44497</v>
      </c>
      <c r="G121" s="1">
        <v>46059</v>
      </c>
      <c r="H121" t="s">
        <v>14</v>
      </c>
      <c r="I121" s="2">
        <v>20218167</v>
      </c>
      <c r="J121">
        <v>262281</v>
      </c>
      <c r="K121" t="s">
        <v>15</v>
      </c>
      <c r="L121" t="str">
        <f t="shared" si="3"/>
        <v>Available</v>
      </c>
      <c r="M121">
        <f t="shared" si="4"/>
        <v>1</v>
      </c>
      <c r="N121">
        <f t="shared" si="5"/>
        <v>1</v>
      </c>
    </row>
    <row r="122" spans="1:14" x14ac:dyDescent="0.35">
      <c r="A122" t="s">
        <v>1678</v>
      </c>
      <c r="B122" t="s">
        <v>58</v>
      </c>
      <c r="C122" t="s">
        <v>211</v>
      </c>
      <c r="D122">
        <v>21.978764999999999</v>
      </c>
      <c r="E122" t="s">
        <v>35</v>
      </c>
      <c r="F122" s="1">
        <v>44497</v>
      </c>
      <c r="G122" s="1">
        <v>45827</v>
      </c>
      <c r="H122" t="s">
        <v>14</v>
      </c>
      <c r="I122" t="s">
        <v>2778</v>
      </c>
      <c r="J122">
        <v>261486</v>
      </c>
      <c r="K122" t="s">
        <v>30</v>
      </c>
      <c r="L122" t="str">
        <f t="shared" si="3"/>
        <v>Available</v>
      </c>
      <c r="M122">
        <f t="shared" si="4"/>
        <v>0</v>
      </c>
      <c r="N122">
        <f t="shared" si="5"/>
        <v>1</v>
      </c>
    </row>
    <row r="123" spans="1:14" x14ac:dyDescent="0.35">
      <c r="A123" t="s">
        <v>1679</v>
      </c>
      <c r="B123" t="s">
        <v>71</v>
      </c>
      <c r="C123" t="s">
        <v>212</v>
      </c>
      <c r="D123">
        <v>24</v>
      </c>
      <c r="E123" t="s">
        <v>13</v>
      </c>
      <c r="F123" s="1">
        <v>44497</v>
      </c>
      <c r="G123" s="1">
        <v>46060</v>
      </c>
      <c r="H123" t="s">
        <v>14</v>
      </c>
      <c r="I123" s="2">
        <v>39387</v>
      </c>
      <c r="J123">
        <v>261805</v>
      </c>
      <c r="K123" t="s">
        <v>15</v>
      </c>
      <c r="L123" t="str">
        <f t="shared" si="3"/>
        <v>Available</v>
      </c>
      <c r="M123">
        <f t="shared" si="4"/>
        <v>1</v>
      </c>
      <c r="N123">
        <f t="shared" si="5"/>
        <v>1</v>
      </c>
    </row>
    <row r="124" spans="1:14" x14ac:dyDescent="0.35">
      <c r="A124" t="s">
        <v>1680</v>
      </c>
      <c r="B124" t="s">
        <v>147</v>
      </c>
      <c r="C124" t="s">
        <v>213</v>
      </c>
      <c r="D124">
        <v>24.5</v>
      </c>
      <c r="E124" t="s">
        <v>13</v>
      </c>
      <c r="F124" s="1">
        <v>45137</v>
      </c>
      <c r="G124" s="1">
        <v>46058</v>
      </c>
      <c r="H124" t="s">
        <v>14</v>
      </c>
      <c r="I124" s="2">
        <v>31575554</v>
      </c>
      <c r="J124">
        <v>264023</v>
      </c>
      <c r="K124" t="s">
        <v>15</v>
      </c>
      <c r="L124" t="str">
        <f t="shared" si="3"/>
        <v>Available</v>
      </c>
      <c r="M124">
        <f t="shared" si="4"/>
        <v>1</v>
      </c>
      <c r="N124">
        <f t="shared" si="5"/>
        <v>1</v>
      </c>
    </row>
    <row r="125" spans="1:14" x14ac:dyDescent="0.35">
      <c r="A125" t="s">
        <v>1681</v>
      </c>
      <c r="B125" t="s">
        <v>215</v>
      </c>
      <c r="C125" t="s">
        <v>214</v>
      </c>
      <c r="D125">
        <v>25</v>
      </c>
      <c r="E125" t="s">
        <v>13</v>
      </c>
      <c r="F125" s="1">
        <v>44497</v>
      </c>
      <c r="G125" s="1">
        <v>46059</v>
      </c>
      <c r="H125" t="s">
        <v>14</v>
      </c>
      <c r="I125" s="2">
        <v>16270693</v>
      </c>
      <c r="J125">
        <v>264174</v>
      </c>
      <c r="K125" t="s">
        <v>15</v>
      </c>
      <c r="L125" t="str">
        <f t="shared" si="3"/>
        <v>Available</v>
      </c>
      <c r="M125">
        <f t="shared" si="4"/>
        <v>1</v>
      </c>
      <c r="N125">
        <f t="shared" si="5"/>
        <v>1</v>
      </c>
    </row>
    <row r="126" spans="1:14" x14ac:dyDescent="0.35">
      <c r="A126" t="s">
        <v>1682</v>
      </c>
      <c r="C126" t="s">
        <v>216</v>
      </c>
      <c r="D126">
        <v>20</v>
      </c>
      <c r="E126" t="s">
        <v>13</v>
      </c>
      <c r="F126" s="1">
        <v>44497</v>
      </c>
      <c r="G126" s="1">
        <v>46059</v>
      </c>
      <c r="H126" t="s">
        <v>14</v>
      </c>
      <c r="I126" s="2">
        <v>19831654</v>
      </c>
      <c r="J126">
        <v>264084</v>
      </c>
      <c r="K126" t="s">
        <v>15</v>
      </c>
      <c r="L126" t="str">
        <f t="shared" si="3"/>
        <v>Missing</v>
      </c>
      <c r="M126">
        <f t="shared" si="4"/>
        <v>1</v>
      </c>
      <c r="N126">
        <f t="shared" si="5"/>
        <v>0</v>
      </c>
    </row>
    <row r="127" spans="1:14" x14ac:dyDescent="0.35">
      <c r="A127" t="s">
        <v>1683</v>
      </c>
      <c r="B127" t="s">
        <v>186</v>
      </c>
      <c r="C127" t="s">
        <v>217</v>
      </c>
      <c r="D127">
        <v>32</v>
      </c>
      <c r="E127" t="s">
        <v>13</v>
      </c>
      <c r="F127" s="1">
        <v>44497</v>
      </c>
      <c r="G127" s="1">
        <v>45859</v>
      </c>
      <c r="H127" t="s">
        <v>14</v>
      </c>
      <c r="I127" t="s">
        <v>2778</v>
      </c>
      <c r="J127">
        <v>264424</v>
      </c>
      <c r="K127" t="s">
        <v>30</v>
      </c>
      <c r="L127" t="str">
        <f t="shared" si="3"/>
        <v>Available</v>
      </c>
      <c r="M127">
        <f t="shared" si="4"/>
        <v>0</v>
      </c>
      <c r="N127">
        <f t="shared" si="5"/>
        <v>1</v>
      </c>
    </row>
    <row r="128" spans="1:14" x14ac:dyDescent="0.35">
      <c r="A128" t="s">
        <v>1684</v>
      </c>
      <c r="B128" t="s">
        <v>96</v>
      </c>
      <c r="C128" t="s">
        <v>218</v>
      </c>
      <c r="D128">
        <v>23.5</v>
      </c>
      <c r="E128" t="s">
        <v>13</v>
      </c>
      <c r="F128" s="1">
        <v>44497</v>
      </c>
      <c r="G128" s="1">
        <v>46058</v>
      </c>
      <c r="H128" t="s">
        <v>14</v>
      </c>
      <c r="I128" s="2">
        <v>19645610</v>
      </c>
      <c r="J128">
        <v>261781</v>
      </c>
      <c r="K128" t="s">
        <v>15</v>
      </c>
      <c r="L128" t="str">
        <f t="shared" si="3"/>
        <v>Available</v>
      </c>
      <c r="M128">
        <f t="shared" si="4"/>
        <v>1</v>
      </c>
      <c r="N128">
        <f t="shared" si="5"/>
        <v>1</v>
      </c>
    </row>
    <row r="129" spans="1:14" x14ac:dyDescent="0.35">
      <c r="A129" t="s">
        <v>1685</v>
      </c>
      <c r="B129" t="s">
        <v>220</v>
      </c>
      <c r="C129" t="s">
        <v>219</v>
      </c>
      <c r="D129">
        <v>24</v>
      </c>
      <c r="E129" t="s">
        <v>13</v>
      </c>
      <c r="F129" s="1">
        <v>44500</v>
      </c>
      <c r="G129" s="1">
        <v>46057</v>
      </c>
      <c r="H129" t="s">
        <v>14</v>
      </c>
      <c r="I129" s="2">
        <v>110844</v>
      </c>
      <c r="J129">
        <v>267035</v>
      </c>
      <c r="K129" t="s">
        <v>15</v>
      </c>
      <c r="L129" t="str">
        <f t="shared" si="3"/>
        <v>Available</v>
      </c>
      <c r="M129">
        <f t="shared" si="4"/>
        <v>1</v>
      </c>
      <c r="N129">
        <f t="shared" si="5"/>
        <v>1</v>
      </c>
    </row>
    <row r="130" spans="1:14" x14ac:dyDescent="0.35">
      <c r="A130" t="s">
        <v>1686</v>
      </c>
      <c r="B130" t="s">
        <v>135</v>
      </c>
      <c r="C130" t="s">
        <v>221</v>
      </c>
      <c r="D130">
        <v>24</v>
      </c>
      <c r="E130" t="s">
        <v>13</v>
      </c>
      <c r="F130" s="1">
        <v>45084</v>
      </c>
      <c r="G130" s="1">
        <v>46060</v>
      </c>
      <c r="H130" t="s">
        <v>14</v>
      </c>
      <c r="I130" s="2">
        <v>30364098</v>
      </c>
      <c r="J130">
        <v>261495</v>
      </c>
      <c r="K130" t="s">
        <v>15</v>
      </c>
      <c r="L130" t="str">
        <f t="shared" si="3"/>
        <v>Available</v>
      </c>
      <c r="M130">
        <f t="shared" si="4"/>
        <v>1</v>
      </c>
      <c r="N130">
        <f t="shared" si="5"/>
        <v>1</v>
      </c>
    </row>
    <row r="131" spans="1:14" x14ac:dyDescent="0.35">
      <c r="A131" t="s">
        <v>1687</v>
      </c>
      <c r="B131" t="s">
        <v>135</v>
      </c>
      <c r="C131" t="s">
        <v>222</v>
      </c>
      <c r="D131">
        <v>44</v>
      </c>
      <c r="E131" t="s">
        <v>13</v>
      </c>
      <c r="F131" s="1">
        <v>45477</v>
      </c>
      <c r="G131" s="1">
        <v>46058</v>
      </c>
      <c r="H131" t="s">
        <v>14</v>
      </c>
      <c r="I131" t="s">
        <v>2778</v>
      </c>
      <c r="J131">
        <v>266867</v>
      </c>
      <c r="K131" t="s">
        <v>30</v>
      </c>
      <c r="L131" t="str">
        <f t="shared" ref="L131:L194" si="6">IF(OR(B131="",ISBLANK(B131)),"Missing","Available")</f>
        <v>Available</v>
      </c>
      <c r="M131">
        <f t="shared" ref="M131:M194" si="7">IF(K131="Mapped",1,0)</f>
        <v>0</v>
      </c>
      <c r="N131">
        <f t="shared" ref="N131:N194" si="8">IF(AND(B131&lt;&gt;"",A131&lt;&gt;""),1,0)</f>
        <v>1</v>
      </c>
    </row>
    <row r="132" spans="1:14" x14ac:dyDescent="0.35">
      <c r="A132" t="s">
        <v>1688</v>
      </c>
      <c r="B132" t="s">
        <v>123</v>
      </c>
      <c r="C132" t="s">
        <v>223</v>
      </c>
      <c r="D132">
        <v>45</v>
      </c>
      <c r="E132" t="s">
        <v>13</v>
      </c>
      <c r="F132" s="1">
        <v>44497</v>
      </c>
      <c r="G132" s="1">
        <v>46060</v>
      </c>
      <c r="H132" t="s">
        <v>14</v>
      </c>
      <c r="I132" s="2">
        <v>24680112</v>
      </c>
      <c r="J132">
        <v>266368</v>
      </c>
      <c r="K132" t="s">
        <v>15</v>
      </c>
      <c r="L132" t="str">
        <f t="shared" si="6"/>
        <v>Available</v>
      </c>
      <c r="M132">
        <f t="shared" si="7"/>
        <v>1</v>
      </c>
      <c r="N132">
        <f t="shared" si="8"/>
        <v>1</v>
      </c>
    </row>
    <row r="133" spans="1:14" x14ac:dyDescent="0.35">
      <c r="A133" t="s">
        <v>1689</v>
      </c>
      <c r="B133" t="s">
        <v>208</v>
      </c>
      <c r="C133" t="s">
        <v>224</v>
      </c>
      <c r="F133" s="1">
        <v>44497</v>
      </c>
      <c r="G133" s="1">
        <v>45468</v>
      </c>
      <c r="H133" t="s">
        <v>14</v>
      </c>
      <c r="I133" t="s">
        <v>2778</v>
      </c>
      <c r="J133">
        <v>266441</v>
      </c>
      <c r="K133" t="s">
        <v>30</v>
      </c>
      <c r="L133" t="str">
        <f t="shared" si="6"/>
        <v>Available</v>
      </c>
      <c r="M133">
        <f t="shared" si="7"/>
        <v>0</v>
      </c>
      <c r="N133">
        <f t="shared" si="8"/>
        <v>1</v>
      </c>
    </row>
    <row r="134" spans="1:14" x14ac:dyDescent="0.35">
      <c r="A134" t="s">
        <v>1690</v>
      </c>
      <c r="B134" t="s">
        <v>58</v>
      </c>
      <c r="C134" t="s">
        <v>225</v>
      </c>
      <c r="D134">
        <v>24</v>
      </c>
      <c r="E134" t="s">
        <v>13</v>
      </c>
      <c r="F134" s="1">
        <v>45431</v>
      </c>
      <c r="G134" s="1">
        <v>46059</v>
      </c>
      <c r="H134" t="s">
        <v>14</v>
      </c>
      <c r="I134" s="2">
        <v>43579806</v>
      </c>
      <c r="J134">
        <v>264075</v>
      </c>
      <c r="K134" t="s">
        <v>15</v>
      </c>
      <c r="L134" t="str">
        <f t="shared" si="6"/>
        <v>Available</v>
      </c>
      <c r="M134">
        <f t="shared" si="7"/>
        <v>1</v>
      </c>
      <c r="N134">
        <f t="shared" si="8"/>
        <v>1</v>
      </c>
    </row>
    <row r="135" spans="1:14" x14ac:dyDescent="0.35">
      <c r="A135" t="s">
        <v>1691</v>
      </c>
      <c r="B135" t="s">
        <v>47</v>
      </c>
      <c r="C135" t="s">
        <v>226</v>
      </c>
      <c r="D135">
        <v>24</v>
      </c>
      <c r="E135" t="s">
        <v>13</v>
      </c>
      <c r="F135" s="1">
        <v>44497</v>
      </c>
      <c r="G135" s="1">
        <v>46059</v>
      </c>
      <c r="H135" t="s">
        <v>14</v>
      </c>
      <c r="I135" s="2">
        <v>77091</v>
      </c>
      <c r="J135">
        <v>264133</v>
      </c>
      <c r="K135" t="s">
        <v>15</v>
      </c>
      <c r="L135" t="str">
        <f t="shared" si="6"/>
        <v>Available</v>
      </c>
      <c r="M135">
        <f t="shared" si="7"/>
        <v>1</v>
      </c>
      <c r="N135">
        <f t="shared" si="8"/>
        <v>1</v>
      </c>
    </row>
    <row r="136" spans="1:14" x14ac:dyDescent="0.35">
      <c r="A136" t="s">
        <v>1692</v>
      </c>
      <c r="B136" t="s">
        <v>228</v>
      </c>
      <c r="C136" t="s">
        <v>227</v>
      </c>
      <c r="D136">
        <v>24</v>
      </c>
      <c r="E136" t="s">
        <v>13</v>
      </c>
      <c r="F136" s="1">
        <v>44497</v>
      </c>
      <c r="G136" s="1">
        <v>46058</v>
      </c>
      <c r="H136" t="s">
        <v>14</v>
      </c>
      <c r="I136" s="2">
        <v>24834</v>
      </c>
      <c r="J136">
        <v>264108</v>
      </c>
      <c r="K136" t="s">
        <v>15</v>
      </c>
      <c r="L136" t="str">
        <f t="shared" si="6"/>
        <v>Available</v>
      </c>
      <c r="M136">
        <f t="shared" si="7"/>
        <v>1</v>
      </c>
      <c r="N136">
        <f t="shared" si="8"/>
        <v>1</v>
      </c>
    </row>
    <row r="137" spans="1:14" x14ac:dyDescent="0.35">
      <c r="A137" t="s">
        <v>1693</v>
      </c>
      <c r="B137" t="s">
        <v>91</v>
      </c>
      <c r="C137" t="s">
        <v>229</v>
      </c>
      <c r="D137">
        <v>28</v>
      </c>
      <c r="E137" t="s">
        <v>13</v>
      </c>
      <c r="F137" s="1">
        <v>44497</v>
      </c>
      <c r="G137" s="1">
        <v>46059</v>
      </c>
      <c r="H137" t="s">
        <v>14</v>
      </c>
      <c r="I137" s="2">
        <v>29624508</v>
      </c>
      <c r="J137">
        <v>266536</v>
      </c>
      <c r="K137" t="s">
        <v>15</v>
      </c>
      <c r="L137" t="str">
        <f t="shared" si="6"/>
        <v>Available</v>
      </c>
      <c r="M137">
        <f t="shared" si="7"/>
        <v>1</v>
      </c>
      <c r="N137">
        <f t="shared" si="8"/>
        <v>1</v>
      </c>
    </row>
    <row r="138" spans="1:14" x14ac:dyDescent="0.35">
      <c r="A138" t="s">
        <v>1694</v>
      </c>
      <c r="B138" t="s">
        <v>12</v>
      </c>
      <c r="C138" t="s">
        <v>230</v>
      </c>
      <c r="D138">
        <v>24</v>
      </c>
      <c r="E138" t="s">
        <v>13</v>
      </c>
      <c r="F138" s="1">
        <v>44497</v>
      </c>
      <c r="G138" s="1">
        <v>46059</v>
      </c>
      <c r="H138" t="s">
        <v>14</v>
      </c>
      <c r="I138" s="2">
        <v>91503</v>
      </c>
      <c r="J138">
        <v>264282</v>
      </c>
      <c r="K138" t="s">
        <v>15</v>
      </c>
      <c r="L138" t="str">
        <f t="shared" si="6"/>
        <v>Available</v>
      </c>
      <c r="M138">
        <f t="shared" si="7"/>
        <v>1</v>
      </c>
      <c r="N138">
        <f t="shared" si="8"/>
        <v>1</v>
      </c>
    </row>
    <row r="139" spans="1:14" x14ac:dyDescent="0.35">
      <c r="A139" t="s">
        <v>1695</v>
      </c>
      <c r="B139" t="s">
        <v>75</v>
      </c>
      <c r="C139" t="s">
        <v>231</v>
      </c>
      <c r="D139">
        <v>17.600000000000001</v>
      </c>
      <c r="E139" t="s">
        <v>13</v>
      </c>
      <c r="F139" s="1">
        <v>44497</v>
      </c>
      <c r="G139" s="1">
        <v>46047</v>
      </c>
      <c r="H139" t="s">
        <v>14</v>
      </c>
      <c r="I139" t="s">
        <v>2778</v>
      </c>
      <c r="J139">
        <v>262237</v>
      </c>
      <c r="K139" t="s">
        <v>30</v>
      </c>
      <c r="L139" t="str">
        <f t="shared" si="6"/>
        <v>Available</v>
      </c>
      <c r="M139">
        <f t="shared" si="7"/>
        <v>0</v>
      </c>
      <c r="N139">
        <f t="shared" si="8"/>
        <v>1</v>
      </c>
    </row>
    <row r="140" spans="1:14" x14ac:dyDescent="0.35">
      <c r="A140" t="s">
        <v>1696</v>
      </c>
      <c r="B140" t="s">
        <v>121</v>
      </c>
      <c r="C140" t="s">
        <v>232</v>
      </c>
      <c r="D140">
        <v>24</v>
      </c>
      <c r="E140" t="s">
        <v>13</v>
      </c>
      <c r="F140" s="1">
        <v>45431</v>
      </c>
      <c r="G140" s="1">
        <v>46059</v>
      </c>
      <c r="H140" t="s">
        <v>14</v>
      </c>
      <c r="I140" s="2">
        <v>47565125</v>
      </c>
      <c r="J140">
        <v>262257</v>
      </c>
      <c r="K140" t="s">
        <v>15</v>
      </c>
      <c r="L140" t="str">
        <f t="shared" si="6"/>
        <v>Available</v>
      </c>
      <c r="M140">
        <f t="shared" si="7"/>
        <v>1</v>
      </c>
      <c r="N140">
        <f t="shared" si="8"/>
        <v>1</v>
      </c>
    </row>
    <row r="141" spans="1:14" x14ac:dyDescent="0.35">
      <c r="A141" t="s">
        <v>1697</v>
      </c>
      <c r="C141" t="s">
        <v>233</v>
      </c>
      <c r="D141">
        <v>16</v>
      </c>
      <c r="E141" t="s">
        <v>13</v>
      </c>
      <c r="F141" s="1">
        <v>44498</v>
      </c>
      <c r="G141" s="1">
        <v>45961</v>
      </c>
      <c r="H141" t="s">
        <v>14</v>
      </c>
      <c r="I141" t="s">
        <v>2778</v>
      </c>
      <c r="J141">
        <v>264238</v>
      </c>
      <c r="K141" t="s">
        <v>30</v>
      </c>
      <c r="L141" t="str">
        <f t="shared" si="6"/>
        <v>Missing</v>
      </c>
      <c r="M141">
        <f t="shared" si="7"/>
        <v>0</v>
      </c>
      <c r="N141">
        <f t="shared" si="8"/>
        <v>0</v>
      </c>
    </row>
    <row r="142" spans="1:14" x14ac:dyDescent="0.35">
      <c r="A142" t="s">
        <v>1698</v>
      </c>
      <c r="C142" t="s">
        <v>234</v>
      </c>
      <c r="D142">
        <v>24</v>
      </c>
      <c r="E142" t="s">
        <v>13</v>
      </c>
      <c r="F142" s="1">
        <v>44497</v>
      </c>
      <c r="G142" s="1">
        <v>46059</v>
      </c>
      <c r="H142" t="s">
        <v>14</v>
      </c>
      <c r="I142" s="2">
        <v>17727700</v>
      </c>
      <c r="J142">
        <v>264042</v>
      </c>
      <c r="K142" t="s">
        <v>15</v>
      </c>
      <c r="L142" t="str">
        <f t="shared" si="6"/>
        <v>Missing</v>
      </c>
      <c r="M142">
        <f t="shared" si="7"/>
        <v>1</v>
      </c>
      <c r="N142">
        <f t="shared" si="8"/>
        <v>0</v>
      </c>
    </row>
    <row r="143" spans="1:14" x14ac:dyDescent="0.35">
      <c r="A143" t="s">
        <v>1699</v>
      </c>
      <c r="B143" t="s">
        <v>58</v>
      </c>
      <c r="C143" t="s">
        <v>235</v>
      </c>
      <c r="D143">
        <v>21.978764999999999</v>
      </c>
      <c r="E143" t="s">
        <v>35</v>
      </c>
      <c r="F143" s="1">
        <v>44497</v>
      </c>
      <c r="G143" s="1">
        <v>45638</v>
      </c>
      <c r="H143" t="s">
        <v>14</v>
      </c>
      <c r="I143" t="s">
        <v>2778</v>
      </c>
      <c r="J143">
        <v>261812</v>
      </c>
      <c r="K143" t="s">
        <v>30</v>
      </c>
      <c r="L143" t="str">
        <f t="shared" si="6"/>
        <v>Available</v>
      </c>
      <c r="M143">
        <f t="shared" si="7"/>
        <v>0</v>
      </c>
      <c r="N143">
        <f t="shared" si="8"/>
        <v>1</v>
      </c>
    </row>
    <row r="144" spans="1:14" x14ac:dyDescent="0.35">
      <c r="A144" t="s">
        <v>1700</v>
      </c>
      <c r="C144" t="s">
        <v>236</v>
      </c>
      <c r="D144">
        <v>24</v>
      </c>
      <c r="E144" t="s">
        <v>13</v>
      </c>
      <c r="F144" s="1">
        <v>44898</v>
      </c>
      <c r="G144" s="1">
        <v>46059</v>
      </c>
      <c r="H144" t="s">
        <v>14</v>
      </c>
      <c r="I144" s="2">
        <v>19870427</v>
      </c>
      <c r="J144">
        <v>262606</v>
      </c>
      <c r="K144" t="s">
        <v>15</v>
      </c>
      <c r="L144" t="str">
        <f t="shared" si="6"/>
        <v>Missing</v>
      </c>
      <c r="M144">
        <f t="shared" si="7"/>
        <v>1</v>
      </c>
      <c r="N144">
        <f t="shared" si="8"/>
        <v>0</v>
      </c>
    </row>
    <row r="145" spans="1:14" x14ac:dyDescent="0.35">
      <c r="A145" t="s">
        <v>1701</v>
      </c>
      <c r="B145" t="s">
        <v>238</v>
      </c>
      <c r="C145" t="s">
        <v>237</v>
      </c>
      <c r="D145">
        <v>26</v>
      </c>
      <c r="E145" t="s">
        <v>13</v>
      </c>
      <c r="F145" s="1">
        <v>44497</v>
      </c>
      <c r="G145" s="1">
        <v>46059</v>
      </c>
      <c r="H145" t="s">
        <v>14</v>
      </c>
      <c r="I145" s="2">
        <v>123505</v>
      </c>
      <c r="J145">
        <v>264274</v>
      </c>
      <c r="K145" t="s">
        <v>15</v>
      </c>
      <c r="L145" t="str">
        <f t="shared" si="6"/>
        <v>Available</v>
      </c>
      <c r="M145">
        <f t="shared" si="7"/>
        <v>1</v>
      </c>
      <c r="N145">
        <f t="shared" si="8"/>
        <v>1</v>
      </c>
    </row>
    <row r="146" spans="1:14" x14ac:dyDescent="0.35">
      <c r="A146" t="s">
        <v>1702</v>
      </c>
      <c r="B146" t="s">
        <v>240</v>
      </c>
      <c r="C146" t="s">
        <v>239</v>
      </c>
      <c r="D146">
        <v>15</v>
      </c>
      <c r="E146" t="s">
        <v>13</v>
      </c>
      <c r="F146" s="1">
        <v>44499</v>
      </c>
      <c r="G146" s="1">
        <v>46059</v>
      </c>
      <c r="H146" t="s">
        <v>14</v>
      </c>
      <c r="I146" s="2">
        <v>3262026</v>
      </c>
      <c r="J146">
        <v>261899</v>
      </c>
      <c r="K146" t="s">
        <v>15</v>
      </c>
      <c r="L146" t="str">
        <f t="shared" si="6"/>
        <v>Available</v>
      </c>
      <c r="M146">
        <f t="shared" si="7"/>
        <v>1</v>
      </c>
      <c r="N146">
        <f t="shared" si="8"/>
        <v>1</v>
      </c>
    </row>
    <row r="147" spans="1:14" x14ac:dyDescent="0.35">
      <c r="A147" t="s">
        <v>1703</v>
      </c>
      <c r="B147" t="s">
        <v>242</v>
      </c>
      <c r="C147" t="s">
        <v>241</v>
      </c>
      <c r="D147">
        <v>16</v>
      </c>
      <c r="E147" t="s">
        <v>13</v>
      </c>
      <c r="F147" s="1">
        <v>44500</v>
      </c>
      <c r="G147" s="1">
        <v>46059</v>
      </c>
      <c r="H147" t="s">
        <v>14</v>
      </c>
      <c r="I147" s="2">
        <v>228203</v>
      </c>
      <c r="J147">
        <v>264371</v>
      </c>
      <c r="K147" t="s">
        <v>15</v>
      </c>
      <c r="L147" t="str">
        <f t="shared" si="6"/>
        <v>Available</v>
      </c>
      <c r="M147">
        <f t="shared" si="7"/>
        <v>1</v>
      </c>
      <c r="N147">
        <f t="shared" si="8"/>
        <v>1</v>
      </c>
    </row>
    <row r="148" spans="1:14" x14ac:dyDescent="0.35">
      <c r="A148" t="s">
        <v>1704</v>
      </c>
      <c r="B148" t="s">
        <v>25</v>
      </c>
      <c r="C148" t="s">
        <v>243</v>
      </c>
      <c r="F148" s="1">
        <v>44497</v>
      </c>
      <c r="G148" s="1">
        <v>45085</v>
      </c>
      <c r="H148" t="s">
        <v>14</v>
      </c>
      <c r="I148" t="s">
        <v>2778</v>
      </c>
      <c r="J148">
        <v>264099</v>
      </c>
      <c r="K148" t="s">
        <v>30</v>
      </c>
      <c r="L148" t="str">
        <f t="shared" si="6"/>
        <v>Available</v>
      </c>
      <c r="M148">
        <f t="shared" si="7"/>
        <v>0</v>
      </c>
      <c r="N148">
        <f t="shared" si="8"/>
        <v>1</v>
      </c>
    </row>
    <row r="149" spans="1:14" x14ac:dyDescent="0.35">
      <c r="A149" t="s">
        <v>1705</v>
      </c>
      <c r="B149" t="s">
        <v>205</v>
      </c>
      <c r="C149" t="s">
        <v>244</v>
      </c>
      <c r="D149">
        <v>24</v>
      </c>
      <c r="E149" t="s">
        <v>13</v>
      </c>
      <c r="F149" s="1">
        <v>44497</v>
      </c>
      <c r="G149" s="1">
        <v>46058</v>
      </c>
      <c r="H149" t="s">
        <v>14</v>
      </c>
      <c r="I149" s="2">
        <v>91496</v>
      </c>
      <c r="J149">
        <v>264230</v>
      </c>
      <c r="K149" t="s">
        <v>15</v>
      </c>
      <c r="L149" t="str">
        <f t="shared" si="6"/>
        <v>Available</v>
      </c>
      <c r="M149">
        <f t="shared" si="7"/>
        <v>1</v>
      </c>
      <c r="N149">
        <f t="shared" si="8"/>
        <v>1</v>
      </c>
    </row>
    <row r="150" spans="1:14" x14ac:dyDescent="0.35">
      <c r="A150" t="s">
        <v>1706</v>
      </c>
      <c r="B150" t="s">
        <v>105</v>
      </c>
      <c r="C150" t="s">
        <v>245</v>
      </c>
      <c r="D150">
        <v>23.5</v>
      </c>
      <c r="E150" t="s">
        <v>13</v>
      </c>
      <c r="F150" s="1">
        <v>44497</v>
      </c>
      <c r="G150" s="1">
        <v>46059</v>
      </c>
      <c r="H150" t="s">
        <v>14</v>
      </c>
      <c r="I150" s="2">
        <v>23129319</v>
      </c>
      <c r="J150">
        <v>261713</v>
      </c>
      <c r="K150" t="s">
        <v>15</v>
      </c>
      <c r="L150" t="str">
        <f t="shared" si="6"/>
        <v>Available</v>
      </c>
      <c r="M150">
        <f t="shared" si="7"/>
        <v>1</v>
      </c>
      <c r="N150">
        <f t="shared" si="8"/>
        <v>1</v>
      </c>
    </row>
    <row r="151" spans="1:14" x14ac:dyDescent="0.35">
      <c r="A151" t="s">
        <v>1707</v>
      </c>
      <c r="B151" t="s">
        <v>247</v>
      </c>
      <c r="C151" t="s">
        <v>246</v>
      </c>
      <c r="D151">
        <v>13</v>
      </c>
      <c r="E151" t="s">
        <v>13</v>
      </c>
      <c r="F151" s="1">
        <v>44497</v>
      </c>
      <c r="G151" s="1">
        <v>46059</v>
      </c>
      <c r="H151" t="s">
        <v>14</v>
      </c>
      <c r="I151" s="2">
        <v>17554800</v>
      </c>
      <c r="J151">
        <v>264655</v>
      </c>
      <c r="K151" t="s">
        <v>15</v>
      </c>
      <c r="L151" t="str">
        <f t="shared" si="6"/>
        <v>Available</v>
      </c>
      <c r="M151">
        <f t="shared" si="7"/>
        <v>1</v>
      </c>
      <c r="N151">
        <f t="shared" si="8"/>
        <v>1</v>
      </c>
    </row>
    <row r="152" spans="1:14" x14ac:dyDescent="0.35">
      <c r="A152" t="s">
        <v>1708</v>
      </c>
      <c r="B152" t="s">
        <v>249</v>
      </c>
      <c r="C152" t="s">
        <v>248</v>
      </c>
      <c r="D152">
        <v>33</v>
      </c>
      <c r="E152" t="s">
        <v>13</v>
      </c>
      <c r="F152" s="1">
        <v>44901</v>
      </c>
      <c r="G152" s="1">
        <v>46055</v>
      </c>
      <c r="H152" t="s">
        <v>14</v>
      </c>
      <c r="I152" t="s">
        <v>2778</v>
      </c>
      <c r="J152">
        <v>261678</v>
      </c>
      <c r="K152" t="s">
        <v>30</v>
      </c>
      <c r="L152" t="str">
        <f t="shared" si="6"/>
        <v>Available</v>
      </c>
      <c r="M152">
        <f t="shared" si="7"/>
        <v>0</v>
      </c>
      <c r="N152">
        <f t="shared" si="8"/>
        <v>1</v>
      </c>
    </row>
    <row r="153" spans="1:14" x14ac:dyDescent="0.35">
      <c r="A153" t="s">
        <v>1709</v>
      </c>
      <c r="B153" t="s">
        <v>251</v>
      </c>
      <c r="C153" t="s">
        <v>250</v>
      </c>
      <c r="D153">
        <v>25.5</v>
      </c>
      <c r="E153" t="s">
        <v>13</v>
      </c>
      <c r="F153" s="1">
        <v>44497</v>
      </c>
      <c r="G153" s="1">
        <v>46059</v>
      </c>
      <c r="H153" t="s">
        <v>14</v>
      </c>
      <c r="I153" s="2">
        <v>16754516</v>
      </c>
      <c r="J153">
        <v>266644</v>
      </c>
      <c r="K153" t="s">
        <v>15</v>
      </c>
      <c r="L153" t="str">
        <f t="shared" si="6"/>
        <v>Available</v>
      </c>
      <c r="M153">
        <f t="shared" si="7"/>
        <v>1</v>
      </c>
      <c r="N153">
        <f t="shared" si="8"/>
        <v>1</v>
      </c>
    </row>
    <row r="154" spans="1:14" x14ac:dyDescent="0.35">
      <c r="A154" t="s">
        <v>1710</v>
      </c>
      <c r="B154" t="s">
        <v>253</v>
      </c>
      <c r="C154" t="s">
        <v>252</v>
      </c>
      <c r="D154">
        <v>24</v>
      </c>
      <c r="E154" t="s">
        <v>13</v>
      </c>
      <c r="F154" s="1">
        <v>45805</v>
      </c>
      <c r="G154" s="1">
        <v>45952</v>
      </c>
      <c r="H154" t="s">
        <v>14</v>
      </c>
      <c r="I154" t="s">
        <v>2778</v>
      </c>
      <c r="J154">
        <v>262603</v>
      </c>
      <c r="K154" t="s">
        <v>30</v>
      </c>
      <c r="L154" t="str">
        <f t="shared" si="6"/>
        <v>Available</v>
      </c>
      <c r="M154">
        <f t="shared" si="7"/>
        <v>0</v>
      </c>
      <c r="N154">
        <f t="shared" si="8"/>
        <v>1</v>
      </c>
    </row>
    <row r="155" spans="1:14" x14ac:dyDescent="0.35">
      <c r="A155" t="s">
        <v>1711</v>
      </c>
      <c r="B155" t="s">
        <v>12</v>
      </c>
      <c r="C155" t="s">
        <v>254</v>
      </c>
      <c r="D155">
        <v>45</v>
      </c>
      <c r="E155" t="s">
        <v>13</v>
      </c>
      <c r="F155" s="1">
        <v>44497</v>
      </c>
      <c r="G155" s="1">
        <v>46058</v>
      </c>
      <c r="H155" t="s">
        <v>14</v>
      </c>
      <c r="I155" s="2">
        <v>143291</v>
      </c>
      <c r="J155">
        <v>264448</v>
      </c>
      <c r="K155" t="s">
        <v>15</v>
      </c>
      <c r="L155" t="str">
        <f t="shared" si="6"/>
        <v>Available</v>
      </c>
      <c r="M155">
        <f t="shared" si="7"/>
        <v>1</v>
      </c>
      <c r="N155">
        <f t="shared" si="8"/>
        <v>1</v>
      </c>
    </row>
    <row r="156" spans="1:14" x14ac:dyDescent="0.35">
      <c r="A156" t="s">
        <v>1712</v>
      </c>
      <c r="B156" t="s">
        <v>29</v>
      </c>
      <c r="C156" t="s">
        <v>255</v>
      </c>
      <c r="D156">
        <v>32</v>
      </c>
      <c r="E156" t="s">
        <v>13</v>
      </c>
      <c r="F156" s="1">
        <v>44497</v>
      </c>
      <c r="G156" s="1">
        <v>46060</v>
      </c>
      <c r="H156" t="s">
        <v>14</v>
      </c>
      <c r="I156" t="s">
        <v>2780</v>
      </c>
      <c r="J156" t="s">
        <v>256</v>
      </c>
      <c r="K156" t="s">
        <v>15</v>
      </c>
      <c r="L156" t="str">
        <f t="shared" si="6"/>
        <v>Available</v>
      </c>
      <c r="M156">
        <f t="shared" si="7"/>
        <v>1</v>
      </c>
      <c r="N156">
        <f t="shared" si="8"/>
        <v>1</v>
      </c>
    </row>
    <row r="157" spans="1:14" x14ac:dyDescent="0.35">
      <c r="A157" t="s">
        <v>1713</v>
      </c>
      <c r="B157" t="s">
        <v>58</v>
      </c>
      <c r="C157" t="s">
        <v>257</v>
      </c>
      <c r="D157">
        <v>20.288091000000001</v>
      </c>
      <c r="E157" t="s">
        <v>35</v>
      </c>
      <c r="F157" s="1">
        <v>45562</v>
      </c>
      <c r="G157" s="1">
        <v>46058</v>
      </c>
      <c r="H157" t="s">
        <v>14</v>
      </c>
      <c r="I157" t="s">
        <v>2778</v>
      </c>
      <c r="J157">
        <v>261878</v>
      </c>
      <c r="K157" t="s">
        <v>30</v>
      </c>
      <c r="L157" t="str">
        <f t="shared" si="6"/>
        <v>Available</v>
      </c>
      <c r="M157">
        <f t="shared" si="7"/>
        <v>0</v>
      </c>
      <c r="N157">
        <f t="shared" si="8"/>
        <v>1</v>
      </c>
    </row>
    <row r="158" spans="1:14" x14ac:dyDescent="0.35">
      <c r="A158" t="s">
        <v>1714</v>
      </c>
      <c r="B158" t="s">
        <v>259</v>
      </c>
      <c r="C158" t="s">
        <v>258</v>
      </c>
      <c r="D158">
        <v>24</v>
      </c>
      <c r="E158" t="s">
        <v>13</v>
      </c>
      <c r="F158" s="1">
        <v>44497</v>
      </c>
      <c r="G158" s="1">
        <v>46059</v>
      </c>
      <c r="H158" t="s">
        <v>14</v>
      </c>
      <c r="I158" s="2">
        <v>98524</v>
      </c>
      <c r="J158">
        <v>264079</v>
      </c>
      <c r="K158" t="s">
        <v>15</v>
      </c>
      <c r="L158" t="str">
        <f t="shared" si="6"/>
        <v>Available</v>
      </c>
      <c r="M158">
        <f t="shared" si="7"/>
        <v>1</v>
      </c>
      <c r="N158">
        <f t="shared" si="8"/>
        <v>1</v>
      </c>
    </row>
    <row r="159" spans="1:14" x14ac:dyDescent="0.35">
      <c r="A159" t="s">
        <v>1715</v>
      </c>
      <c r="B159" t="s">
        <v>261</v>
      </c>
      <c r="C159" t="s">
        <v>260</v>
      </c>
      <c r="D159">
        <v>22.993169999999999</v>
      </c>
      <c r="E159" t="s">
        <v>35</v>
      </c>
      <c r="F159" s="1">
        <v>45233</v>
      </c>
      <c r="G159" s="1">
        <v>45995</v>
      </c>
      <c r="H159" t="s">
        <v>14</v>
      </c>
      <c r="I159" t="s">
        <v>2778</v>
      </c>
      <c r="J159">
        <v>264369</v>
      </c>
      <c r="K159" t="s">
        <v>30</v>
      </c>
      <c r="L159" t="str">
        <f t="shared" si="6"/>
        <v>Available</v>
      </c>
      <c r="M159">
        <f t="shared" si="7"/>
        <v>0</v>
      </c>
      <c r="N159">
        <f t="shared" si="8"/>
        <v>1</v>
      </c>
    </row>
    <row r="160" spans="1:14" x14ac:dyDescent="0.35">
      <c r="A160" t="s">
        <v>1716</v>
      </c>
      <c r="C160" t="s">
        <v>262</v>
      </c>
      <c r="D160">
        <v>24</v>
      </c>
      <c r="E160" t="s">
        <v>13</v>
      </c>
      <c r="F160" s="1">
        <v>44497</v>
      </c>
      <c r="G160" s="1">
        <v>46059</v>
      </c>
      <c r="H160" t="s">
        <v>14</v>
      </c>
      <c r="I160" t="s">
        <v>2778</v>
      </c>
      <c r="J160">
        <v>261508</v>
      </c>
      <c r="K160" t="s">
        <v>30</v>
      </c>
      <c r="L160" t="str">
        <f t="shared" si="6"/>
        <v>Missing</v>
      </c>
      <c r="M160">
        <f t="shared" si="7"/>
        <v>0</v>
      </c>
      <c r="N160">
        <f t="shared" si="8"/>
        <v>0</v>
      </c>
    </row>
    <row r="161" spans="1:14" x14ac:dyDescent="0.35">
      <c r="A161" t="s">
        <v>1717</v>
      </c>
      <c r="B161" t="s">
        <v>264</v>
      </c>
      <c r="C161" t="s">
        <v>263</v>
      </c>
      <c r="D161">
        <v>25</v>
      </c>
      <c r="E161" t="s">
        <v>13</v>
      </c>
      <c r="F161" s="1">
        <v>44497</v>
      </c>
      <c r="G161" s="1">
        <v>46059</v>
      </c>
      <c r="H161" t="s">
        <v>14</v>
      </c>
      <c r="I161" s="2">
        <v>91471</v>
      </c>
      <c r="J161">
        <v>264367</v>
      </c>
      <c r="K161" t="s">
        <v>15</v>
      </c>
      <c r="L161" t="str">
        <f t="shared" si="6"/>
        <v>Available</v>
      </c>
      <c r="M161">
        <f t="shared" si="7"/>
        <v>1</v>
      </c>
      <c r="N161">
        <f t="shared" si="8"/>
        <v>1</v>
      </c>
    </row>
    <row r="162" spans="1:14" x14ac:dyDescent="0.35">
      <c r="A162" t="s">
        <v>1718</v>
      </c>
      <c r="B162" t="s">
        <v>251</v>
      </c>
      <c r="C162" t="s">
        <v>265</v>
      </c>
      <c r="D162">
        <v>23.5</v>
      </c>
      <c r="E162" t="s">
        <v>13</v>
      </c>
      <c r="F162" s="1">
        <v>44612</v>
      </c>
      <c r="G162" s="1">
        <v>46059</v>
      </c>
      <c r="H162" t="s">
        <v>14</v>
      </c>
      <c r="I162" s="2">
        <v>27767012</v>
      </c>
      <c r="J162">
        <v>261607</v>
      </c>
      <c r="K162" t="s">
        <v>15</v>
      </c>
      <c r="L162" t="str">
        <f t="shared" si="6"/>
        <v>Available</v>
      </c>
      <c r="M162">
        <f t="shared" si="7"/>
        <v>1</v>
      </c>
      <c r="N162">
        <f t="shared" si="8"/>
        <v>1</v>
      </c>
    </row>
    <row r="163" spans="1:14" x14ac:dyDescent="0.35">
      <c r="A163" t="s">
        <v>1719</v>
      </c>
      <c r="B163" t="s">
        <v>91</v>
      </c>
      <c r="C163" t="s">
        <v>266</v>
      </c>
      <c r="D163">
        <v>32</v>
      </c>
      <c r="E163" t="s">
        <v>13</v>
      </c>
      <c r="F163" s="1">
        <v>44497</v>
      </c>
      <c r="G163" s="1">
        <v>46058</v>
      </c>
      <c r="H163" t="s">
        <v>14</v>
      </c>
      <c r="I163" t="s">
        <v>2778</v>
      </c>
      <c r="J163">
        <v>264117</v>
      </c>
      <c r="K163" t="s">
        <v>30</v>
      </c>
      <c r="L163" t="str">
        <f t="shared" si="6"/>
        <v>Available</v>
      </c>
      <c r="M163">
        <f t="shared" si="7"/>
        <v>0</v>
      </c>
      <c r="N163">
        <f t="shared" si="8"/>
        <v>1</v>
      </c>
    </row>
    <row r="164" spans="1:14" x14ac:dyDescent="0.35">
      <c r="A164" t="s">
        <v>1720</v>
      </c>
      <c r="B164" t="s">
        <v>71</v>
      </c>
      <c r="C164" t="s">
        <v>267</v>
      </c>
      <c r="D164">
        <v>24</v>
      </c>
      <c r="E164" t="s">
        <v>13</v>
      </c>
      <c r="F164" s="1">
        <v>44497</v>
      </c>
      <c r="G164" s="1">
        <v>46059</v>
      </c>
      <c r="H164" t="s">
        <v>14</v>
      </c>
      <c r="I164" s="2">
        <v>3168273</v>
      </c>
      <c r="J164">
        <v>266985</v>
      </c>
      <c r="K164" t="s">
        <v>15</v>
      </c>
      <c r="L164" t="str">
        <f t="shared" si="6"/>
        <v>Available</v>
      </c>
      <c r="M164">
        <f t="shared" si="7"/>
        <v>1</v>
      </c>
      <c r="N164">
        <f t="shared" si="8"/>
        <v>1</v>
      </c>
    </row>
    <row r="165" spans="1:14" x14ac:dyDescent="0.35">
      <c r="A165" t="s">
        <v>1721</v>
      </c>
      <c r="B165" t="s">
        <v>269</v>
      </c>
      <c r="C165" t="s">
        <v>268</v>
      </c>
      <c r="D165">
        <v>25</v>
      </c>
      <c r="E165" t="s">
        <v>13</v>
      </c>
      <c r="F165" s="1">
        <v>44497</v>
      </c>
      <c r="G165" s="1">
        <v>46059</v>
      </c>
      <c r="H165" t="s">
        <v>14</v>
      </c>
      <c r="I165" s="2">
        <v>53395</v>
      </c>
      <c r="J165">
        <v>261727</v>
      </c>
      <c r="K165" t="s">
        <v>15</v>
      </c>
      <c r="L165" t="str">
        <f t="shared" si="6"/>
        <v>Available</v>
      </c>
      <c r="M165">
        <f t="shared" si="7"/>
        <v>1</v>
      </c>
      <c r="N165">
        <f t="shared" si="8"/>
        <v>1</v>
      </c>
    </row>
    <row r="166" spans="1:14" x14ac:dyDescent="0.35">
      <c r="A166" t="s">
        <v>1722</v>
      </c>
      <c r="B166" t="s">
        <v>271</v>
      </c>
      <c r="C166" t="s">
        <v>270</v>
      </c>
      <c r="D166">
        <v>25</v>
      </c>
      <c r="E166" t="s">
        <v>13</v>
      </c>
      <c r="F166" s="1">
        <v>44497</v>
      </c>
      <c r="G166" s="1">
        <v>45918</v>
      </c>
      <c r="H166" t="s">
        <v>14</v>
      </c>
      <c r="I166" t="s">
        <v>2778</v>
      </c>
      <c r="J166">
        <v>266845</v>
      </c>
      <c r="K166" t="s">
        <v>30</v>
      </c>
      <c r="L166" t="str">
        <f t="shared" si="6"/>
        <v>Available</v>
      </c>
      <c r="M166">
        <f t="shared" si="7"/>
        <v>0</v>
      </c>
      <c r="N166">
        <f t="shared" si="8"/>
        <v>1</v>
      </c>
    </row>
    <row r="167" spans="1:14" x14ac:dyDescent="0.35">
      <c r="A167" t="s">
        <v>1723</v>
      </c>
      <c r="B167" t="s">
        <v>273</v>
      </c>
      <c r="C167" t="s">
        <v>272</v>
      </c>
      <c r="D167">
        <v>25</v>
      </c>
      <c r="E167" t="s">
        <v>13</v>
      </c>
      <c r="F167" s="1">
        <v>44497</v>
      </c>
      <c r="G167" s="1">
        <v>46059</v>
      </c>
      <c r="H167" t="s">
        <v>14</v>
      </c>
      <c r="I167" s="2">
        <v>175472</v>
      </c>
      <c r="J167">
        <v>264047</v>
      </c>
      <c r="K167" t="s">
        <v>15</v>
      </c>
      <c r="L167" t="str">
        <f t="shared" si="6"/>
        <v>Available</v>
      </c>
      <c r="M167">
        <f t="shared" si="7"/>
        <v>1</v>
      </c>
      <c r="N167">
        <f t="shared" si="8"/>
        <v>1</v>
      </c>
    </row>
    <row r="168" spans="1:14" x14ac:dyDescent="0.35">
      <c r="A168" t="s">
        <v>1724</v>
      </c>
      <c r="B168" t="s">
        <v>27</v>
      </c>
      <c r="C168" t="s">
        <v>274</v>
      </c>
      <c r="D168">
        <v>72</v>
      </c>
      <c r="E168" t="s">
        <v>13</v>
      </c>
      <c r="F168" s="1">
        <v>44854</v>
      </c>
      <c r="G168" s="1">
        <v>46058</v>
      </c>
      <c r="H168" t="s">
        <v>14</v>
      </c>
      <c r="I168" t="s">
        <v>2778</v>
      </c>
      <c r="J168">
        <v>266298</v>
      </c>
      <c r="K168" t="s">
        <v>30</v>
      </c>
      <c r="L168" t="str">
        <f t="shared" si="6"/>
        <v>Available</v>
      </c>
      <c r="M168">
        <f t="shared" si="7"/>
        <v>0</v>
      </c>
      <c r="N168">
        <f t="shared" si="8"/>
        <v>1</v>
      </c>
    </row>
    <row r="169" spans="1:14" x14ac:dyDescent="0.35">
      <c r="A169" t="s">
        <v>1725</v>
      </c>
      <c r="B169" t="s">
        <v>43</v>
      </c>
      <c r="C169" t="s">
        <v>275</v>
      </c>
      <c r="D169">
        <v>25</v>
      </c>
      <c r="E169" t="s">
        <v>13</v>
      </c>
      <c r="F169" s="1">
        <v>44497</v>
      </c>
      <c r="G169" s="1">
        <v>46059</v>
      </c>
      <c r="H169" t="s">
        <v>14</v>
      </c>
      <c r="I169" s="2">
        <v>1918135</v>
      </c>
      <c r="J169">
        <v>261881</v>
      </c>
      <c r="K169" t="s">
        <v>15</v>
      </c>
      <c r="L169" t="str">
        <f t="shared" si="6"/>
        <v>Available</v>
      </c>
      <c r="M169">
        <f t="shared" si="7"/>
        <v>1</v>
      </c>
      <c r="N169">
        <f t="shared" si="8"/>
        <v>1</v>
      </c>
    </row>
    <row r="170" spans="1:14" x14ac:dyDescent="0.35">
      <c r="A170" t="s">
        <v>1726</v>
      </c>
      <c r="B170" t="s">
        <v>238</v>
      </c>
      <c r="C170" t="s">
        <v>276</v>
      </c>
      <c r="D170">
        <v>45</v>
      </c>
      <c r="E170" t="s">
        <v>13</v>
      </c>
      <c r="F170" s="1">
        <v>44497</v>
      </c>
      <c r="G170" s="1">
        <v>46059</v>
      </c>
      <c r="H170" t="s">
        <v>14</v>
      </c>
      <c r="I170" t="s">
        <v>2778</v>
      </c>
      <c r="J170">
        <v>261911</v>
      </c>
      <c r="K170" t="s">
        <v>30</v>
      </c>
      <c r="L170" t="str">
        <f t="shared" si="6"/>
        <v>Available</v>
      </c>
      <c r="M170">
        <f t="shared" si="7"/>
        <v>0</v>
      </c>
      <c r="N170">
        <f t="shared" si="8"/>
        <v>1</v>
      </c>
    </row>
    <row r="171" spans="1:14" x14ac:dyDescent="0.35">
      <c r="A171" t="s">
        <v>1727</v>
      </c>
      <c r="B171" t="s">
        <v>278</v>
      </c>
      <c r="C171" t="s">
        <v>277</v>
      </c>
      <c r="D171">
        <v>24</v>
      </c>
      <c r="E171" t="s">
        <v>13</v>
      </c>
      <c r="F171" s="1">
        <v>44497</v>
      </c>
      <c r="G171" s="1">
        <v>46059</v>
      </c>
      <c r="H171" t="s">
        <v>14</v>
      </c>
      <c r="I171" s="2">
        <v>24828</v>
      </c>
      <c r="J171">
        <v>266322</v>
      </c>
      <c r="K171" t="s">
        <v>15</v>
      </c>
      <c r="L171" t="str">
        <f t="shared" si="6"/>
        <v>Available</v>
      </c>
      <c r="M171">
        <f t="shared" si="7"/>
        <v>1</v>
      </c>
      <c r="N171">
        <f t="shared" si="8"/>
        <v>1</v>
      </c>
    </row>
    <row r="172" spans="1:14" x14ac:dyDescent="0.35">
      <c r="A172" t="s">
        <v>1728</v>
      </c>
      <c r="B172" t="s">
        <v>152</v>
      </c>
      <c r="C172" t="s">
        <v>279</v>
      </c>
      <c r="D172">
        <v>24</v>
      </c>
      <c r="E172" t="s">
        <v>13</v>
      </c>
      <c r="F172" s="1">
        <v>44903</v>
      </c>
      <c r="G172" s="1">
        <v>45985</v>
      </c>
      <c r="H172" t="s">
        <v>14</v>
      </c>
      <c r="I172" t="s">
        <v>2778</v>
      </c>
      <c r="J172">
        <v>266914</v>
      </c>
      <c r="K172" t="s">
        <v>30</v>
      </c>
      <c r="L172" t="str">
        <f t="shared" si="6"/>
        <v>Available</v>
      </c>
      <c r="M172">
        <f t="shared" si="7"/>
        <v>0</v>
      </c>
      <c r="N172">
        <f t="shared" si="8"/>
        <v>1</v>
      </c>
    </row>
    <row r="173" spans="1:14" x14ac:dyDescent="0.35">
      <c r="A173" t="s">
        <v>1729</v>
      </c>
      <c r="C173" t="s">
        <v>280</v>
      </c>
      <c r="D173">
        <v>24</v>
      </c>
      <c r="E173" t="s">
        <v>13</v>
      </c>
      <c r="F173" s="1">
        <v>44497</v>
      </c>
      <c r="G173" s="1">
        <v>46058</v>
      </c>
      <c r="H173" t="s">
        <v>14</v>
      </c>
      <c r="I173" s="2">
        <v>19520086</v>
      </c>
      <c r="J173">
        <v>262168</v>
      </c>
      <c r="K173" t="s">
        <v>15</v>
      </c>
      <c r="L173" t="str">
        <f t="shared" si="6"/>
        <v>Missing</v>
      </c>
      <c r="M173">
        <f t="shared" si="7"/>
        <v>1</v>
      </c>
      <c r="N173">
        <f t="shared" si="8"/>
        <v>0</v>
      </c>
    </row>
    <row r="174" spans="1:14" x14ac:dyDescent="0.35">
      <c r="A174" t="s">
        <v>1730</v>
      </c>
      <c r="B174" t="s">
        <v>132</v>
      </c>
      <c r="C174" t="s">
        <v>281</v>
      </c>
      <c r="F174" s="1">
        <v>45009</v>
      </c>
      <c r="G174" s="1">
        <v>45099</v>
      </c>
      <c r="H174" t="s">
        <v>14</v>
      </c>
      <c r="I174" t="s">
        <v>2778</v>
      </c>
      <c r="J174">
        <v>262611</v>
      </c>
      <c r="K174" t="s">
        <v>30</v>
      </c>
      <c r="L174" t="str">
        <f t="shared" si="6"/>
        <v>Available</v>
      </c>
      <c r="M174">
        <f t="shared" si="7"/>
        <v>0</v>
      </c>
      <c r="N174">
        <f t="shared" si="8"/>
        <v>1</v>
      </c>
    </row>
    <row r="175" spans="1:14" x14ac:dyDescent="0.35">
      <c r="A175" t="s">
        <v>1731</v>
      </c>
      <c r="B175" t="s">
        <v>283</v>
      </c>
      <c r="C175" t="s">
        <v>282</v>
      </c>
      <c r="D175">
        <v>24</v>
      </c>
      <c r="E175" t="s">
        <v>13</v>
      </c>
      <c r="F175" s="1">
        <v>44497</v>
      </c>
      <c r="G175" s="1">
        <v>46058</v>
      </c>
      <c r="H175" t="s">
        <v>14</v>
      </c>
      <c r="I175" s="2">
        <v>24496159</v>
      </c>
      <c r="J175">
        <v>261797</v>
      </c>
      <c r="K175" t="s">
        <v>15</v>
      </c>
      <c r="L175" t="str">
        <f t="shared" si="6"/>
        <v>Available</v>
      </c>
      <c r="M175">
        <f t="shared" si="7"/>
        <v>1</v>
      </c>
      <c r="N175">
        <f t="shared" si="8"/>
        <v>1</v>
      </c>
    </row>
    <row r="176" spans="1:14" x14ac:dyDescent="0.35">
      <c r="A176" t="s">
        <v>1732</v>
      </c>
      <c r="B176" t="s">
        <v>285</v>
      </c>
      <c r="C176" t="s">
        <v>284</v>
      </c>
      <c r="D176">
        <v>12.172855</v>
      </c>
      <c r="E176" t="s">
        <v>35</v>
      </c>
      <c r="F176" s="1">
        <v>45797</v>
      </c>
      <c r="G176" s="1">
        <v>46058</v>
      </c>
      <c r="H176" t="s">
        <v>14</v>
      </c>
      <c r="I176" t="s">
        <v>2778</v>
      </c>
      <c r="J176">
        <v>266514</v>
      </c>
      <c r="K176" t="s">
        <v>30</v>
      </c>
      <c r="L176" t="str">
        <f t="shared" si="6"/>
        <v>Available</v>
      </c>
      <c r="M176">
        <f t="shared" si="7"/>
        <v>0</v>
      </c>
      <c r="N176">
        <f t="shared" si="8"/>
        <v>1</v>
      </c>
    </row>
    <row r="177" spans="1:14" x14ac:dyDescent="0.35">
      <c r="A177" t="s">
        <v>1733</v>
      </c>
      <c r="B177" t="s">
        <v>71</v>
      </c>
      <c r="C177" t="s">
        <v>286</v>
      </c>
      <c r="D177">
        <v>26.5</v>
      </c>
      <c r="E177" t="s">
        <v>13</v>
      </c>
      <c r="F177" s="1">
        <v>44497</v>
      </c>
      <c r="G177" s="1">
        <v>46060</v>
      </c>
      <c r="H177" t="s">
        <v>14</v>
      </c>
      <c r="I177" t="s">
        <v>2778</v>
      </c>
      <c r="J177">
        <v>266970</v>
      </c>
      <c r="K177" t="s">
        <v>30</v>
      </c>
      <c r="L177" t="str">
        <f t="shared" si="6"/>
        <v>Available</v>
      </c>
      <c r="M177">
        <f t="shared" si="7"/>
        <v>0</v>
      </c>
      <c r="N177">
        <f t="shared" si="8"/>
        <v>1</v>
      </c>
    </row>
    <row r="178" spans="1:14" x14ac:dyDescent="0.35">
      <c r="A178" t="s">
        <v>1734</v>
      </c>
      <c r="C178" t="s">
        <v>287</v>
      </c>
      <c r="D178">
        <v>24</v>
      </c>
      <c r="E178" t="s">
        <v>13</v>
      </c>
      <c r="F178" s="1">
        <v>45084</v>
      </c>
      <c r="G178" s="1">
        <v>45721</v>
      </c>
      <c r="H178" t="s">
        <v>14</v>
      </c>
      <c r="I178" t="s">
        <v>2778</v>
      </c>
      <c r="J178">
        <v>262042</v>
      </c>
      <c r="K178" t="s">
        <v>30</v>
      </c>
      <c r="L178" t="str">
        <f t="shared" si="6"/>
        <v>Missing</v>
      </c>
      <c r="M178">
        <f t="shared" si="7"/>
        <v>0</v>
      </c>
      <c r="N178">
        <f t="shared" si="8"/>
        <v>0</v>
      </c>
    </row>
    <row r="179" spans="1:14" x14ac:dyDescent="0.35">
      <c r="A179" t="s">
        <v>1735</v>
      </c>
      <c r="C179" t="s">
        <v>288</v>
      </c>
      <c r="D179">
        <v>24</v>
      </c>
      <c r="E179" t="s">
        <v>13</v>
      </c>
      <c r="F179" s="1">
        <v>44497</v>
      </c>
      <c r="G179" s="1">
        <v>46059</v>
      </c>
      <c r="H179" t="s">
        <v>14</v>
      </c>
      <c r="I179" t="s">
        <v>2778</v>
      </c>
      <c r="J179">
        <v>261583</v>
      </c>
      <c r="K179" t="s">
        <v>30</v>
      </c>
      <c r="L179" t="str">
        <f t="shared" si="6"/>
        <v>Missing</v>
      </c>
      <c r="M179">
        <f t="shared" si="7"/>
        <v>0</v>
      </c>
      <c r="N179">
        <f t="shared" si="8"/>
        <v>0</v>
      </c>
    </row>
    <row r="180" spans="1:14" x14ac:dyDescent="0.35">
      <c r="A180" t="s">
        <v>1736</v>
      </c>
      <c r="B180" t="s">
        <v>58</v>
      </c>
      <c r="C180" t="s">
        <v>289</v>
      </c>
      <c r="D180">
        <v>44</v>
      </c>
      <c r="E180" t="s">
        <v>13</v>
      </c>
      <c r="F180" s="1">
        <v>44497</v>
      </c>
      <c r="G180" s="1">
        <v>46059</v>
      </c>
      <c r="H180" t="s">
        <v>14</v>
      </c>
      <c r="I180" s="2">
        <v>98536</v>
      </c>
      <c r="J180">
        <v>266353</v>
      </c>
      <c r="K180" t="s">
        <v>15</v>
      </c>
      <c r="L180" t="str">
        <f t="shared" si="6"/>
        <v>Available</v>
      </c>
      <c r="M180">
        <f t="shared" si="7"/>
        <v>1</v>
      </c>
      <c r="N180">
        <f t="shared" si="8"/>
        <v>1</v>
      </c>
    </row>
    <row r="181" spans="1:14" x14ac:dyDescent="0.35">
      <c r="A181" t="s">
        <v>1737</v>
      </c>
      <c r="B181" t="s">
        <v>291</v>
      </c>
      <c r="C181" t="s">
        <v>290</v>
      </c>
      <c r="D181">
        <v>24</v>
      </c>
      <c r="E181" t="s">
        <v>13</v>
      </c>
      <c r="F181" s="1">
        <v>44497</v>
      </c>
      <c r="G181" s="1">
        <v>46057</v>
      </c>
      <c r="H181" t="s">
        <v>14</v>
      </c>
      <c r="I181" t="s">
        <v>2778</v>
      </c>
      <c r="J181">
        <v>266304</v>
      </c>
      <c r="K181" t="s">
        <v>30</v>
      </c>
      <c r="L181" t="str">
        <f t="shared" si="6"/>
        <v>Available</v>
      </c>
      <c r="M181">
        <f t="shared" si="7"/>
        <v>0</v>
      </c>
      <c r="N181">
        <f t="shared" si="8"/>
        <v>1</v>
      </c>
    </row>
    <row r="182" spans="1:14" x14ac:dyDescent="0.35">
      <c r="A182" t="s">
        <v>1738</v>
      </c>
      <c r="B182" t="s">
        <v>293</v>
      </c>
      <c r="C182" t="s">
        <v>292</v>
      </c>
      <c r="D182">
        <v>20.5</v>
      </c>
      <c r="E182" t="s">
        <v>13</v>
      </c>
      <c r="F182" s="1">
        <v>44497</v>
      </c>
      <c r="G182" s="1">
        <v>46059</v>
      </c>
      <c r="H182" t="s">
        <v>14</v>
      </c>
      <c r="I182" s="2">
        <v>260901</v>
      </c>
      <c r="J182">
        <v>264439</v>
      </c>
      <c r="K182" t="s">
        <v>15</v>
      </c>
      <c r="L182" t="str">
        <f t="shared" si="6"/>
        <v>Available</v>
      </c>
      <c r="M182">
        <f t="shared" si="7"/>
        <v>1</v>
      </c>
      <c r="N182">
        <f t="shared" si="8"/>
        <v>1</v>
      </c>
    </row>
    <row r="183" spans="1:14" x14ac:dyDescent="0.35">
      <c r="A183" t="s">
        <v>1739</v>
      </c>
      <c r="B183" t="s">
        <v>34</v>
      </c>
      <c r="C183" t="s">
        <v>294</v>
      </c>
      <c r="D183">
        <v>21.911138000000001</v>
      </c>
      <c r="E183" t="s">
        <v>35</v>
      </c>
      <c r="F183" s="1">
        <v>44497</v>
      </c>
      <c r="G183" s="1">
        <v>46058</v>
      </c>
      <c r="H183" t="s">
        <v>14</v>
      </c>
      <c r="I183" t="s">
        <v>2778</v>
      </c>
      <c r="J183">
        <v>261592</v>
      </c>
      <c r="K183" t="s">
        <v>30</v>
      </c>
      <c r="L183" t="str">
        <f t="shared" si="6"/>
        <v>Available</v>
      </c>
      <c r="M183">
        <f t="shared" si="7"/>
        <v>0</v>
      </c>
      <c r="N183">
        <f t="shared" si="8"/>
        <v>1</v>
      </c>
    </row>
    <row r="184" spans="1:14" x14ac:dyDescent="0.35">
      <c r="A184" t="s">
        <v>1740</v>
      </c>
      <c r="B184" t="s">
        <v>296</v>
      </c>
      <c r="C184" t="s">
        <v>295</v>
      </c>
      <c r="D184">
        <v>24</v>
      </c>
      <c r="E184" t="s">
        <v>13</v>
      </c>
      <c r="F184" s="1">
        <v>44497</v>
      </c>
      <c r="G184" s="1">
        <v>46057</v>
      </c>
      <c r="H184" t="s">
        <v>14</v>
      </c>
      <c r="I184" s="2">
        <v>27976721</v>
      </c>
      <c r="J184">
        <v>264292</v>
      </c>
      <c r="K184" t="s">
        <v>15</v>
      </c>
      <c r="L184" t="str">
        <f t="shared" si="6"/>
        <v>Available</v>
      </c>
      <c r="M184">
        <f t="shared" si="7"/>
        <v>1</v>
      </c>
      <c r="N184">
        <f t="shared" si="8"/>
        <v>1</v>
      </c>
    </row>
    <row r="185" spans="1:14" x14ac:dyDescent="0.35">
      <c r="A185" t="s">
        <v>1741</v>
      </c>
      <c r="B185" t="s">
        <v>112</v>
      </c>
      <c r="C185" t="s">
        <v>297</v>
      </c>
      <c r="D185">
        <v>25.5</v>
      </c>
      <c r="E185" t="s">
        <v>13</v>
      </c>
      <c r="F185" s="1">
        <v>44497</v>
      </c>
      <c r="G185" s="1">
        <v>46059</v>
      </c>
      <c r="H185" t="s">
        <v>14</v>
      </c>
      <c r="I185" s="2">
        <v>24836</v>
      </c>
      <c r="J185">
        <v>264039</v>
      </c>
      <c r="K185" t="s">
        <v>15</v>
      </c>
      <c r="L185" t="str">
        <f t="shared" si="6"/>
        <v>Available</v>
      </c>
      <c r="M185">
        <f t="shared" si="7"/>
        <v>1</v>
      </c>
      <c r="N185">
        <f t="shared" si="8"/>
        <v>1</v>
      </c>
    </row>
    <row r="186" spans="1:14" x14ac:dyDescent="0.35">
      <c r="A186" t="s">
        <v>1742</v>
      </c>
      <c r="B186" t="s">
        <v>299</v>
      </c>
      <c r="C186" t="s">
        <v>298</v>
      </c>
      <c r="D186">
        <v>16</v>
      </c>
      <c r="E186" t="s">
        <v>13</v>
      </c>
      <c r="F186" s="1">
        <v>44497</v>
      </c>
      <c r="G186" s="1">
        <v>46057</v>
      </c>
      <c r="H186" t="s">
        <v>14</v>
      </c>
      <c r="I186" s="2">
        <v>243574</v>
      </c>
      <c r="J186">
        <v>264451</v>
      </c>
      <c r="K186" t="s">
        <v>15</v>
      </c>
      <c r="L186" t="str">
        <f t="shared" si="6"/>
        <v>Available</v>
      </c>
      <c r="M186">
        <f t="shared" si="7"/>
        <v>1</v>
      </c>
      <c r="N186">
        <f t="shared" si="8"/>
        <v>1</v>
      </c>
    </row>
    <row r="187" spans="1:14" x14ac:dyDescent="0.35">
      <c r="A187" t="s">
        <v>1743</v>
      </c>
      <c r="B187" t="s">
        <v>152</v>
      </c>
      <c r="C187" t="s">
        <v>300</v>
      </c>
      <c r="D187">
        <v>24.3</v>
      </c>
      <c r="E187" t="s">
        <v>13</v>
      </c>
      <c r="F187" s="1">
        <v>44497</v>
      </c>
      <c r="G187" s="1">
        <v>46057</v>
      </c>
      <c r="H187" t="s">
        <v>14</v>
      </c>
      <c r="I187" t="s">
        <v>2778</v>
      </c>
      <c r="J187">
        <v>266333</v>
      </c>
      <c r="K187" t="s">
        <v>30</v>
      </c>
      <c r="L187" t="str">
        <f t="shared" si="6"/>
        <v>Available</v>
      </c>
      <c r="M187">
        <f t="shared" si="7"/>
        <v>0</v>
      </c>
      <c r="N187">
        <f t="shared" si="8"/>
        <v>1</v>
      </c>
    </row>
    <row r="188" spans="1:14" x14ac:dyDescent="0.35">
      <c r="A188" t="s">
        <v>1744</v>
      </c>
      <c r="B188" t="s">
        <v>302</v>
      </c>
      <c r="C188" t="s">
        <v>301</v>
      </c>
      <c r="D188">
        <v>24</v>
      </c>
      <c r="E188" t="s">
        <v>13</v>
      </c>
      <c r="F188" s="1">
        <v>44500</v>
      </c>
      <c r="G188" s="1">
        <v>46057</v>
      </c>
      <c r="H188" t="s">
        <v>14</v>
      </c>
      <c r="I188" s="2">
        <v>19953888</v>
      </c>
      <c r="J188">
        <v>261605</v>
      </c>
      <c r="K188" t="s">
        <v>15</v>
      </c>
      <c r="L188" t="str">
        <f t="shared" si="6"/>
        <v>Available</v>
      </c>
      <c r="M188">
        <f t="shared" si="7"/>
        <v>1</v>
      </c>
      <c r="N188">
        <f t="shared" si="8"/>
        <v>1</v>
      </c>
    </row>
    <row r="189" spans="1:14" x14ac:dyDescent="0.35">
      <c r="A189" t="s">
        <v>1745</v>
      </c>
      <c r="B189" t="s">
        <v>186</v>
      </c>
      <c r="C189" t="s">
        <v>303</v>
      </c>
      <c r="D189">
        <v>24</v>
      </c>
      <c r="E189" t="s">
        <v>13</v>
      </c>
      <c r="F189" s="1">
        <v>44497</v>
      </c>
      <c r="G189" s="1">
        <v>46059</v>
      </c>
      <c r="H189" t="s">
        <v>14</v>
      </c>
      <c r="I189" s="2">
        <v>3134590</v>
      </c>
      <c r="J189">
        <v>266316</v>
      </c>
      <c r="K189" t="s">
        <v>15</v>
      </c>
      <c r="L189" t="str">
        <f t="shared" si="6"/>
        <v>Available</v>
      </c>
      <c r="M189">
        <f t="shared" si="7"/>
        <v>1</v>
      </c>
      <c r="N189">
        <f t="shared" si="8"/>
        <v>1</v>
      </c>
    </row>
    <row r="190" spans="1:14" x14ac:dyDescent="0.35">
      <c r="A190" t="s">
        <v>1746</v>
      </c>
      <c r="B190" t="s">
        <v>242</v>
      </c>
      <c r="C190" t="s">
        <v>304</v>
      </c>
      <c r="D190">
        <v>16</v>
      </c>
      <c r="E190" t="s">
        <v>13</v>
      </c>
      <c r="F190" s="1">
        <v>44500</v>
      </c>
      <c r="G190" s="1">
        <v>46059</v>
      </c>
      <c r="H190" t="s">
        <v>14</v>
      </c>
      <c r="I190" s="2">
        <v>228597</v>
      </c>
      <c r="J190">
        <v>264278</v>
      </c>
      <c r="K190" t="s">
        <v>15</v>
      </c>
      <c r="L190" t="str">
        <f t="shared" si="6"/>
        <v>Available</v>
      </c>
      <c r="M190">
        <f t="shared" si="7"/>
        <v>1</v>
      </c>
      <c r="N190">
        <f t="shared" si="8"/>
        <v>1</v>
      </c>
    </row>
    <row r="191" spans="1:14" x14ac:dyDescent="0.35">
      <c r="A191" t="s">
        <v>1747</v>
      </c>
      <c r="B191" t="s">
        <v>175</v>
      </c>
      <c r="C191" t="s">
        <v>305</v>
      </c>
      <c r="D191">
        <v>7.1</v>
      </c>
      <c r="E191" t="s">
        <v>13</v>
      </c>
      <c r="F191" s="1">
        <v>44502</v>
      </c>
      <c r="G191" s="1">
        <v>46059</v>
      </c>
      <c r="H191" t="s">
        <v>14</v>
      </c>
      <c r="I191" s="2">
        <v>25352145</v>
      </c>
      <c r="J191">
        <v>262547</v>
      </c>
      <c r="K191" t="s">
        <v>15</v>
      </c>
      <c r="L191" t="str">
        <f t="shared" si="6"/>
        <v>Available</v>
      </c>
      <c r="M191">
        <f t="shared" si="7"/>
        <v>1</v>
      </c>
      <c r="N191">
        <f t="shared" si="8"/>
        <v>1</v>
      </c>
    </row>
    <row r="192" spans="1:14" x14ac:dyDescent="0.35">
      <c r="A192" t="s">
        <v>1748</v>
      </c>
      <c r="B192" t="s">
        <v>58</v>
      </c>
      <c r="C192" t="s">
        <v>306</v>
      </c>
      <c r="D192">
        <v>21.978764999999999</v>
      </c>
      <c r="E192" t="s">
        <v>35</v>
      </c>
      <c r="F192" s="1">
        <v>44497</v>
      </c>
      <c r="G192" s="1">
        <v>45785</v>
      </c>
      <c r="H192" t="s">
        <v>14</v>
      </c>
      <c r="I192" t="s">
        <v>2778</v>
      </c>
      <c r="J192">
        <v>266345</v>
      </c>
      <c r="K192" t="s">
        <v>30</v>
      </c>
      <c r="L192" t="str">
        <f t="shared" si="6"/>
        <v>Available</v>
      </c>
      <c r="M192">
        <f t="shared" si="7"/>
        <v>0</v>
      </c>
      <c r="N192">
        <f t="shared" si="8"/>
        <v>1</v>
      </c>
    </row>
    <row r="193" spans="1:14" x14ac:dyDescent="0.35">
      <c r="A193" t="s">
        <v>1749</v>
      </c>
      <c r="B193" t="s">
        <v>238</v>
      </c>
      <c r="C193" t="s">
        <v>307</v>
      </c>
      <c r="D193">
        <v>26</v>
      </c>
      <c r="E193" t="s">
        <v>13</v>
      </c>
      <c r="F193" s="1">
        <v>44497</v>
      </c>
      <c r="G193" s="1">
        <v>46059</v>
      </c>
      <c r="H193" t="s">
        <v>14</v>
      </c>
      <c r="I193" s="2">
        <v>16991191</v>
      </c>
      <c r="J193">
        <v>261838</v>
      </c>
      <c r="K193" t="s">
        <v>15</v>
      </c>
      <c r="L193" t="str">
        <f t="shared" si="6"/>
        <v>Available</v>
      </c>
      <c r="M193">
        <f t="shared" si="7"/>
        <v>1</v>
      </c>
      <c r="N193">
        <f t="shared" si="8"/>
        <v>1</v>
      </c>
    </row>
    <row r="194" spans="1:14" x14ac:dyDescent="0.35">
      <c r="A194" t="s">
        <v>1750</v>
      </c>
      <c r="B194" t="s">
        <v>123</v>
      </c>
      <c r="C194" t="s">
        <v>308</v>
      </c>
      <c r="D194">
        <v>24</v>
      </c>
      <c r="E194" t="s">
        <v>13</v>
      </c>
      <c r="F194" s="1">
        <v>44497</v>
      </c>
      <c r="G194" s="1">
        <v>46060</v>
      </c>
      <c r="H194" t="s">
        <v>14</v>
      </c>
      <c r="I194" s="2">
        <v>36251</v>
      </c>
      <c r="J194">
        <v>267008</v>
      </c>
      <c r="K194" t="s">
        <v>15</v>
      </c>
      <c r="L194" t="str">
        <f t="shared" si="6"/>
        <v>Available</v>
      </c>
      <c r="M194">
        <f t="shared" si="7"/>
        <v>1</v>
      </c>
      <c r="N194">
        <f t="shared" si="8"/>
        <v>1</v>
      </c>
    </row>
    <row r="195" spans="1:14" x14ac:dyDescent="0.35">
      <c r="A195" t="s">
        <v>1751</v>
      </c>
      <c r="B195" t="s">
        <v>310</v>
      </c>
      <c r="C195" t="s">
        <v>309</v>
      </c>
      <c r="F195" s="1">
        <v>44501</v>
      </c>
      <c r="G195" s="1">
        <v>46059</v>
      </c>
      <c r="H195" t="s">
        <v>14</v>
      </c>
      <c r="I195" t="s">
        <v>2778</v>
      </c>
      <c r="J195">
        <v>264064</v>
      </c>
      <c r="K195" t="s">
        <v>30</v>
      </c>
      <c r="L195" t="str">
        <f t="shared" ref="L195:L258" si="9">IF(OR(B195="",ISBLANK(B195)),"Missing","Available")</f>
        <v>Available</v>
      </c>
      <c r="M195">
        <f t="shared" ref="M195:M258" si="10">IF(K195="Mapped",1,0)</f>
        <v>0</v>
      </c>
      <c r="N195">
        <f t="shared" ref="N195:N258" si="11">IF(AND(B195&lt;&gt;"",A195&lt;&gt;""),1,0)</f>
        <v>1</v>
      </c>
    </row>
    <row r="196" spans="1:14" x14ac:dyDescent="0.35">
      <c r="A196" t="s">
        <v>1752</v>
      </c>
      <c r="B196" t="s">
        <v>312</v>
      </c>
      <c r="C196" t="s">
        <v>311</v>
      </c>
      <c r="D196">
        <v>16</v>
      </c>
      <c r="E196" t="s">
        <v>13</v>
      </c>
      <c r="F196" s="1">
        <v>44497</v>
      </c>
      <c r="G196" s="1">
        <v>46059</v>
      </c>
      <c r="H196" t="s">
        <v>14</v>
      </c>
      <c r="I196" s="2">
        <v>1409099</v>
      </c>
      <c r="J196">
        <v>264475</v>
      </c>
      <c r="K196" t="s">
        <v>15</v>
      </c>
      <c r="L196" t="str">
        <f t="shared" si="9"/>
        <v>Available</v>
      </c>
      <c r="M196">
        <f t="shared" si="10"/>
        <v>1</v>
      </c>
      <c r="N196">
        <f t="shared" si="11"/>
        <v>1</v>
      </c>
    </row>
    <row r="197" spans="1:14" x14ac:dyDescent="0.35">
      <c r="A197" t="s">
        <v>1753</v>
      </c>
      <c r="B197" t="s">
        <v>314</v>
      </c>
      <c r="C197" t="s">
        <v>313</v>
      </c>
      <c r="D197">
        <v>24</v>
      </c>
      <c r="E197" t="s">
        <v>13</v>
      </c>
      <c r="F197" s="1">
        <v>45680</v>
      </c>
      <c r="G197" s="1">
        <v>46057</v>
      </c>
      <c r="H197" t="s">
        <v>14</v>
      </c>
      <c r="I197" s="2">
        <v>28235195</v>
      </c>
      <c r="J197">
        <v>266876</v>
      </c>
      <c r="K197" t="s">
        <v>15</v>
      </c>
      <c r="L197" t="str">
        <f t="shared" si="9"/>
        <v>Available</v>
      </c>
      <c r="M197">
        <f t="shared" si="10"/>
        <v>1</v>
      </c>
      <c r="N197">
        <f t="shared" si="11"/>
        <v>1</v>
      </c>
    </row>
    <row r="198" spans="1:14" x14ac:dyDescent="0.35">
      <c r="A198" t="s">
        <v>1754</v>
      </c>
      <c r="B198" t="s">
        <v>316</v>
      </c>
      <c r="C198" t="s">
        <v>315</v>
      </c>
      <c r="D198">
        <v>16.5</v>
      </c>
      <c r="E198" t="s">
        <v>13</v>
      </c>
      <c r="F198" s="1">
        <v>45141</v>
      </c>
      <c r="G198" s="1">
        <v>46059</v>
      </c>
      <c r="H198" t="s">
        <v>14</v>
      </c>
      <c r="I198" t="s">
        <v>2778</v>
      </c>
      <c r="J198">
        <v>266423</v>
      </c>
      <c r="K198" t="s">
        <v>30</v>
      </c>
      <c r="L198" t="str">
        <f t="shared" si="9"/>
        <v>Available</v>
      </c>
      <c r="M198">
        <f t="shared" si="10"/>
        <v>0</v>
      </c>
      <c r="N198">
        <f t="shared" si="11"/>
        <v>1</v>
      </c>
    </row>
    <row r="199" spans="1:14" x14ac:dyDescent="0.35">
      <c r="A199" t="s">
        <v>1755</v>
      </c>
      <c r="B199" t="s">
        <v>318</v>
      </c>
      <c r="C199" t="s">
        <v>317</v>
      </c>
      <c r="D199">
        <v>24</v>
      </c>
      <c r="E199" t="s">
        <v>13</v>
      </c>
      <c r="F199" s="1">
        <v>44497</v>
      </c>
      <c r="G199" s="1">
        <v>46059</v>
      </c>
      <c r="H199" t="s">
        <v>14</v>
      </c>
      <c r="I199" t="s">
        <v>2778</v>
      </c>
      <c r="J199">
        <v>264419</v>
      </c>
      <c r="K199" t="s">
        <v>30</v>
      </c>
      <c r="L199" t="str">
        <f t="shared" si="9"/>
        <v>Available</v>
      </c>
      <c r="M199">
        <f t="shared" si="10"/>
        <v>0</v>
      </c>
      <c r="N199">
        <f t="shared" si="11"/>
        <v>1</v>
      </c>
    </row>
    <row r="200" spans="1:14" x14ac:dyDescent="0.35">
      <c r="A200" t="s">
        <v>1756</v>
      </c>
      <c r="B200" t="s">
        <v>27</v>
      </c>
      <c r="C200" t="s">
        <v>319</v>
      </c>
      <c r="D200">
        <v>24</v>
      </c>
      <c r="E200" t="s">
        <v>13</v>
      </c>
      <c r="F200" s="1">
        <v>44497</v>
      </c>
      <c r="G200" s="1">
        <v>46060</v>
      </c>
      <c r="H200" t="s">
        <v>14</v>
      </c>
      <c r="I200" s="2">
        <v>16409122</v>
      </c>
      <c r="J200">
        <v>264087</v>
      </c>
      <c r="K200" t="s">
        <v>15</v>
      </c>
      <c r="L200" t="str">
        <f t="shared" si="9"/>
        <v>Available</v>
      </c>
      <c r="M200">
        <f t="shared" si="10"/>
        <v>1</v>
      </c>
      <c r="N200">
        <f t="shared" si="11"/>
        <v>1</v>
      </c>
    </row>
    <row r="201" spans="1:14" x14ac:dyDescent="0.35">
      <c r="A201" t="s">
        <v>1757</v>
      </c>
      <c r="B201" t="s">
        <v>152</v>
      </c>
      <c r="C201" t="s">
        <v>320</v>
      </c>
      <c r="D201">
        <v>26</v>
      </c>
      <c r="E201" t="s">
        <v>13</v>
      </c>
      <c r="F201" s="1">
        <v>44497</v>
      </c>
      <c r="G201" s="1">
        <v>46057</v>
      </c>
      <c r="H201" t="s">
        <v>14</v>
      </c>
      <c r="I201" s="2">
        <v>17617978</v>
      </c>
      <c r="J201">
        <v>261840</v>
      </c>
      <c r="K201" t="s">
        <v>15</v>
      </c>
      <c r="L201" t="str">
        <f t="shared" si="9"/>
        <v>Available</v>
      </c>
      <c r="M201">
        <f t="shared" si="10"/>
        <v>1</v>
      </c>
      <c r="N201">
        <f t="shared" si="11"/>
        <v>1</v>
      </c>
    </row>
    <row r="202" spans="1:14" x14ac:dyDescent="0.35">
      <c r="A202" t="s">
        <v>1758</v>
      </c>
      <c r="B202" t="s">
        <v>322</v>
      </c>
      <c r="C202" t="s">
        <v>321</v>
      </c>
      <c r="D202">
        <v>21.978764999999999</v>
      </c>
      <c r="E202" t="s">
        <v>35</v>
      </c>
      <c r="F202" s="1">
        <v>44497</v>
      </c>
      <c r="G202" s="1">
        <v>45613</v>
      </c>
      <c r="H202" t="s">
        <v>14</v>
      </c>
      <c r="I202" t="s">
        <v>2778</v>
      </c>
      <c r="J202">
        <v>264703</v>
      </c>
      <c r="K202" t="s">
        <v>30</v>
      </c>
      <c r="L202" t="str">
        <f t="shared" si="9"/>
        <v>Available</v>
      </c>
      <c r="M202">
        <f t="shared" si="10"/>
        <v>0</v>
      </c>
      <c r="N202">
        <f t="shared" si="11"/>
        <v>1</v>
      </c>
    </row>
    <row r="203" spans="1:14" x14ac:dyDescent="0.35">
      <c r="A203" t="s">
        <v>1759</v>
      </c>
      <c r="B203" t="s">
        <v>220</v>
      </c>
      <c r="C203" t="s">
        <v>323</v>
      </c>
      <c r="D203">
        <v>24</v>
      </c>
      <c r="E203" t="s">
        <v>13</v>
      </c>
      <c r="F203" s="1">
        <v>44500</v>
      </c>
      <c r="G203" s="1">
        <v>46054</v>
      </c>
      <c r="H203" t="s">
        <v>14</v>
      </c>
      <c r="I203" s="2">
        <v>110845</v>
      </c>
      <c r="J203">
        <v>264336</v>
      </c>
      <c r="K203" t="s">
        <v>15</v>
      </c>
      <c r="L203" t="str">
        <f t="shared" si="9"/>
        <v>Available</v>
      </c>
      <c r="M203">
        <f t="shared" si="10"/>
        <v>1</v>
      </c>
      <c r="N203">
        <f t="shared" si="11"/>
        <v>1</v>
      </c>
    </row>
    <row r="204" spans="1:14" x14ac:dyDescent="0.35">
      <c r="A204" t="s">
        <v>1760</v>
      </c>
      <c r="B204" t="s">
        <v>147</v>
      </c>
      <c r="C204" t="s">
        <v>324</v>
      </c>
      <c r="D204">
        <v>32</v>
      </c>
      <c r="E204" t="s">
        <v>35</v>
      </c>
      <c r="F204" s="1">
        <v>45159</v>
      </c>
      <c r="G204" s="1">
        <v>46059</v>
      </c>
      <c r="H204" t="s">
        <v>14</v>
      </c>
      <c r="I204" s="2">
        <v>31577329</v>
      </c>
      <c r="J204">
        <v>266286</v>
      </c>
      <c r="K204" t="s">
        <v>15</v>
      </c>
      <c r="L204" t="str">
        <f t="shared" si="9"/>
        <v>Available</v>
      </c>
      <c r="M204">
        <f t="shared" si="10"/>
        <v>1</v>
      </c>
      <c r="N204">
        <f t="shared" si="11"/>
        <v>1</v>
      </c>
    </row>
    <row r="205" spans="1:14" x14ac:dyDescent="0.35">
      <c r="A205" t="s">
        <v>1761</v>
      </c>
      <c r="B205" t="s">
        <v>203</v>
      </c>
      <c r="C205" t="s">
        <v>325</v>
      </c>
      <c r="D205">
        <v>16</v>
      </c>
      <c r="E205" t="s">
        <v>13</v>
      </c>
      <c r="F205" s="1">
        <v>44944</v>
      </c>
      <c r="G205" s="1">
        <v>46059</v>
      </c>
      <c r="H205" t="s">
        <v>14</v>
      </c>
      <c r="I205" s="2">
        <v>26633780</v>
      </c>
      <c r="J205">
        <v>261734</v>
      </c>
      <c r="K205" t="s">
        <v>15</v>
      </c>
      <c r="L205" t="str">
        <f t="shared" si="9"/>
        <v>Available</v>
      </c>
      <c r="M205">
        <f t="shared" si="10"/>
        <v>1</v>
      </c>
      <c r="N205">
        <f t="shared" si="11"/>
        <v>1</v>
      </c>
    </row>
    <row r="206" spans="1:14" x14ac:dyDescent="0.35">
      <c r="A206" t="s">
        <v>1762</v>
      </c>
      <c r="B206" t="s">
        <v>86</v>
      </c>
      <c r="C206" t="s">
        <v>326</v>
      </c>
      <c r="D206">
        <v>28</v>
      </c>
      <c r="E206" t="s">
        <v>13</v>
      </c>
      <c r="F206" s="1">
        <v>44497</v>
      </c>
      <c r="G206" s="1">
        <v>46060</v>
      </c>
      <c r="H206" t="s">
        <v>14</v>
      </c>
      <c r="I206" s="2">
        <v>70095</v>
      </c>
      <c r="J206">
        <v>262642</v>
      </c>
      <c r="K206" t="s">
        <v>15</v>
      </c>
      <c r="L206" t="str">
        <f t="shared" si="9"/>
        <v>Available</v>
      </c>
      <c r="M206">
        <f t="shared" si="10"/>
        <v>1</v>
      </c>
      <c r="N206">
        <f t="shared" si="11"/>
        <v>1</v>
      </c>
    </row>
    <row r="207" spans="1:14" x14ac:dyDescent="0.35">
      <c r="A207" t="s">
        <v>1763</v>
      </c>
      <c r="B207" t="s">
        <v>91</v>
      </c>
      <c r="C207" t="s">
        <v>327</v>
      </c>
      <c r="D207">
        <v>32</v>
      </c>
      <c r="E207" t="s">
        <v>13</v>
      </c>
      <c r="F207" s="1">
        <v>44497</v>
      </c>
      <c r="G207" s="1">
        <v>46057</v>
      </c>
      <c r="H207" t="s">
        <v>14</v>
      </c>
      <c r="I207" t="s">
        <v>2778</v>
      </c>
      <c r="J207">
        <v>264356</v>
      </c>
      <c r="K207" t="s">
        <v>30</v>
      </c>
      <c r="L207" t="str">
        <f t="shared" si="9"/>
        <v>Available</v>
      </c>
      <c r="M207">
        <f t="shared" si="10"/>
        <v>0</v>
      </c>
      <c r="N207">
        <f t="shared" si="11"/>
        <v>1</v>
      </c>
    </row>
    <row r="208" spans="1:14" x14ac:dyDescent="0.35">
      <c r="A208" t="s">
        <v>1764</v>
      </c>
      <c r="B208" t="s">
        <v>137</v>
      </c>
      <c r="C208" t="s">
        <v>328</v>
      </c>
      <c r="D208">
        <v>21.2</v>
      </c>
      <c r="E208" t="s">
        <v>13</v>
      </c>
      <c r="F208" s="1">
        <v>44538</v>
      </c>
      <c r="G208" s="1">
        <v>46058</v>
      </c>
      <c r="H208" t="s">
        <v>14</v>
      </c>
      <c r="I208" s="2">
        <v>26251381</v>
      </c>
      <c r="J208">
        <v>264129</v>
      </c>
      <c r="K208" t="s">
        <v>15</v>
      </c>
      <c r="L208" t="str">
        <f t="shared" si="9"/>
        <v>Available</v>
      </c>
      <c r="M208">
        <f t="shared" si="10"/>
        <v>1</v>
      </c>
      <c r="N208">
        <f t="shared" si="11"/>
        <v>1</v>
      </c>
    </row>
    <row r="209" spans="1:14" x14ac:dyDescent="0.35">
      <c r="A209" t="s">
        <v>1765</v>
      </c>
      <c r="B209" t="s">
        <v>330</v>
      </c>
      <c r="C209" t="s">
        <v>329</v>
      </c>
      <c r="D209">
        <v>19.399999999999999</v>
      </c>
      <c r="E209" t="s">
        <v>13</v>
      </c>
      <c r="F209" s="1">
        <v>45679</v>
      </c>
      <c r="G209" s="1">
        <v>46059</v>
      </c>
      <c r="H209" t="s">
        <v>14</v>
      </c>
      <c r="I209" s="2">
        <v>59114020</v>
      </c>
      <c r="J209">
        <v>266931</v>
      </c>
      <c r="K209" t="s">
        <v>15</v>
      </c>
      <c r="L209" t="str">
        <f t="shared" si="9"/>
        <v>Available</v>
      </c>
      <c r="M209">
        <f t="shared" si="10"/>
        <v>1</v>
      </c>
      <c r="N209">
        <f t="shared" si="11"/>
        <v>1</v>
      </c>
    </row>
    <row r="210" spans="1:14" x14ac:dyDescent="0.35">
      <c r="A210" t="s">
        <v>1766</v>
      </c>
      <c r="B210" t="s">
        <v>121</v>
      </c>
      <c r="C210" t="s">
        <v>331</v>
      </c>
      <c r="D210">
        <v>24</v>
      </c>
      <c r="E210" t="s">
        <v>13</v>
      </c>
      <c r="F210" s="1">
        <v>44497</v>
      </c>
      <c r="G210" s="1">
        <v>46059</v>
      </c>
      <c r="H210" t="s">
        <v>14</v>
      </c>
      <c r="I210" s="2">
        <v>2003474</v>
      </c>
      <c r="J210">
        <v>267028</v>
      </c>
      <c r="K210" t="s">
        <v>15</v>
      </c>
      <c r="L210" t="str">
        <f t="shared" si="9"/>
        <v>Available</v>
      </c>
      <c r="M210">
        <f t="shared" si="10"/>
        <v>1</v>
      </c>
      <c r="N210">
        <f t="shared" si="11"/>
        <v>1</v>
      </c>
    </row>
    <row r="211" spans="1:14" x14ac:dyDescent="0.35">
      <c r="A211" t="s">
        <v>1767</v>
      </c>
      <c r="B211" t="s">
        <v>238</v>
      </c>
      <c r="C211" t="s">
        <v>332</v>
      </c>
      <c r="D211">
        <v>24</v>
      </c>
      <c r="E211" t="s">
        <v>13</v>
      </c>
      <c r="F211" s="1">
        <v>44497</v>
      </c>
      <c r="G211" s="1">
        <v>46059</v>
      </c>
      <c r="H211" t="s">
        <v>14</v>
      </c>
      <c r="I211" s="2">
        <v>16246254</v>
      </c>
      <c r="J211">
        <v>264225</v>
      </c>
      <c r="K211" t="s">
        <v>15</v>
      </c>
      <c r="L211" t="str">
        <f t="shared" si="9"/>
        <v>Available</v>
      </c>
      <c r="M211">
        <f t="shared" si="10"/>
        <v>1</v>
      </c>
      <c r="N211">
        <f t="shared" si="11"/>
        <v>1</v>
      </c>
    </row>
    <row r="212" spans="1:14" x14ac:dyDescent="0.35">
      <c r="A212" t="s">
        <v>1768</v>
      </c>
      <c r="B212" t="s">
        <v>334</v>
      </c>
      <c r="C212" t="s">
        <v>333</v>
      </c>
      <c r="D212">
        <v>16.8</v>
      </c>
      <c r="E212" t="s">
        <v>13</v>
      </c>
      <c r="F212" s="1">
        <v>44497</v>
      </c>
      <c r="G212" s="1">
        <v>46059</v>
      </c>
      <c r="H212" t="s">
        <v>14</v>
      </c>
      <c r="I212" s="2">
        <v>137063</v>
      </c>
      <c r="J212">
        <v>264690</v>
      </c>
      <c r="K212" t="s">
        <v>15</v>
      </c>
      <c r="L212" t="str">
        <f t="shared" si="9"/>
        <v>Available</v>
      </c>
      <c r="M212">
        <f t="shared" si="10"/>
        <v>1</v>
      </c>
      <c r="N212">
        <f t="shared" si="11"/>
        <v>1</v>
      </c>
    </row>
    <row r="213" spans="1:14" x14ac:dyDescent="0.35">
      <c r="A213" t="s">
        <v>1769</v>
      </c>
      <c r="B213" t="s">
        <v>336</v>
      </c>
      <c r="C213" t="s">
        <v>335</v>
      </c>
      <c r="D213">
        <v>25</v>
      </c>
      <c r="E213" t="s">
        <v>13</v>
      </c>
      <c r="F213" s="1">
        <v>44497</v>
      </c>
      <c r="G213" s="1">
        <v>46059</v>
      </c>
      <c r="H213" t="s">
        <v>14</v>
      </c>
      <c r="I213" s="2">
        <v>98545</v>
      </c>
      <c r="J213">
        <v>266380</v>
      </c>
      <c r="K213" t="s">
        <v>15</v>
      </c>
      <c r="L213" t="str">
        <f t="shared" si="9"/>
        <v>Available</v>
      </c>
      <c r="M213">
        <f t="shared" si="10"/>
        <v>1</v>
      </c>
      <c r="N213">
        <f t="shared" si="11"/>
        <v>1</v>
      </c>
    </row>
    <row r="214" spans="1:14" x14ac:dyDescent="0.35">
      <c r="A214" t="s">
        <v>1770</v>
      </c>
      <c r="B214" t="s">
        <v>338</v>
      </c>
      <c r="C214" t="s">
        <v>337</v>
      </c>
      <c r="D214">
        <v>20</v>
      </c>
      <c r="E214" t="s">
        <v>13</v>
      </c>
      <c r="F214" s="1">
        <v>45102</v>
      </c>
      <c r="G214" s="1">
        <v>46058</v>
      </c>
      <c r="H214" t="s">
        <v>14</v>
      </c>
      <c r="I214" s="2">
        <v>31998848</v>
      </c>
      <c r="J214">
        <v>261527</v>
      </c>
      <c r="K214" t="s">
        <v>15</v>
      </c>
      <c r="L214" t="str">
        <f t="shared" si="9"/>
        <v>Available</v>
      </c>
      <c r="M214">
        <f t="shared" si="10"/>
        <v>1</v>
      </c>
      <c r="N214">
        <f t="shared" si="11"/>
        <v>1</v>
      </c>
    </row>
    <row r="215" spans="1:14" x14ac:dyDescent="0.35">
      <c r="A215" t="s">
        <v>1771</v>
      </c>
      <c r="B215" t="s">
        <v>47</v>
      </c>
      <c r="C215" t="s">
        <v>339</v>
      </c>
      <c r="D215">
        <v>24</v>
      </c>
      <c r="E215" t="s">
        <v>13</v>
      </c>
      <c r="F215" s="1">
        <v>44497</v>
      </c>
      <c r="G215" s="1">
        <v>46060</v>
      </c>
      <c r="H215" t="s">
        <v>14</v>
      </c>
      <c r="I215" s="2">
        <v>123550</v>
      </c>
      <c r="J215">
        <v>266430</v>
      </c>
      <c r="K215" t="s">
        <v>15</v>
      </c>
      <c r="L215" t="str">
        <f t="shared" si="9"/>
        <v>Available</v>
      </c>
      <c r="M215">
        <f t="shared" si="10"/>
        <v>1</v>
      </c>
      <c r="N215">
        <f t="shared" si="11"/>
        <v>1</v>
      </c>
    </row>
    <row r="216" spans="1:14" x14ac:dyDescent="0.35">
      <c r="A216" t="s">
        <v>1772</v>
      </c>
      <c r="B216" t="s">
        <v>147</v>
      </c>
      <c r="C216" t="s">
        <v>340</v>
      </c>
      <c r="D216">
        <v>24</v>
      </c>
      <c r="E216" t="s">
        <v>13</v>
      </c>
      <c r="F216" s="1">
        <v>44497</v>
      </c>
      <c r="G216" s="1">
        <v>46059</v>
      </c>
      <c r="H216" t="s">
        <v>14</v>
      </c>
      <c r="I216" s="2">
        <v>23898034</v>
      </c>
      <c r="J216">
        <v>261888</v>
      </c>
      <c r="K216" t="s">
        <v>15</v>
      </c>
      <c r="L216" t="str">
        <f t="shared" si="9"/>
        <v>Available</v>
      </c>
      <c r="M216">
        <f t="shared" si="10"/>
        <v>1</v>
      </c>
      <c r="N216">
        <f t="shared" si="11"/>
        <v>1</v>
      </c>
    </row>
    <row r="217" spans="1:14" x14ac:dyDescent="0.35">
      <c r="A217" t="s">
        <v>1773</v>
      </c>
      <c r="B217" t="s">
        <v>291</v>
      </c>
      <c r="C217" t="s">
        <v>341</v>
      </c>
      <c r="D217">
        <v>24</v>
      </c>
      <c r="E217" t="s">
        <v>13</v>
      </c>
      <c r="F217" s="1">
        <v>44497</v>
      </c>
      <c r="G217" s="1">
        <v>46057</v>
      </c>
      <c r="H217" t="s">
        <v>14</v>
      </c>
      <c r="I217" t="s">
        <v>2778</v>
      </c>
      <c r="J217">
        <v>262032</v>
      </c>
      <c r="K217" t="s">
        <v>30</v>
      </c>
      <c r="L217" t="str">
        <f t="shared" si="9"/>
        <v>Available</v>
      </c>
      <c r="M217">
        <f t="shared" si="10"/>
        <v>0</v>
      </c>
      <c r="N217">
        <f t="shared" si="11"/>
        <v>1</v>
      </c>
    </row>
    <row r="218" spans="1:14" x14ac:dyDescent="0.35">
      <c r="A218" t="s">
        <v>1774</v>
      </c>
      <c r="C218" t="s">
        <v>342</v>
      </c>
      <c r="D218">
        <v>32</v>
      </c>
      <c r="E218" t="s">
        <v>13</v>
      </c>
      <c r="F218" s="1">
        <v>44500</v>
      </c>
      <c r="G218" s="1">
        <v>46057</v>
      </c>
      <c r="H218" t="s">
        <v>14</v>
      </c>
      <c r="I218" t="s">
        <v>2778</v>
      </c>
      <c r="J218">
        <v>266640</v>
      </c>
      <c r="K218" t="s">
        <v>30</v>
      </c>
      <c r="L218" t="str">
        <f t="shared" si="9"/>
        <v>Missing</v>
      </c>
      <c r="M218">
        <f t="shared" si="10"/>
        <v>0</v>
      </c>
      <c r="N218">
        <f t="shared" si="11"/>
        <v>0</v>
      </c>
    </row>
    <row r="219" spans="1:14" x14ac:dyDescent="0.35">
      <c r="A219" t="s">
        <v>1775</v>
      </c>
      <c r="B219" t="s">
        <v>37</v>
      </c>
      <c r="C219" t="s">
        <v>343</v>
      </c>
      <c r="D219">
        <v>26</v>
      </c>
      <c r="E219" t="s">
        <v>13</v>
      </c>
      <c r="F219" s="1">
        <v>44497</v>
      </c>
      <c r="G219" s="1">
        <v>46059</v>
      </c>
      <c r="H219" t="s">
        <v>14</v>
      </c>
      <c r="I219" s="2">
        <v>73868</v>
      </c>
      <c r="J219">
        <v>262213</v>
      </c>
      <c r="K219" t="s">
        <v>15</v>
      </c>
      <c r="L219" t="str">
        <f t="shared" si="9"/>
        <v>Available</v>
      </c>
      <c r="M219">
        <f t="shared" si="10"/>
        <v>1</v>
      </c>
      <c r="N219">
        <f t="shared" si="11"/>
        <v>1</v>
      </c>
    </row>
    <row r="220" spans="1:14" x14ac:dyDescent="0.35">
      <c r="A220" t="s">
        <v>1776</v>
      </c>
      <c r="C220" t="s">
        <v>344</v>
      </c>
      <c r="D220">
        <v>25</v>
      </c>
      <c r="E220" t="s">
        <v>13</v>
      </c>
      <c r="F220" s="1">
        <v>44500</v>
      </c>
      <c r="G220" s="1">
        <v>46056</v>
      </c>
      <c r="H220" t="s">
        <v>14</v>
      </c>
      <c r="I220" s="2">
        <v>2586915</v>
      </c>
      <c r="J220">
        <v>264049</v>
      </c>
      <c r="K220" t="s">
        <v>15</v>
      </c>
      <c r="L220" t="str">
        <f t="shared" si="9"/>
        <v>Missing</v>
      </c>
      <c r="M220">
        <f t="shared" si="10"/>
        <v>1</v>
      </c>
      <c r="N220">
        <f t="shared" si="11"/>
        <v>0</v>
      </c>
    </row>
    <row r="221" spans="1:14" x14ac:dyDescent="0.35">
      <c r="A221" t="s">
        <v>1777</v>
      </c>
      <c r="B221" t="s">
        <v>346</v>
      </c>
      <c r="C221" t="s">
        <v>345</v>
      </c>
      <c r="D221">
        <v>24.3</v>
      </c>
      <c r="E221" t="s">
        <v>13</v>
      </c>
      <c r="F221" s="1">
        <v>44497</v>
      </c>
      <c r="G221" s="1">
        <v>46059</v>
      </c>
      <c r="H221" t="s">
        <v>14</v>
      </c>
      <c r="I221" s="2">
        <v>80798</v>
      </c>
      <c r="J221">
        <v>266290</v>
      </c>
      <c r="K221" t="s">
        <v>15</v>
      </c>
      <c r="L221" t="str">
        <f t="shared" si="9"/>
        <v>Available</v>
      </c>
      <c r="M221">
        <f t="shared" si="10"/>
        <v>1</v>
      </c>
      <c r="N221">
        <f t="shared" si="11"/>
        <v>1</v>
      </c>
    </row>
    <row r="222" spans="1:14" x14ac:dyDescent="0.35">
      <c r="A222" t="s">
        <v>1778</v>
      </c>
      <c r="B222" t="s">
        <v>348</v>
      </c>
      <c r="C222" t="s">
        <v>347</v>
      </c>
      <c r="D222">
        <v>45</v>
      </c>
      <c r="E222" t="s">
        <v>13</v>
      </c>
      <c r="F222" s="1">
        <v>44497</v>
      </c>
      <c r="G222" s="1">
        <v>46060</v>
      </c>
      <c r="H222" t="s">
        <v>14</v>
      </c>
      <c r="I222" s="2">
        <v>16408773</v>
      </c>
      <c r="J222">
        <v>264045</v>
      </c>
      <c r="K222" t="s">
        <v>15</v>
      </c>
      <c r="L222" t="str">
        <f t="shared" si="9"/>
        <v>Available</v>
      </c>
      <c r="M222">
        <f t="shared" si="10"/>
        <v>1</v>
      </c>
      <c r="N222">
        <f t="shared" si="11"/>
        <v>1</v>
      </c>
    </row>
    <row r="223" spans="1:14" x14ac:dyDescent="0.35">
      <c r="A223" t="s">
        <v>1779</v>
      </c>
      <c r="B223" t="s">
        <v>60</v>
      </c>
      <c r="C223" t="s">
        <v>349</v>
      </c>
      <c r="D223">
        <v>25</v>
      </c>
      <c r="E223" t="s">
        <v>13</v>
      </c>
      <c r="F223" s="1">
        <v>44497</v>
      </c>
      <c r="G223" s="1">
        <v>46059</v>
      </c>
      <c r="H223" t="s">
        <v>14</v>
      </c>
      <c r="I223" s="2">
        <v>18688750</v>
      </c>
      <c r="J223">
        <v>266317</v>
      </c>
      <c r="K223" t="s">
        <v>15</v>
      </c>
      <c r="L223" t="str">
        <f t="shared" si="9"/>
        <v>Available</v>
      </c>
      <c r="M223">
        <f t="shared" si="10"/>
        <v>1</v>
      </c>
      <c r="N223">
        <f t="shared" si="11"/>
        <v>1</v>
      </c>
    </row>
    <row r="224" spans="1:14" x14ac:dyDescent="0.35">
      <c r="A224" t="s">
        <v>1780</v>
      </c>
      <c r="B224" t="s">
        <v>58</v>
      </c>
      <c r="C224" t="s">
        <v>350</v>
      </c>
      <c r="D224">
        <v>21.978764999999999</v>
      </c>
      <c r="E224" t="s">
        <v>35</v>
      </c>
      <c r="F224" s="1">
        <v>44497</v>
      </c>
      <c r="G224" s="1">
        <v>45813</v>
      </c>
      <c r="H224" t="s">
        <v>14</v>
      </c>
      <c r="I224" t="s">
        <v>2778</v>
      </c>
      <c r="J224">
        <v>264436</v>
      </c>
      <c r="K224" t="s">
        <v>30</v>
      </c>
      <c r="L224" t="str">
        <f t="shared" si="9"/>
        <v>Available</v>
      </c>
      <c r="M224">
        <f t="shared" si="10"/>
        <v>0</v>
      </c>
      <c r="N224">
        <f t="shared" si="11"/>
        <v>1</v>
      </c>
    </row>
    <row r="225" spans="1:14" x14ac:dyDescent="0.35">
      <c r="A225" t="s">
        <v>1781</v>
      </c>
      <c r="B225" t="s">
        <v>58</v>
      </c>
      <c r="C225" t="s">
        <v>351</v>
      </c>
      <c r="D225">
        <v>24</v>
      </c>
      <c r="E225" t="s">
        <v>13</v>
      </c>
      <c r="F225" s="1">
        <v>44497</v>
      </c>
      <c r="G225" s="1">
        <v>46059</v>
      </c>
      <c r="H225" t="s">
        <v>14</v>
      </c>
      <c r="I225" s="2">
        <v>73915</v>
      </c>
      <c r="J225">
        <v>266356</v>
      </c>
      <c r="K225" t="s">
        <v>15</v>
      </c>
      <c r="L225" t="str">
        <f t="shared" si="9"/>
        <v>Available</v>
      </c>
      <c r="M225">
        <f t="shared" si="10"/>
        <v>1</v>
      </c>
      <c r="N225">
        <f t="shared" si="11"/>
        <v>1</v>
      </c>
    </row>
    <row r="226" spans="1:14" x14ac:dyDescent="0.35">
      <c r="A226" t="s">
        <v>1782</v>
      </c>
      <c r="B226" t="s">
        <v>152</v>
      </c>
      <c r="C226" t="s">
        <v>352</v>
      </c>
      <c r="D226">
        <v>25</v>
      </c>
      <c r="E226" t="s">
        <v>35</v>
      </c>
      <c r="F226" s="1">
        <v>44507</v>
      </c>
      <c r="G226" s="1">
        <v>46056</v>
      </c>
      <c r="H226" t="s">
        <v>14</v>
      </c>
      <c r="I226" s="2">
        <v>26025551</v>
      </c>
      <c r="J226">
        <v>267045</v>
      </c>
      <c r="K226" t="s">
        <v>15</v>
      </c>
      <c r="L226" t="str">
        <f t="shared" si="9"/>
        <v>Available</v>
      </c>
      <c r="M226">
        <f t="shared" si="10"/>
        <v>1</v>
      </c>
      <c r="N226">
        <f t="shared" si="11"/>
        <v>1</v>
      </c>
    </row>
    <row r="227" spans="1:14" x14ac:dyDescent="0.35">
      <c r="A227" t="s">
        <v>1783</v>
      </c>
      <c r="B227" t="s">
        <v>19</v>
      </c>
      <c r="C227" t="s">
        <v>353</v>
      </c>
      <c r="D227">
        <v>9.0909000000000004E-2</v>
      </c>
      <c r="E227" t="s">
        <v>13</v>
      </c>
      <c r="F227" s="1">
        <v>45561</v>
      </c>
      <c r="G227" s="1">
        <v>46045</v>
      </c>
      <c r="H227" t="s">
        <v>14</v>
      </c>
      <c r="I227" t="s">
        <v>2778</v>
      </c>
      <c r="J227">
        <v>266801</v>
      </c>
      <c r="K227" t="s">
        <v>30</v>
      </c>
      <c r="L227" t="str">
        <f t="shared" si="9"/>
        <v>Available</v>
      </c>
      <c r="M227">
        <f t="shared" si="10"/>
        <v>0</v>
      </c>
      <c r="N227">
        <f t="shared" si="11"/>
        <v>1</v>
      </c>
    </row>
    <row r="228" spans="1:14" x14ac:dyDescent="0.35">
      <c r="A228" t="s">
        <v>1784</v>
      </c>
      <c r="C228" t="s">
        <v>354</v>
      </c>
      <c r="D228">
        <v>24</v>
      </c>
      <c r="E228" t="s">
        <v>13</v>
      </c>
      <c r="F228" s="1">
        <v>44892</v>
      </c>
      <c r="G228" s="1">
        <v>46058</v>
      </c>
      <c r="H228" t="s">
        <v>14</v>
      </c>
      <c r="I228" s="2">
        <v>19516364</v>
      </c>
      <c r="J228">
        <v>266417</v>
      </c>
      <c r="K228" t="s">
        <v>15</v>
      </c>
      <c r="L228" t="str">
        <f t="shared" si="9"/>
        <v>Missing</v>
      </c>
      <c r="M228">
        <f t="shared" si="10"/>
        <v>1</v>
      </c>
      <c r="N228">
        <f t="shared" si="11"/>
        <v>0</v>
      </c>
    </row>
    <row r="229" spans="1:14" x14ac:dyDescent="0.35">
      <c r="A229" t="s">
        <v>1785</v>
      </c>
      <c r="B229" t="s">
        <v>135</v>
      </c>
      <c r="C229" t="s">
        <v>355</v>
      </c>
      <c r="D229">
        <v>24</v>
      </c>
      <c r="E229" t="s">
        <v>13</v>
      </c>
      <c r="F229" s="1">
        <v>45322</v>
      </c>
      <c r="G229" s="1">
        <v>46059</v>
      </c>
      <c r="H229" t="s">
        <v>14</v>
      </c>
      <c r="I229" s="2">
        <v>36930214</v>
      </c>
      <c r="J229">
        <v>266581</v>
      </c>
      <c r="K229" t="s">
        <v>15</v>
      </c>
      <c r="L229" t="str">
        <f t="shared" si="9"/>
        <v>Available</v>
      </c>
      <c r="M229">
        <f t="shared" si="10"/>
        <v>1</v>
      </c>
      <c r="N229">
        <f t="shared" si="11"/>
        <v>1</v>
      </c>
    </row>
    <row r="230" spans="1:14" x14ac:dyDescent="0.35">
      <c r="A230" t="s">
        <v>1786</v>
      </c>
      <c r="B230" t="s">
        <v>25</v>
      </c>
      <c r="C230" t="s">
        <v>356</v>
      </c>
      <c r="D230">
        <v>24</v>
      </c>
      <c r="E230" t="s">
        <v>13</v>
      </c>
      <c r="F230" s="1">
        <v>44497</v>
      </c>
      <c r="G230" s="1">
        <v>46060</v>
      </c>
      <c r="H230" t="s">
        <v>14</v>
      </c>
      <c r="I230" s="2">
        <v>39349</v>
      </c>
      <c r="J230">
        <v>266411</v>
      </c>
      <c r="K230" t="s">
        <v>15</v>
      </c>
      <c r="L230" t="str">
        <f t="shared" si="9"/>
        <v>Available</v>
      </c>
      <c r="M230">
        <f t="shared" si="10"/>
        <v>1</v>
      </c>
      <c r="N230">
        <f t="shared" si="11"/>
        <v>1</v>
      </c>
    </row>
    <row r="231" spans="1:14" x14ac:dyDescent="0.35">
      <c r="A231" t="s">
        <v>1787</v>
      </c>
      <c r="B231" t="s">
        <v>58</v>
      </c>
      <c r="C231" t="s">
        <v>357</v>
      </c>
      <c r="D231">
        <v>15</v>
      </c>
      <c r="E231" t="s">
        <v>13</v>
      </c>
      <c r="F231" s="1">
        <v>44497</v>
      </c>
      <c r="G231" s="1">
        <v>46059</v>
      </c>
      <c r="H231" t="s">
        <v>14</v>
      </c>
      <c r="I231" s="2">
        <v>143282</v>
      </c>
      <c r="J231">
        <v>262286</v>
      </c>
      <c r="K231" t="s">
        <v>15</v>
      </c>
      <c r="L231" t="str">
        <f t="shared" si="9"/>
        <v>Available</v>
      </c>
      <c r="M231">
        <f t="shared" si="10"/>
        <v>1</v>
      </c>
      <c r="N231">
        <f t="shared" si="11"/>
        <v>1</v>
      </c>
    </row>
    <row r="232" spans="1:14" x14ac:dyDescent="0.35">
      <c r="A232" t="s">
        <v>1788</v>
      </c>
      <c r="B232" t="s">
        <v>47</v>
      </c>
      <c r="C232" t="s">
        <v>358</v>
      </c>
      <c r="D232">
        <v>24</v>
      </c>
      <c r="E232" t="s">
        <v>13</v>
      </c>
      <c r="F232" s="1">
        <v>44497</v>
      </c>
      <c r="G232" s="1">
        <v>46059</v>
      </c>
      <c r="H232" t="s">
        <v>14</v>
      </c>
      <c r="I232" s="2">
        <v>18581123</v>
      </c>
      <c r="J232">
        <v>266915</v>
      </c>
      <c r="K232" t="s">
        <v>15</v>
      </c>
      <c r="L232" t="str">
        <f t="shared" si="9"/>
        <v>Available</v>
      </c>
      <c r="M232">
        <f t="shared" si="10"/>
        <v>1</v>
      </c>
      <c r="N232">
        <f t="shared" si="11"/>
        <v>1</v>
      </c>
    </row>
    <row r="233" spans="1:14" x14ac:dyDescent="0.35">
      <c r="A233" t="s">
        <v>1789</v>
      </c>
      <c r="B233" t="s">
        <v>47</v>
      </c>
      <c r="C233" t="s">
        <v>359</v>
      </c>
      <c r="D233">
        <v>24</v>
      </c>
      <c r="E233" t="s">
        <v>13</v>
      </c>
      <c r="F233" s="1">
        <v>44497</v>
      </c>
      <c r="G233" s="1">
        <v>46060</v>
      </c>
      <c r="H233" t="s">
        <v>14</v>
      </c>
      <c r="I233" s="2">
        <v>39214</v>
      </c>
      <c r="J233">
        <v>261680</v>
      </c>
      <c r="K233" t="s">
        <v>15</v>
      </c>
      <c r="L233" t="str">
        <f t="shared" si="9"/>
        <v>Available</v>
      </c>
      <c r="M233">
        <f t="shared" si="10"/>
        <v>1</v>
      </c>
      <c r="N233">
        <f t="shared" si="11"/>
        <v>1</v>
      </c>
    </row>
    <row r="234" spans="1:14" x14ac:dyDescent="0.35">
      <c r="A234" t="s">
        <v>1790</v>
      </c>
      <c r="B234" t="s">
        <v>25</v>
      </c>
      <c r="C234" t="s">
        <v>119</v>
      </c>
      <c r="D234">
        <v>23.5</v>
      </c>
      <c r="E234" t="s">
        <v>13</v>
      </c>
      <c r="F234" s="1">
        <v>44497</v>
      </c>
      <c r="G234" s="1">
        <v>46059</v>
      </c>
      <c r="H234" t="s">
        <v>14</v>
      </c>
      <c r="I234" s="2">
        <v>27126599</v>
      </c>
      <c r="J234">
        <v>261766</v>
      </c>
      <c r="K234" t="s">
        <v>15</v>
      </c>
      <c r="L234" t="str">
        <f t="shared" si="9"/>
        <v>Available</v>
      </c>
      <c r="M234">
        <f t="shared" si="10"/>
        <v>1</v>
      </c>
      <c r="N234">
        <f t="shared" si="11"/>
        <v>1</v>
      </c>
    </row>
    <row r="235" spans="1:14" x14ac:dyDescent="0.35">
      <c r="A235" t="s">
        <v>1791</v>
      </c>
      <c r="B235" t="s">
        <v>361</v>
      </c>
      <c r="C235" t="s">
        <v>360</v>
      </c>
      <c r="D235">
        <v>24</v>
      </c>
      <c r="E235" t="s">
        <v>13</v>
      </c>
      <c r="F235" s="1">
        <v>45687</v>
      </c>
      <c r="G235" s="1">
        <v>46059</v>
      </c>
      <c r="H235" t="s">
        <v>14</v>
      </c>
      <c r="I235" s="2">
        <v>66368531</v>
      </c>
      <c r="J235">
        <v>267066</v>
      </c>
      <c r="K235" t="s">
        <v>15</v>
      </c>
      <c r="L235" t="str">
        <f t="shared" si="9"/>
        <v>Available</v>
      </c>
      <c r="M235">
        <f t="shared" si="10"/>
        <v>1</v>
      </c>
      <c r="N235">
        <f t="shared" si="11"/>
        <v>1</v>
      </c>
    </row>
    <row r="236" spans="1:14" x14ac:dyDescent="0.35">
      <c r="A236" t="s">
        <v>1792</v>
      </c>
      <c r="B236" t="s">
        <v>363</v>
      </c>
      <c r="C236" t="s">
        <v>362</v>
      </c>
      <c r="D236">
        <v>13</v>
      </c>
      <c r="E236" t="s">
        <v>13</v>
      </c>
      <c r="F236" s="1">
        <v>44497</v>
      </c>
      <c r="G236" s="1">
        <v>46058</v>
      </c>
      <c r="H236" t="s">
        <v>14</v>
      </c>
      <c r="I236" s="2">
        <v>17554703</v>
      </c>
      <c r="J236">
        <v>266641</v>
      </c>
      <c r="K236" t="s">
        <v>15</v>
      </c>
      <c r="L236" t="str">
        <f t="shared" si="9"/>
        <v>Available</v>
      </c>
      <c r="M236">
        <f t="shared" si="10"/>
        <v>1</v>
      </c>
      <c r="N236">
        <f t="shared" si="11"/>
        <v>1</v>
      </c>
    </row>
    <row r="237" spans="1:14" x14ac:dyDescent="0.35">
      <c r="A237" t="s">
        <v>1793</v>
      </c>
      <c r="B237" t="s">
        <v>365</v>
      </c>
      <c r="C237" t="s">
        <v>364</v>
      </c>
      <c r="D237">
        <v>15</v>
      </c>
      <c r="E237" t="s">
        <v>13</v>
      </c>
      <c r="F237" s="1">
        <v>45210</v>
      </c>
      <c r="G237" s="1">
        <v>45961</v>
      </c>
      <c r="H237" t="s">
        <v>14</v>
      </c>
      <c r="I237" t="s">
        <v>2778</v>
      </c>
      <c r="J237">
        <v>261758</v>
      </c>
      <c r="K237" t="s">
        <v>30</v>
      </c>
      <c r="L237" t="str">
        <f t="shared" si="9"/>
        <v>Available</v>
      </c>
      <c r="M237">
        <f t="shared" si="10"/>
        <v>0</v>
      </c>
      <c r="N237">
        <f t="shared" si="11"/>
        <v>1</v>
      </c>
    </row>
    <row r="238" spans="1:14" x14ac:dyDescent="0.35">
      <c r="A238" t="s">
        <v>1794</v>
      </c>
      <c r="B238" t="s">
        <v>47</v>
      </c>
      <c r="C238" t="s">
        <v>366</v>
      </c>
      <c r="D238">
        <v>24</v>
      </c>
      <c r="E238" t="s">
        <v>13</v>
      </c>
      <c r="F238" s="1">
        <v>44497</v>
      </c>
      <c r="G238" s="1">
        <v>46060</v>
      </c>
      <c r="H238" t="s">
        <v>14</v>
      </c>
      <c r="I238" s="2">
        <v>77103</v>
      </c>
      <c r="J238">
        <v>264273</v>
      </c>
      <c r="K238" t="s">
        <v>15</v>
      </c>
      <c r="L238" t="str">
        <f t="shared" si="9"/>
        <v>Available</v>
      </c>
      <c r="M238">
        <f t="shared" si="10"/>
        <v>1</v>
      </c>
      <c r="N238">
        <f t="shared" si="11"/>
        <v>1</v>
      </c>
    </row>
    <row r="239" spans="1:14" x14ac:dyDescent="0.35">
      <c r="A239" t="s">
        <v>1795</v>
      </c>
      <c r="C239" t="s">
        <v>367</v>
      </c>
      <c r="D239">
        <v>24</v>
      </c>
      <c r="E239" t="s">
        <v>13</v>
      </c>
      <c r="F239" s="1">
        <v>44497</v>
      </c>
      <c r="G239" s="1">
        <v>46058</v>
      </c>
      <c r="H239" t="s">
        <v>14</v>
      </c>
      <c r="I239" s="2">
        <v>16792964</v>
      </c>
      <c r="J239">
        <v>266431</v>
      </c>
      <c r="K239" t="s">
        <v>15</v>
      </c>
      <c r="L239" t="str">
        <f t="shared" si="9"/>
        <v>Missing</v>
      </c>
      <c r="M239">
        <f t="shared" si="10"/>
        <v>1</v>
      </c>
      <c r="N239">
        <f t="shared" si="11"/>
        <v>0</v>
      </c>
    </row>
    <row r="240" spans="1:14" x14ac:dyDescent="0.35">
      <c r="A240" t="s">
        <v>1796</v>
      </c>
      <c r="B240" t="s">
        <v>369</v>
      </c>
      <c r="C240" t="s">
        <v>368</v>
      </c>
      <c r="D240">
        <v>15</v>
      </c>
      <c r="E240" t="s">
        <v>13</v>
      </c>
      <c r="F240" s="1">
        <v>45238</v>
      </c>
      <c r="G240" s="1">
        <v>46059</v>
      </c>
      <c r="H240" t="s">
        <v>14</v>
      </c>
      <c r="I240" s="2">
        <v>33264218</v>
      </c>
      <c r="J240">
        <v>264109</v>
      </c>
      <c r="K240" t="s">
        <v>15</v>
      </c>
      <c r="L240" t="str">
        <f t="shared" si="9"/>
        <v>Available</v>
      </c>
      <c r="M240">
        <f t="shared" si="10"/>
        <v>1</v>
      </c>
      <c r="N240">
        <f t="shared" si="11"/>
        <v>1</v>
      </c>
    </row>
    <row r="241" spans="1:14" x14ac:dyDescent="0.35">
      <c r="A241" t="s">
        <v>1797</v>
      </c>
      <c r="B241" t="s">
        <v>371</v>
      </c>
      <c r="C241" t="s">
        <v>370</v>
      </c>
      <c r="D241">
        <v>25</v>
      </c>
      <c r="E241" t="s">
        <v>13</v>
      </c>
      <c r="F241" s="1">
        <v>44969</v>
      </c>
      <c r="G241" s="1">
        <v>46056</v>
      </c>
      <c r="H241" t="s">
        <v>14</v>
      </c>
      <c r="I241" t="s">
        <v>2778</v>
      </c>
      <c r="J241">
        <v>267013</v>
      </c>
      <c r="K241" t="s">
        <v>30</v>
      </c>
      <c r="L241" t="str">
        <f t="shared" si="9"/>
        <v>Available</v>
      </c>
      <c r="M241">
        <f t="shared" si="10"/>
        <v>0</v>
      </c>
      <c r="N241">
        <f t="shared" si="11"/>
        <v>1</v>
      </c>
    </row>
    <row r="242" spans="1:14" x14ac:dyDescent="0.35">
      <c r="A242" t="s">
        <v>1798</v>
      </c>
      <c r="B242" t="s">
        <v>373</v>
      </c>
      <c r="C242" t="s">
        <v>372</v>
      </c>
      <c r="D242">
        <v>17.921147000000001</v>
      </c>
      <c r="E242" t="s">
        <v>35</v>
      </c>
      <c r="F242" s="1">
        <v>44497</v>
      </c>
      <c r="G242" s="1">
        <v>45830</v>
      </c>
      <c r="H242" t="s">
        <v>14</v>
      </c>
      <c r="I242" t="s">
        <v>2778</v>
      </c>
      <c r="J242">
        <v>266342</v>
      </c>
      <c r="K242" t="s">
        <v>30</v>
      </c>
      <c r="L242" t="str">
        <f t="shared" si="9"/>
        <v>Available</v>
      </c>
      <c r="M242">
        <f t="shared" si="10"/>
        <v>0</v>
      </c>
      <c r="N242">
        <f t="shared" si="11"/>
        <v>1</v>
      </c>
    </row>
    <row r="243" spans="1:14" x14ac:dyDescent="0.35">
      <c r="A243" t="s">
        <v>1799</v>
      </c>
      <c r="B243" t="s">
        <v>283</v>
      </c>
      <c r="C243" t="s">
        <v>374</v>
      </c>
      <c r="D243">
        <v>25</v>
      </c>
      <c r="E243" t="s">
        <v>13</v>
      </c>
      <c r="F243" s="1">
        <v>44497</v>
      </c>
      <c r="G243" s="1">
        <v>46058</v>
      </c>
      <c r="H243" t="s">
        <v>14</v>
      </c>
      <c r="I243" t="s">
        <v>2778</v>
      </c>
      <c r="J243">
        <v>266293</v>
      </c>
      <c r="K243" t="s">
        <v>30</v>
      </c>
      <c r="L243" t="str">
        <f t="shared" si="9"/>
        <v>Available</v>
      </c>
      <c r="M243">
        <f t="shared" si="10"/>
        <v>0</v>
      </c>
      <c r="N243">
        <f t="shared" si="11"/>
        <v>1</v>
      </c>
    </row>
    <row r="244" spans="1:14" x14ac:dyDescent="0.35">
      <c r="A244" t="s">
        <v>1800</v>
      </c>
      <c r="B244" t="s">
        <v>96</v>
      </c>
      <c r="C244" t="s">
        <v>375</v>
      </c>
      <c r="D244">
        <v>24</v>
      </c>
      <c r="E244" t="s">
        <v>13</v>
      </c>
      <c r="F244" s="1">
        <v>44497</v>
      </c>
      <c r="G244" s="1">
        <v>46060</v>
      </c>
      <c r="H244" t="s">
        <v>14</v>
      </c>
      <c r="I244" s="2">
        <v>19974011</v>
      </c>
      <c r="J244">
        <v>264558</v>
      </c>
      <c r="K244" t="s">
        <v>15</v>
      </c>
      <c r="L244" t="str">
        <f t="shared" si="9"/>
        <v>Available</v>
      </c>
      <c r="M244">
        <f t="shared" si="10"/>
        <v>1</v>
      </c>
      <c r="N244">
        <f t="shared" si="11"/>
        <v>1</v>
      </c>
    </row>
    <row r="245" spans="1:14" x14ac:dyDescent="0.35">
      <c r="A245" t="s">
        <v>1801</v>
      </c>
      <c r="B245" t="s">
        <v>17</v>
      </c>
      <c r="C245" t="s">
        <v>376</v>
      </c>
      <c r="D245">
        <v>32</v>
      </c>
      <c r="E245" t="s">
        <v>13</v>
      </c>
      <c r="F245" s="1">
        <v>44497</v>
      </c>
      <c r="G245" s="1">
        <v>46059</v>
      </c>
      <c r="H245" t="s">
        <v>14</v>
      </c>
      <c r="I245" s="2">
        <v>16948718</v>
      </c>
      <c r="J245">
        <v>266362</v>
      </c>
      <c r="K245" t="s">
        <v>15</v>
      </c>
      <c r="L245" t="str">
        <f t="shared" si="9"/>
        <v>Available</v>
      </c>
      <c r="M245">
        <f t="shared" si="10"/>
        <v>1</v>
      </c>
      <c r="N245">
        <f t="shared" si="11"/>
        <v>1</v>
      </c>
    </row>
    <row r="246" spans="1:14" x14ac:dyDescent="0.35">
      <c r="A246" t="s">
        <v>1802</v>
      </c>
      <c r="B246" t="s">
        <v>200</v>
      </c>
      <c r="C246" t="s">
        <v>377</v>
      </c>
      <c r="D246">
        <v>26</v>
      </c>
      <c r="E246" t="s">
        <v>13</v>
      </c>
      <c r="F246" s="1">
        <v>44497</v>
      </c>
      <c r="G246" s="1">
        <v>46059</v>
      </c>
      <c r="H246" t="s">
        <v>14</v>
      </c>
      <c r="I246" s="2">
        <v>1389848</v>
      </c>
      <c r="J246">
        <v>262583</v>
      </c>
      <c r="K246" t="s">
        <v>15</v>
      </c>
      <c r="L246" t="str">
        <f t="shared" si="9"/>
        <v>Available</v>
      </c>
      <c r="M246">
        <f t="shared" si="10"/>
        <v>1</v>
      </c>
      <c r="N246">
        <f t="shared" si="11"/>
        <v>1</v>
      </c>
    </row>
    <row r="247" spans="1:14" x14ac:dyDescent="0.35">
      <c r="A247" t="s">
        <v>1803</v>
      </c>
      <c r="B247" t="s">
        <v>379</v>
      </c>
      <c r="C247" t="s">
        <v>378</v>
      </c>
      <c r="D247">
        <v>26</v>
      </c>
      <c r="E247" t="s">
        <v>13</v>
      </c>
      <c r="F247" s="1">
        <v>44497</v>
      </c>
      <c r="G247" s="1">
        <v>46059</v>
      </c>
      <c r="H247" t="s">
        <v>14</v>
      </c>
      <c r="I247" s="2">
        <v>232483</v>
      </c>
      <c r="J247">
        <v>266828</v>
      </c>
      <c r="K247" t="s">
        <v>15</v>
      </c>
      <c r="L247" t="str">
        <f t="shared" si="9"/>
        <v>Available</v>
      </c>
      <c r="M247">
        <f t="shared" si="10"/>
        <v>1</v>
      </c>
      <c r="N247">
        <f t="shared" si="11"/>
        <v>1</v>
      </c>
    </row>
    <row r="248" spans="1:14" x14ac:dyDescent="0.35">
      <c r="A248" t="s">
        <v>1804</v>
      </c>
      <c r="B248" t="s">
        <v>381</v>
      </c>
      <c r="C248" t="s">
        <v>380</v>
      </c>
      <c r="D248">
        <v>24</v>
      </c>
      <c r="E248" t="s">
        <v>13</v>
      </c>
      <c r="F248" s="1">
        <v>44497</v>
      </c>
      <c r="G248" s="1">
        <v>46059</v>
      </c>
      <c r="H248" t="s">
        <v>14</v>
      </c>
      <c r="I248" s="2">
        <v>18283099</v>
      </c>
      <c r="J248">
        <v>264297</v>
      </c>
      <c r="K248" t="s">
        <v>15</v>
      </c>
      <c r="L248" t="str">
        <f t="shared" si="9"/>
        <v>Available</v>
      </c>
      <c r="M248">
        <f t="shared" si="10"/>
        <v>1</v>
      </c>
      <c r="N248">
        <f t="shared" si="11"/>
        <v>1</v>
      </c>
    </row>
    <row r="249" spans="1:14" x14ac:dyDescent="0.35">
      <c r="A249" t="s">
        <v>1805</v>
      </c>
      <c r="B249" t="s">
        <v>314</v>
      </c>
      <c r="C249" t="s">
        <v>382</v>
      </c>
      <c r="D249">
        <v>24</v>
      </c>
      <c r="E249" t="s">
        <v>13</v>
      </c>
      <c r="F249" s="1">
        <v>45680</v>
      </c>
      <c r="G249" s="1">
        <v>46057</v>
      </c>
      <c r="H249" t="s">
        <v>14</v>
      </c>
      <c r="I249" s="2">
        <v>64188277</v>
      </c>
      <c r="J249">
        <v>266305</v>
      </c>
      <c r="K249" t="s">
        <v>15</v>
      </c>
      <c r="L249" t="str">
        <f t="shared" si="9"/>
        <v>Available</v>
      </c>
      <c r="M249">
        <f t="shared" si="10"/>
        <v>1</v>
      </c>
      <c r="N249">
        <f t="shared" si="11"/>
        <v>1</v>
      </c>
    </row>
    <row r="250" spans="1:14" x14ac:dyDescent="0.35">
      <c r="A250" t="s">
        <v>1806</v>
      </c>
      <c r="B250" t="s">
        <v>384</v>
      </c>
      <c r="C250" t="s">
        <v>383</v>
      </c>
      <c r="D250">
        <v>16</v>
      </c>
      <c r="E250" t="s">
        <v>13</v>
      </c>
      <c r="F250" s="1">
        <v>44500</v>
      </c>
      <c r="G250" s="1">
        <v>46057</v>
      </c>
      <c r="H250" t="s">
        <v>14</v>
      </c>
      <c r="I250" t="s">
        <v>2778</v>
      </c>
      <c r="J250">
        <v>261736</v>
      </c>
      <c r="K250" t="s">
        <v>30</v>
      </c>
      <c r="L250" t="str">
        <f t="shared" si="9"/>
        <v>Available</v>
      </c>
      <c r="M250">
        <f t="shared" si="10"/>
        <v>0</v>
      </c>
      <c r="N250">
        <f t="shared" si="11"/>
        <v>1</v>
      </c>
    </row>
    <row r="251" spans="1:14" x14ac:dyDescent="0.35">
      <c r="A251" t="s">
        <v>1807</v>
      </c>
      <c r="B251" t="s">
        <v>137</v>
      </c>
      <c r="C251" t="s">
        <v>386</v>
      </c>
      <c r="D251">
        <v>21.2</v>
      </c>
      <c r="E251" t="s">
        <v>13</v>
      </c>
      <c r="F251" s="1">
        <v>44538</v>
      </c>
      <c r="G251" s="1">
        <v>46058</v>
      </c>
      <c r="H251" t="s">
        <v>14</v>
      </c>
      <c r="I251" s="2">
        <v>26251302</v>
      </c>
      <c r="J251">
        <v>264746</v>
      </c>
      <c r="K251" t="s">
        <v>15</v>
      </c>
      <c r="L251" t="str">
        <f t="shared" si="9"/>
        <v>Available</v>
      </c>
      <c r="M251">
        <f t="shared" si="10"/>
        <v>1</v>
      </c>
      <c r="N251">
        <f t="shared" si="11"/>
        <v>1</v>
      </c>
    </row>
    <row r="252" spans="1:14" x14ac:dyDescent="0.35">
      <c r="A252" t="s">
        <v>1808</v>
      </c>
      <c r="B252" t="s">
        <v>388</v>
      </c>
      <c r="C252" t="s">
        <v>387</v>
      </c>
      <c r="D252">
        <v>24</v>
      </c>
      <c r="E252" t="s">
        <v>13</v>
      </c>
      <c r="F252" s="1">
        <v>44500</v>
      </c>
      <c r="G252" s="1">
        <v>46057</v>
      </c>
      <c r="H252" t="s">
        <v>14</v>
      </c>
      <c r="I252" t="s">
        <v>2778</v>
      </c>
      <c r="J252">
        <v>261531</v>
      </c>
      <c r="K252" t="s">
        <v>30</v>
      </c>
      <c r="L252" t="str">
        <f t="shared" si="9"/>
        <v>Available</v>
      </c>
      <c r="M252">
        <f t="shared" si="10"/>
        <v>0</v>
      </c>
      <c r="N252">
        <f t="shared" si="11"/>
        <v>1</v>
      </c>
    </row>
    <row r="253" spans="1:14" x14ac:dyDescent="0.35">
      <c r="A253" t="s">
        <v>1809</v>
      </c>
      <c r="B253" t="s">
        <v>390</v>
      </c>
      <c r="C253" t="s">
        <v>389</v>
      </c>
      <c r="D253">
        <v>16.5</v>
      </c>
      <c r="E253" t="s">
        <v>13</v>
      </c>
      <c r="F253" s="1">
        <v>45141</v>
      </c>
      <c r="G253" s="1">
        <v>46057</v>
      </c>
      <c r="H253" t="s">
        <v>14</v>
      </c>
      <c r="I253" t="s">
        <v>2778</v>
      </c>
      <c r="J253">
        <v>266564</v>
      </c>
      <c r="K253" t="s">
        <v>30</v>
      </c>
      <c r="L253" t="str">
        <f t="shared" si="9"/>
        <v>Available</v>
      </c>
      <c r="M253">
        <f t="shared" si="10"/>
        <v>0</v>
      </c>
      <c r="N253">
        <f t="shared" si="11"/>
        <v>1</v>
      </c>
    </row>
    <row r="254" spans="1:14" x14ac:dyDescent="0.35">
      <c r="A254" t="s">
        <v>1810</v>
      </c>
      <c r="B254" t="s">
        <v>392</v>
      </c>
      <c r="C254" t="s">
        <v>391</v>
      </c>
      <c r="D254">
        <v>25</v>
      </c>
      <c r="E254" t="s">
        <v>13</v>
      </c>
      <c r="F254" s="1">
        <v>44497</v>
      </c>
      <c r="G254" s="1">
        <v>46059</v>
      </c>
      <c r="H254" t="s">
        <v>14</v>
      </c>
      <c r="I254" s="2">
        <v>16400724</v>
      </c>
      <c r="J254">
        <v>264029</v>
      </c>
      <c r="K254" t="s">
        <v>15</v>
      </c>
      <c r="L254" t="str">
        <f t="shared" si="9"/>
        <v>Available</v>
      </c>
      <c r="M254">
        <f t="shared" si="10"/>
        <v>1</v>
      </c>
      <c r="N254">
        <f t="shared" si="11"/>
        <v>1</v>
      </c>
    </row>
    <row r="255" spans="1:14" x14ac:dyDescent="0.35">
      <c r="A255" t="s">
        <v>1811</v>
      </c>
      <c r="B255" t="s">
        <v>25</v>
      </c>
      <c r="C255" t="s">
        <v>393</v>
      </c>
      <c r="D255">
        <v>24</v>
      </c>
      <c r="E255" t="s">
        <v>13</v>
      </c>
      <c r="F255" s="1">
        <v>44727</v>
      </c>
      <c r="G255" s="1">
        <v>46059</v>
      </c>
      <c r="H255" t="s">
        <v>14</v>
      </c>
      <c r="I255" s="2">
        <v>27126675</v>
      </c>
      <c r="J255">
        <v>266409</v>
      </c>
      <c r="K255" t="s">
        <v>15</v>
      </c>
      <c r="L255" t="str">
        <f t="shared" si="9"/>
        <v>Available</v>
      </c>
      <c r="M255">
        <f t="shared" si="10"/>
        <v>1</v>
      </c>
      <c r="N255">
        <f t="shared" si="11"/>
        <v>1</v>
      </c>
    </row>
    <row r="256" spans="1:14" x14ac:dyDescent="0.35">
      <c r="A256" t="s">
        <v>1812</v>
      </c>
      <c r="B256" t="s">
        <v>135</v>
      </c>
      <c r="C256" t="s">
        <v>394</v>
      </c>
      <c r="D256">
        <v>44</v>
      </c>
      <c r="E256" t="s">
        <v>13</v>
      </c>
      <c r="F256" s="1">
        <v>45526</v>
      </c>
      <c r="G256" s="1">
        <v>46058</v>
      </c>
      <c r="H256" t="s">
        <v>14</v>
      </c>
      <c r="I256" s="2">
        <v>56218215</v>
      </c>
      <c r="J256">
        <v>262647</v>
      </c>
      <c r="K256" t="s">
        <v>15</v>
      </c>
      <c r="L256" t="str">
        <f t="shared" si="9"/>
        <v>Available</v>
      </c>
      <c r="M256">
        <f t="shared" si="10"/>
        <v>1</v>
      </c>
      <c r="N256">
        <f t="shared" si="11"/>
        <v>1</v>
      </c>
    </row>
    <row r="257" spans="1:14" x14ac:dyDescent="0.35">
      <c r="A257" t="s">
        <v>1813</v>
      </c>
      <c r="C257" t="s">
        <v>395</v>
      </c>
      <c r="D257">
        <v>24</v>
      </c>
      <c r="E257" t="s">
        <v>13</v>
      </c>
      <c r="F257" s="1">
        <v>45277</v>
      </c>
      <c r="G257" s="1">
        <v>46054</v>
      </c>
      <c r="H257" t="s">
        <v>14</v>
      </c>
      <c r="I257" t="s">
        <v>2778</v>
      </c>
      <c r="J257">
        <v>266650</v>
      </c>
      <c r="K257" t="s">
        <v>30</v>
      </c>
      <c r="L257" t="str">
        <f t="shared" si="9"/>
        <v>Missing</v>
      </c>
      <c r="M257">
        <f t="shared" si="10"/>
        <v>0</v>
      </c>
      <c r="N257">
        <f t="shared" si="11"/>
        <v>0</v>
      </c>
    </row>
    <row r="258" spans="1:14" x14ac:dyDescent="0.35">
      <c r="A258" t="s">
        <v>1814</v>
      </c>
      <c r="B258" t="s">
        <v>238</v>
      </c>
      <c r="C258" t="s">
        <v>396</v>
      </c>
      <c r="D258">
        <v>26</v>
      </c>
      <c r="E258" t="s">
        <v>13</v>
      </c>
      <c r="F258" s="1">
        <v>44497</v>
      </c>
      <c r="G258" s="1">
        <v>46059</v>
      </c>
      <c r="H258" t="s">
        <v>14</v>
      </c>
      <c r="I258" s="2">
        <v>196353</v>
      </c>
      <c r="J258">
        <v>264190</v>
      </c>
      <c r="K258" t="s">
        <v>15</v>
      </c>
      <c r="L258" t="str">
        <f t="shared" si="9"/>
        <v>Available</v>
      </c>
      <c r="M258">
        <f t="shared" si="10"/>
        <v>1</v>
      </c>
      <c r="N258">
        <f t="shared" si="11"/>
        <v>1</v>
      </c>
    </row>
    <row r="259" spans="1:14" x14ac:dyDescent="0.35">
      <c r="A259" t="s">
        <v>1815</v>
      </c>
      <c r="C259" t="s">
        <v>397</v>
      </c>
      <c r="D259">
        <v>24</v>
      </c>
      <c r="E259" t="s">
        <v>13</v>
      </c>
      <c r="F259" s="1">
        <v>44497</v>
      </c>
      <c r="G259" s="1">
        <v>46058</v>
      </c>
      <c r="H259" t="s">
        <v>14</v>
      </c>
      <c r="I259" s="2">
        <v>19536888</v>
      </c>
      <c r="J259">
        <v>264227</v>
      </c>
      <c r="K259" t="s">
        <v>15</v>
      </c>
      <c r="L259" t="str">
        <f t="shared" ref="L259:L322" si="12">IF(OR(B259="",ISBLANK(B259)),"Missing","Available")</f>
        <v>Missing</v>
      </c>
      <c r="M259">
        <f t="shared" ref="M259:M322" si="13">IF(K259="Mapped",1,0)</f>
        <v>1</v>
      </c>
      <c r="N259">
        <f t="shared" ref="N259:N322" si="14">IF(AND(B259&lt;&gt;"",A259&lt;&gt;""),1,0)</f>
        <v>0</v>
      </c>
    </row>
    <row r="260" spans="1:14" x14ac:dyDescent="0.35">
      <c r="A260" t="s">
        <v>1816</v>
      </c>
      <c r="B260" t="s">
        <v>371</v>
      </c>
      <c r="C260" t="s">
        <v>398</v>
      </c>
      <c r="D260">
        <v>25</v>
      </c>
      <c r="E260" t="s">
        <v>13</v>
      </c>
      <c r="F260" s="1">
        <v>44752</v>
      </c>
      <c r="G260" s="1">
        <v>46057</v>
      </c>
      <c r="H260" t="s">
        <v>14</v>
      </c>
      <c r="I260" s="2">
        <v>26604723</v>
      </c>
      <c r="J260">
        <v>264568</v>
      </c>
      <c r="K260" t="s">
        <v>15</v>
      </c>
      <c r="L260" t="str">
        <f t="shared" si="12"/>
        <v>Available</v>
      </c>
      <c r="M260">
        <f t="shared" si="13"/>
        <v>1</v>
      </c>
      <c r="N260">
        <f t="shared" si="14"/>
        <v>1</v>
      </c>
    </row>
    <row r="261" spans="1:14" x14ac:dyDescent="0.35">
      <c r="A261" t="s">
        <v>1817</v>
      </c>
      <c r="B261" t="s">
        <v>400</v>
      </c>
      <c r="C261" t="s">
        <v>399</v>
      </c>
      <c r="D261">
        <v>25</v>
      </c>
      <c r="E261" t="s">
        <v>13</v>
      </c>
      <c r="F261" s="1">
        <v>45435</v>
      </c>
      <c r="G261" s="1">
        <v>46059</v>
      </c>
      <c r="H261" t="s">
        <v>14</v>
      </c>
      <c r="I261" s="2">
        <v>41164273</v>
      </c>
      <c r="J261">
        <v>261599</v>
      </c>
      <c r="K261" t="s">
        <v>15</v>
      </c>
      <c r="L261" t="str">
        <f t="shared" si="12"/>
        <v>Available</v>
      </c>
      <c r="M261">
        <f t="shared" si="13"/>
        <v>1</v>
      </c>
      <c r="N261">
        <f t="shared" si="14"/>
        <v>1</v>
      </c>
    </row>
    <row r="262" spans="1:14" x14ac:dyDescent="0.35">
      <c r="A262" t="s">
        <v>1818</v>
      </c>
      <c r="B262" t="s">
        <v>402</v>
      </c>
      <c r="C262" t="s">
        <v>401</v>
      </c>
      <c r="D262">
        <v>24</v>
      </c>
      <c r="E262" t="s">
        <v>13</v>
      </c>
      <c r="F262" s="1">
        <v>44497</v>
      </c>
      <c r="G262" s="1">
        <v>46059</v>
      </c>
      <c r="H262" t="s">
        <v>14</v>
      </c>
      <c r="I262" s="2">
        <v>73928</v>
      </c>
      <c r="J262">
        <v>261519</v>
      </c>
      <c r="K262" t="s">
        <v>15</v>
      </c>
      <c r="L262" t="str">
        <f t="shared" si="12"/>
        <v>Available</v>
      </c>
      <c r="M262">
        <f t="shared" si="13"/>
        <v>1</v>
      </c>
      <c r="N262">
        <f t="shared" si="14"/>
        <v>1</v>
      </c>
    </row>
    <row r="263" spans="1:14" x14ac:dyDescent="0.35">
      <c r="A263" t="s">
        <v>1819</v>
      </c>
      <c r="B263" t="s">
        <v>47</v>
      </c>
      <c r="C263" t="s">
        <v>403</v>
      </c>
      <c r="D263">
        <v>24</v>
      </c>
      <c r="E263" t="s">
        <v>13</v>
      </c>
      <c r="F263" s="1">
        <v>44497</v>
      </c>
      <c r="G263" s="1">
        <v>46060</v>
      </c>
      <c r="H263" t="s">
        <v>14</v>
      </c>
      <c r="I263" s="2">
        <v>143265</v>
      </c>
      <c r="J263">
        <v>264159</v>
      </c>
      <c r="K263" t="s">
        <v>15</v>
      </c>
      <c r="L263" t="str">
        <f t="shared" si="12"/>
        <v>Available</v>
      </c>
      <c r="M263">
        <f t="shared" si="13"/>
        <v>1</v>
      </c>
      <c r="N263">
        <f t="shared" si="14"/>
        <v>1</v>
      </c>
    </row>
    <row r="264" spans="1:14" x14ac:dyDescent="0.35">
      <c r="A264" t="s">
        <v>1820</v>
      </c>
      <c r="B264" t="s">
        <v>405</v>
      </c>
      <c r="C264" t="s">
        <v>404</v>
      </c>
      <c r="D264">
        <v>26.46</v>
      </c>
      <c r="E264" t="s">
        <v>13</v>
      </c>
      <c r="F264" s="1">
        <v>44497</v>
      </c>
      <c r="G264" s="1">
        <v>46059</v>
      </c>
      <c r="H264" t="s">
        <v>14</v>
      </c>
      <c r="I264" s="2">
        <v>24802</v>
      </c>
      <c r="J264">
        <v>266977</v>
      </c>
      <c r="K264" t="s">
        <v>15</v>
      </c>
      <c r="L264" t="str">
        <f t="shared" si="12"/>
        <v>Available</v>
      </c>
      <c r="M264">
        <f t="shared" si="13"/>
        <v>1</v>
      </c>
      <c r="N264">
        <f t="shared" si="14"/>
        <v>1</v>
      </c>
    </row>
    <row r="265" spans="1:14" x14ac:dyDescent="0.35">
      <c r="A265" t="s">
        <v>1821</v>
      </c>
      <c r="C265" t="s">
        <v>406</v>
      </c>
      <c r="D265">
        <v>24</v>
      </c>
      <c r="E265" t="s">
        <v>13</v>
      </c>
      <c r="F265" s="1">
        <v>44898</v>
      </c>
      <c r="G265" s="1">
        <v>46059</v>
      </c>
      <c r="H265" t="s">
        <v>14</v>
      </c>
      <c r="I265" s="2">
        <v>19870284</v>
      </c>
      <c r="J265">
        <v>264734</v>
      </c>
      <c r="K265" t="s">
        <v>15</v>
      </c>
      <c r="L265" t="str">
        <f t="shared" si="12"/>
        <v>Missing</v>
      </c>
      <c r="M265">
        <f t="shared" si="13"/>
        <v>1</v>
      </c>
      <c r="N265">
        <f t="shared" si="14"/>
        <v>0</v>
      </c>
    </row>
    <row r="266" spans="1:14" x14ac:dyDescent="0.35">
      <c r="A266" t="s">
        <v>1822</v>
      </c>
      <c r="B266" t="s">
        <v>43</v>
      </c>
      <c r="C266" t="s">
        <v>407</v>
      </c>
      <c r="D266">
        <v>25</v>
      </c>
      <c r="E266" t="s">
        <v>13</v>
      </c>
      <c r="F266" s="1">
        <v>44497</v>
      </c>
      <c r="G266" s="1">
        <v>46059</v>
      </c>
      <c r="H266" t="s">
        <v>14</v>
      </c>
      <c r="I266" s="2">
        <v>17525660</v>
      </c>
      <c r="J266">
        <v>267014</v>
      </c>
      <c r="K266" t="s">
        <v>15</v>
      </c>
      <c r="L266" t="str">
        <f t="shared" si="12"/>
        <v>Available</v>
      </c>
      <c r="M266">
        <f t="shared" si="13"/>
        <v>1</v>
      </c>
      <c r="N266">
        <f t="shared" si="14"/>
        <v>1</v>
      </c>
    </row>
    <row r="267" spans="1:14" x14ac:dyDescent="0.35">
      <c r="A267" t="s">
        <v>1823</v>
      </c>
      <c r="B267" t="s">
        <v>205</v>
      </c>
      <c r="C267" t="s">
        <v>408</v>
      </c>
      <c r="D267">
        <v>24</v>
      </c>
      <c r="E267" t="s">
        <v>13</v>
      </c>
      <c r="F267" s="1">
        <v>44497</v>
      </c>
      <c r="G267" s="1">
        <v>45961</v>
      </c>
      <c r="H267" t="s">
        <v>14</v>
      </c>
      <c r="I267" s="2">
        <v>19764867</v>
      </c>
      <c r="J267">
        <v>264339</v>
      </c>
      <c r="K267" t="s">
        <v>15</v>
      </c>
      <c r="L267" t="str">
        <f t="shared" si="12"/>
        <v>Available</v>
      </c>
      <c r="M267">
        <f t="shared" si="13"/>
        <v>1</v>
      </c>
      <c r="N267">
        <f t="shared" si="14"/>
        <v>1</v>
      </c>
    </row>
    <row r="268" spans="1:14" x14ac:dyDescent="0.35">
      <c r="A268" t="s">
        <v>1824</v>
      </c>
      <c r="B268" t="s">
        <v>293</v>
      </c>
      <c r="C268" t="s">
        <v>409</v>
      </c>
      <c r="D268">
        <v>1</v>
      </c>
      <c r="E268" t="s">
        <v>13</v>
      </c>
      <c r="F268" s="1">
        <v>44498</v>
      </c>
      <c r="G268" s="1">
        <v>46059</v>
      </c>
      <c r="H268" t="s">
        <v>14</v>
      </c>
      <c r="I268" s="2">
        <v>2358220</v>
      </c>
      <c r="J268">
        <v>264043</v>
      </c>
      <c r="K268" t="s">
        <v>15</v>
      </c>
      <c r="L268" t="str">
        <f t="shared" si="12"/>
        <v>Available</v>
      </c>
      <c r="M268">
        <f t="shared" si="13"/>
        <v>1</v>
      </c>
      <c r="N268">
        <f t="shared" si="14"/>
        <v>1</v>
      </c>
    </row>
    <row r="269" spans="1:14" x14ac:dyDescent="0.35">
      <c r="A269" t="s">
        <v>1825</v>
      </c>
      <c r="B269" t="s">
        <v>411</v>
      </c>
      <c r="C269" t="s">
        <v>410</v>
      </c>
      <c r="D269">
        <v>6.3</v>
      </c>
      <c r="E269" t="s">
        <v>13</v>
      </c>
      <c r="F269" s="1">
        <v>45207</v>
      </c>
      <c r="G269" s="1">
        <v>46059</v>
      </c>
      <c r="H269" t="s">
        <v>14</v>
      </c>
      <c r="I269" s="2">
        <v>34962112</v>
      </c>
      <c r="J269">
        <v>266370</v>
      </c>
      <c r="K269" t="s">
        <v>15</v>
      </c>
      <c r="L269" t="str">
        <f t="shared" si="12"/>
        <v>Available</v>
      </c>
      <c r="M269">
        <f t="shared" si="13"/>
        <v>1</v>
      </c>
      <c r="N269">
        <f t="shared" si="14"/>
        <v>1</v>
      </c>
    </row>
    <row r="270" spans="1:14" x14ac:dyDescent="0.35">
      <c r="A270" t="s">
        <v>1826</v>
      </c>
      <c r="B270" t="s">
        <v>413</v>
      </c>
      <c r="C270" t="s">
        <v>412</v>
      </c>
      <c r="D270">
        <v>13.9</v>
      </c>
      <c r="E270" t="s">
        <v>13</v>
      </c>
      <c r="F270" s="1">
        <v>45798</v>
      </c>
      <c r="G270" s="1">
        <v>46059</v>
      </c>
      <c r="H270" t="s">
        <v>14</v>
      </c>
      <c r="I270" s="2">
        <v>80078914</v>
      </c>
      <c r="J270">
        <v>264026</v>
      </c>
      <c r="K270" t="s">
        <v>15</v>
      </c>
      <c r="L270" t="str">
        <f t="shared" si="12"/>
        <v>Available</v>
      </c>
      <c r="M270">
        <f t="shared" si="13"/>
        <v>1</v>
      </c>
      <c r="N270">
        <f t="shared" si="14"/>
        <v>1</v>
      </c>
    </row>
    <row r="271" spans="1:14" x14ac:dyDescent="0.35">
      <c r="A271" t="s">
        <v>1827</v>
      </c>
      <c r="B271" t="s">
        <v>152</v>
      </c>
      <c r="C271" t="s">
        <v>414</v>
      </c>
      <c r="D271">
        <v>26</v>
      </c>
      <c r="E271" t="s">
        <v>13</v>
      </c>
      <c r="F271" s="1">
        <v>44497</v>
      </c>
      <c r="G271" s="1">
        <v>46057</v>
      </c>
      <c r="H271" t="s">
        <v>14</v>
      </c>
      <c r="I271" s="2">
        <v>17617977</v>
      </c>
      <c r="J271">
        <v>262253</v>
      </c>
      <c r="K271" t="s">
        <v>15</v>
      </c>
      <c r="L271" t="str">
        <f t="shared" si="12"/>
        <v>Available</v>
      </c>
      <c r="M271">
        <f t="shared" si="13"/>
        <v>1</v>
      </c>
      <c r="N271">
        <f t="shared" si="14"/>
        <v>1</v>
      </c>
    </row>
    <row r="272" spans="1:14" x14ac:dyDescent="0.35">
      <c r="A272" t="s">
        <v>1828</v>
      </c>
      <c r="B272" t="s">
        <v>132</v>
      </c>
      <c r="C272" t="s">
        <v>415</v>
      </c>
      <c r="F272" s="1">
        <v>45009</v>
      </c>
      <c r="G272" s="1">
        <v>45099</v>
      </c>
      <c r="H272" t="s">
        <v>14</v>
      </c>
      <c r="I272" t="s">
        <v>2778</v>
      </c>
      <c r="J272">
        <v>266447</v>
      </c>
      <c r="K272" t="s">
        <v>30</v>
      </c>
      <c r="L272" t="str">
        <f t="shared" si="12"/>
        <v>Available</v>
      </c>
      <c r="M272">
        <f t="shared" si="13"/>
        <v>0</v>
      </c>
      <c r="N272">
        <f t="shared" si="14"/>
        <v>1</v>
      </c>
    </row>
    <row r="273" spans="1:14" x14ac:dyDescent="0.35">
      <c r="A273" t="s">
        <v>1829</v>
      </c>
      <c r="B273" t="s">
        <v>27</v>
      </c>
      <c r="C273" t="s">
        <v>416</v>
      </c>
      <c r="D273">
        <v>24</v>
      </c>
      <c r="E273" t="s">
        <v>13</v>
      </c>
      <c r="F273" s="1">
        <v>44497</v>
      </c>
      <c r="G273" s="1">
        <v>46060</v>
      </c>
      <c r="H273" t="s">
        <v>14</v>
      </c>
      <c r="I273" s="2">
        <v>123498</v>
      </c>
      <c r="J273">
        <v>267069</v>
      </c>
      <c r="K273" t="s">
        <v>15</v>
      </c>
      <c r="L273" t="str">
        <f t="shared" si="12"/>
        <v>Available</v>
      </c>
      <c r="M273">
        <f t="shared" si="13"/>
        <v>1</v>
      </c>
      <c r="N273">
        <f t="shared" si="14"/>
        <v>1</v>
      </c>
    </row>
    <row r="274" spans="1:14" x14ac:dyDescent="0.35">
      <c r="A274" t="s">
        <v>1830</v>
      </c>
      <c r="B274" t="s">
        <v>318</v>
      </c>
      <c r="C274" t="s">
        <v>417</v>
      </c>
      <c r="D274">
        <v>24</v>
      </c>
      <c r="E274" t="s">
        <v>13</v>
      </c>
      <c r="F274" s="1">
        <v>44497</v>
      </c>
      <c r="G274" s="1">
        <v>46059</v>
      </c>
      <c r="H274" t="s">
        <v>14</v>
      </c>
      <c r="I274" s="2">
        <v>2870612</v>
      </c>
      <c r="J274">
        <v>264755</v>
      </c>
      <c r="K274" t="s">
        <v>15</v>
      </c>
      <c r="L274" t="str">
        <f t="shared" si="12"/>
        <v>Available</v>
      </c>
      <c r="M274">
        <f t="shared" si="13"/>
        <v>1</v>
      </c>
      <c r="N274">
        <f t="shared" si="14"/>
        <v>1</v>
      </c>
    </row>
    <row r="275" spans="1:14" x14ac:dyDescent="0.35">
      <c r="A275" t="s">
        <v>1831</v>
      </c>
      <c r="B275" t="s">
        <v>253</v>
      </c>
      <c r="C275" t="s">
        <v>418</v>
      </c>
      <c r="D275">
        <v>24</v>
      </c>
      <c r="E275" t="s">
        <v>13</v>
      </c>
      <c r="F275" s="1">
        <v>44497</v>
      </c>
      <c r="G275" s="1">
        <v>46059</v>
      </c>
      <c r="H275" t="s">
        <v>14</v>
      </c>
      <c r="I275" s="2">
        <v>53392</v>
      </c>
      <c r="J275">
        <v>266328</v>
      </c>
      <c r="K275" t="s">
        <v>15</v>
      </c>
      <c r="L275" t="str">
        <f t="shared" si="12"/>
        <v>Available</v>
      </c>
      <c r="M275">
        <f t="shared" si="13"/>
        <v>1</v>
      </c>
      <c r="N275">
        <f t="shared" si="14"/>
        <v>1</v>
      </c>
    </row>
    <row r="276" spans="1:14" x14ac:dyDescent="0.35">
      <c r="A276" t="s">
        <v>1832</v>
      </c>
      <c r="B276" t="s">
        <v>420</v>
      </c>
      <c r="C276" t="s">
        <v>419</v>
      </c>
      <c r="F276" s="1">
        <v>44866</v>
      </c>
      <c r="G276" s="1">
        <v>45099</v>
      </c>
      <c r="H276" t="s">
        <v>14</v>
      </c>
      <c r="I276" t="s">
        <v>2778</v>
      </c>
      <c r="J276">
        <v>266446</v>
      </c>
      <c r="K276" t="s">
        <v>30</v>
      </c>
      <c r="L276" t="str">
        <f t="shared" si="12"/>
        <v>Available</v>
      </c>
      <c r="M276">
        <f t="shared" si="13"/>
        <v>0</v>
      </c>
      <c r="N276">
        <f t="shared" si="14"/>
        <v>1</v>
      </c>
    </row>
    <row r="277" spans="1:14" x14ac:dyDescent="0.35">
      <c r="A277" t="s">
        <v>1833</v>
      </c>
      <c r="B277" t="s">
        <v>422</v>
      </c>
      <c r="C277" t="s">
        <v>421</v>
      </c>
      <c r="D277">
        <v>8.8000000000000007</v>
      </c>
      <c r="E277" t="s">
        <v>13</v>
      </c>
      <c r="F277" s="1">
        <v>45638</v>
      </c>
      <c r="G277" s="1">
        <v>46059</v>
      </c>
      <c r="H277" t="s">
        <v>14</v>
      </c>
      <c r="I277" s="2">
        <v>53639591</v>
      </c>
      <c r="J277">
        <v>264123</v>
      </c>
      <c r="K277" t="s">
        <v>15</v>
      </c>
      <c r="L277" t="str">
        <f t="shared" si="12"/>
        <v>Available</v>
      </c>
      <c r="M277">
        <f t="shared" si="13"/>
        <v>1</v>
      </c>
      <c r="N277">
        <f t="shared" si="14"/>
        <v>1</v>
      </c>
    </row>
    <row r="278" spans="1:14" x14ac:dyDescent="0.35">
      <c r="A278" t="s">
        <v>1834</v>
      </c>
      <c r="B278" t="s">
        <v>424</v>
      </c>
      <c r="C278" t="s">
        <v>423</v>
      </c>
      <c r="D278">
        <v>45</v>
      </c>
      <c r="E278" t="s">
        <v>13</v>
      </c>
      <c r="F278" s="1">
        <v>44501</v>
      </c>
      <c r="G278" s="1">
        <v>45744</v>
      </c>
      <c r="H278" t="s">
        <v>14</v>
      </c>
      <c r="I278" t="s">
        <v>2778</v>
      </c>
      <c r="J278">
        <v>261650</v>
      </c>
      <c r="K278" t="s">
        <v>30</v>
      </c>
      <c r="L278" t="str">
        <f t="shared" si="12"/>
        <v>Available</v>
      </c>
      <c r="M278">
        <f t="shared" si="13"/>
        <v>0</v>
      </c>
      <c r="N278">
        <f t="shared" si="14"/>
        <v>1</v>
      </c>
    </row>
    <row r="279" spans="1:14" x14ac:dyDescent="0.35">
      <c r="A279" t="s">
        <v>1835</v>
      </c>
      <c r="B279" t="s">
        <v>47</v>
      </c>
      <c r="C279" t="s">
        <v>425</v>
      </c>
      <c r="D279">
        <v>17.600000000000001</v>
      </c>
      <c r="E279" t="s">
        <v>13</v>
      </c>
      <c r="F279" s="1">
        <v>44497</v>
      </c>
      <c r="G279" s="1">
        <v>45900</v>
      </c>
      <c r="H279" t="s">
        <v>14</v>
      </c>
      <c r="I279" t="s">
        <v>2778</v>
      </c>
      <c r="J279">
        <v>266452</v>
      </c>
      <c r="K279" t="s">
        <v>30</v>
      </c>
      <c r="L279" t="str">
        <f t="shared" si="12"/>
        <v>Available</v>
      </c>
      <c r="M279">
        <f t="shared" si="13"/>
        <v>0</v>
      </c>
      <c r="N279">
        <f t="shared" si="14"/>
        <v>1</v>
      </c>
    </row>
    <row r="280" spans="1:14" x14ac:dyDescent="0.35">
      <c r="A280" t="s">
        <v>1836</v>
      </c>
      <c r="B280" t="s">
        <v>29</v>
      </c>
      <c r="C280" t="s">
        <v>426</v>
      </c>
      <c r="D280">
        <v>19</v>
      </c>
      <c r="E280" t="s">
        <v>13</v>
      </c>
      <c r="F280" s="1">
        <v>45232</v>
      </c>
      <c r="G280" s="1">
        <v>46059</v>
      </c>
      <c r="H280" t="s">
        <v>14</v>
      </c>
      <c r="I280" s="2">
        <v>35599661</v>
      </c>
      <c r="J280">
        <v>261494</v>
      </c>
      <c r="K280" t="s">
        <v>15</v>
      </c>
      <c r="L280" t="str">
        <f t="shared" si="12"/>
        <v>Available</v>
      </c>
      <c r="M280">
        <f t="shared" si="13"/>
        <v>1</v>
      </c>
      <c r="N280">
        <f t="shared" si="14"/>
        <v>1</v>
      </c>
    </row>
    <row r="281" spans="1:14" x14ac:dyDescent="0.35">
      <c r="A281" t="s">
        <v>1837</v>
      </c>
      <c r="B281" t="s">
        <v>428</v>
      </c>
      <c r="C281" t="s">
        <v>427</v>
      </c>
      <c r="D281">
        <v>32</v>
      </c>
      <c r="E281" t="s">
        <v>13</v>
      </c>
      <c r="F281" s="1">
        <v>44948</v>
      </c>
      <c r="G281" s="1">
        <v>46057</v>
      </c>
      <c r="H281" t="s">
        <v>14</v>
      </c>
      <c r="I281" s="2">
        <v>27721530</v>
      </c>
      <c r="J281">
        <v>267090</v>
      </c>
      <c r="K281" t="s">
        <v>15</v>
      </c>
      <c r="L281" t="str">
        <f t="shared" si="12"/>
        <v>Available</v>
      </c>
      <c r="M281">
        <f t="shared" si="13"/>
        <v>1</v>
      </c>
      <c r="N281">
        <f t="shared" si="14"/>
        <v>1</v>
      </c>
    </row>
    <row r="282" spans="1:14" x14ac:dyDescent="0.35">
      <c r="A282" t="s">
        <v>1838</v>
      </c>
      <c r="B282" t="s">
        <v>37</v>
      </c>
      <c r="C282" t="s">
        <v>429</v>
      </c>
      <c r="D282">
        <v>24</v>
      </c>
      <c r="E282" t="s">
        <v>13</v>
      </c>
      <c r="F282" s="1">
        <v>44500</v>
      </c>
      <c r="G282" s="1">
        <v>46059</v>
      </c>
      <c r="H282" t="s">
        <v>14</v>
      </c>
      <c r="I282" s="2">
        <v>73898</v>
      </c>
      <c r="J282">
        <v>261869</v>
      </c>
      <c r="K282" t="s">
        <v>15</v>
      </c>
      <c r="L282" t="str">
        <f t="shared" si="12"/>
        <v>Available</v>
      </c>
      <c r="M282">
        <f t="shared" si="13"/>
        <v>1</v>
      </c>
      <c r="N282">
        <f t="shared" si="14"/>
        <v>1</v>
      </c>
    </row>
    <row r="283" spans="1:14" x14ac:dyDescent="0.35">
      <c r="A283" t="s">
        <v>1839</v>
      </c>
      <c r="B283" t="s">
        <v>71</v>
      </c>
      <c r="C283" t="s">
        <v>430</v>
      </c>
      <c r="D283">
        <v>24</v>
      </c>
      <c r="E283" t="s">
        <v>13</v>
      </c>
      <c r="F283" s="1">
        <v>44497</v>
      </c>
      <c r="G283" s="1">
        <v>46060</v>
      </c>
      <c r="H283" t="s">
        <v>14</v>
      </c>
      <c r="I283" s="2">
        <v>36101</v>
      </c>
      <c r="J283">
        <v>262290</v>
      </c>
      <c r="K283" t="s">
        <v>15</v>
      </c>
      <c r="L283" t="str">
        <f t="shared" si="12"/>
        <v>Available</v>
      </c>
      <c r="M283">
        <f t="shared" si="13"/>
        <v>1</v>
      </c>
      <c r="N283">
        <f t="shared" si="14"/>
        <v>1</v>
      </c>
    </row>
    <row r="284" spans="1:14" x14ac:dyDescent="0.35">
      <c r="A284" t="s">
        <v>1840</v>
      </c>
      <c r="C284" t="s">
        <v>431</v>
      </c>
      <c r="D284">
        <v>32</v>
      </c>
      <c r="E284" t="s">
        <v>35</v>
      </c>
      <c r="F284" s="1">
        <v>44503</v>
      </c>
      <c r="G284" s="1">
        <v>46058</v>
      </c>
      <c r="H284" t="s">
        <v>14</v>
      </c>
      <c r="I284" s="2">
        <v>17183054</v>
      </c>
      <c r="J284">
        <v>262622</v>
      </c>
      <c r="K284" t="s">
        <v>15</v>
      </c>
      <c r="L284" t="str">
        <f t="shared" si="12"/>
        <v>Missing</v>
      </c>
      <c r="M284">
        <f t="shared" si="13"/>
        <v>1</v>
      </c>
      <c r="N284">
        <f t="shared" si="14"/>
        <v>0</v>
      </c>
    </row>
    <row r="285" spans="1:14" x14ac:dyDescent="0.35">
      <c r="A285" t="s">
        <v>1841</v>
      </c>
      <c r="B285" t="s">
        <v>420</v>
      </c>
      <c r="C285" t="s">
        <v>432</v>
      </c>
      <c r="F285" s="1">
        <v>44866</v>
      </c>
      <c r="G285" s="1">
        <v>45099</v>
      </c>
      <c r="H285" t="s">
        <v>14</v>
      </c>
      <c r="I285" t="s">
        <v>2778</v>
      </c>
      <c r="J285">
        <v>262602</v>
      </c>
      <c r="K285" t="s">
        <v>30</v>
      </c>
      <c r="L285" t="str">
        <f t="shared" si="12"/>
        <v>Available</v>
      </c>
      <c r="M285">
        <f t="shared" si="13"/>
        <v>0</v>
      </c>
      <c r="N285">
        <f t="shared" si="14"/>
        <v>1</v>
      </c>
    </row>
    <row r="286" spans="1:14" x14ac:dyDescent="0.35">
      <c r="A286" t="s">
        <v>1842</v>
      </c>
      <c r="B286" t="s">
        <v>434</v>
      </c>
      <c r="C286" t="s">
        <v>433</v>
      </c>
      <c r="F286" s="1">
        <v>44769</v>
      </c>
      <c r="G286" s="1">
        <v>45182</v>
      </c>
      <c r="H286" t="s">
        <v>14</v>
      </c>
      <c r="I286" t="s">
        <v>2778</v>
      </c>
      <c r="J286">
        <v>262610</v>
      </c>
      <c r="K286" t="s">
        <v>30</v>
      </c>
      <c r="L286" t="str">
        <f t="shared" si="12"/>
        <v>Available</v>
      </c>
      <c r="M286">
        <f t="shared" si="13"/>
        <v>0</v>
      </c>
      <c r="N286">
        <f t="shared" si="14"/>
        <v>1</v>
      </c>
    </row>
    <row r="287" spans="1:14" x14ac:dyDescent="0.35">
      <c r="A287" t="s">
        <v>1843</v>
      </c>
      <c r="B287" t="s">
        <v>422</v>
      </c>
      <c r="C287" t="s">
        <v>435</v>
      </c>
      <c r="D287">
        <v>8.8000000000000007</v>
      </c>
      <c r="E287" t="s">
        <v>13</v>
      </c>
      <c r="F287" s="1">
        <v>45823</v>
      </c>
      <c r="G287" s="1">
        <v>46056</v>
      </c>
      <c r="H287" t="s">
        <v>14</v>
      </c>
      <c r="I287" s="2">
        <v>53639549</v>
      </c>
      <c r="J287">
        <v>267074</v>
      </c>
      <c r="K287" t="s">
        <v>15</v>
      </c>
      <c r="L287" t="str">
        <f t="shared" si="12"/>
        <v>Available</v>
      </c>
      <c r="M287">
        <f t="shared" si="13"/>
        <v>1</v>
      </c>
      <c r="N287">
        <f t="shared" si="14"/>
        <v>1</v>
      </c>
    </row>
    <row r="288" spans="1:14" x14ac:dyDescent="0.35">
      <c r="A288" t="s">
        <v>1844</v>
      </c>
      <c r="B288" t="s">
        <v>58</v>
      </c>
      <c r="C288" t="s">
        <v>436</v>
      </c>
      <c r="D288">
        <v>21.978764999999999</v>
      </c>
      <c r="E288" t="s">
        <v>35</v>
      </c>
      <c r="F288" s="1">
        <v>44497</v>
      </c>
      <c r="G288" s="1">
        <v>45725</v>
      </c>
      <c r="H288" t="s">
        <v>14</v>
      </c>
      <c r="I288" t="s">
        <v>2778</v>
      </c>
      <c r="J288">
        <v>262609</v>
      </c>
      <c r="K288" t="s">
        <v>30</v>
      </c>
      <c r="L288" t="str">
        <f t="shared" si="12"/>
        <v>Available</v>
      </c>
      <c r="M288">
        <f t="shared" si="13"/>
        <v>0</v>
      </c>
      <c r="N288">
        <f t="shared" si="14"/>
        <v>1</v>
      </c>
    </row>
    <row r="289" spans="1:14" x14ac:dyDescent="0.35">
      <c r="A289" t="s">
        <v>1845</v>
      </c>
      <c r="B289" t="s">
        <v>96</v>
      </c>
      <c r="C289" t="s">
        <v>437</v>
      </c>
      <c r="D289">
        <v>24</v>
      </c>
      <c r="E289" t="s">
        <v>13</v>
      </c>
      <c r="F289" s="1">
        <v>44497</v>
      </c>
      <c r="G289" s="1">
        <v>46060</v>
      </c>
      <c r="H289" t="s">
        <v>14</v>
      </c>
      <c r="I289" s="2">
        <v>77115</v>
      </c>
      <c r="J289">
        <v>264718</v>
      </c>
      <c r="K289" t="s">
        <v>15</v>
      </c>
      <c r="L289" t="str">
        <f t="shared" si="12"/>
        <v>Available</v>
      </c>
      <c r="M289">
        <f t="shared" si="13"/>
        <v>1</v>
      </c>
      <c r="N289">
        <f t="shared" si="14"/>
        <v>1</v>
      </c>
    </row>
    <row r="290" spans="1:14" x14ac:dyDescent="0.35">
      <c r="A290" t="s">
        <v>1846</v>
      </c>
      <c r="B290" t="s">
        <v>439</v>
      </c>
      <c r="C290" t="s">
        <v>438</v>
      </c>
      <c r="D290">
        <v>24</v>
      </c>
      <c r="E290" t="s">
        <v>13</v>
      </c>
      <c r="F290" s="1">
        <v>44497</v>
      </c>
      <c r="G290" s="1">
        <v>46059</v>
      </c>
      <c r="H290" t="s">
        <v>14</v>
      </c>
      <c r="I290" s="2">
        <v>3363864</v>
      </c>
      <c r="J290">
        <v>264745</v>
      </c>
      <c r="K290" t="s">
        <v>15</v>
      </c>
      <c r="L290" t="str">
        <f t="shared" si="12"/>
        <v>Available</v>
      </c>
      <c r="M290">
        <f t="shared" si="13"/>
        <v>1</v>
      </c>
      <c r="N290">
        <f t="shared" si="14"/>
        <v>1</v>
      </c>
    </row>
    <row r="291" spans="1:14" x14ac:dyDescent="0.35">
      <c r="A291" t="s">
        <v>1847</v>
      </c>
      <c r="B291" t="s">
        <v>330</v>
      </c>
      <c r="C291" t="s">
        <v>440</v>
      </c>
      <c r="D291">
        <v>19.399999999999999</v>
      </c>
      <c r="E291" t="s">
        <v>13</v>
      </c>
      <c r="F291" s="1">
        <v>45679</v>
      </c>
      <c r="G291" s="1">
        <v>46059</v>
      </c>
      <c r="H291" t="s">
        <v>14</v>
      </c>
      <c r="I291" s="2">
        <v>58276339</v>
      </c>
      <c r="J291">
        <v>261502</v>
      </c>
      <c r="K291" t="s">
        <v>15</v>
      </c>
      <c r="L291" t="str">
        <f t="shared" si="12"/>
        <v>Available</v>
      </c>
      <c r="M291">
        <f t="shared" si="13"/>
        <v>1</v>
      </c>
      <c r="N291">
        <f t="shared" si="14"/>
        <v>1</v>
      </c>
    </row>
    <row r="292" spans="1:14" x14ac:dyDescent="0.35">
      <c r="A292" t="s">
        <v>1848</v>
      </c>
      <c r="B292" t="s">
        <v>58</v>
      </c>
      <c r="C292" t="s">
        <v>441</v>
      </c>
      <c r="D292">
        <v>20.288091000000001</v>
      </c>
      <c r="E292" t="s">
        <v>35</v>
      </c>
      <c r="F292" s="1">
        <v>45562</v>
      </c>
      <c r="G292" s="1">
        <v>46058</v>
      </c>
      <c r="H292" t="s">
        <v>14</v>
      </c>
      <c r="I292" t="s">
        <v>2778</v>
      </c>
      <c r="J292">
        <v>264214</v>
      </c>
      <c r="K292" t="s">
        <v>30</v>
      </c>
      <c r="L292" t="str">
        <f t="shared" si="12"/>
        <v>Available</v>
      </c>
      <c r="M292">
        <f t="shared" si="13"/>
        <v>0</v>
      </c>
      <c r="N292">
        <f t="shared" si="14"/>
        <v>1</v>
      </c>
    </row>
    <row r="293" spans="1:14" x14ac:dyDescent="0.35">
      <c r="A293" t="s">
        <v>1849</v>
      </c>
      <c r="C293" t="s">
        <v>442</v>
      </c>
      <c r="D293">
        <v>16</v>
      </c>
      <c r="E293" t="s">
        <v>13</v>
      </c>
      <c r="F293" s="1">
        <v>44497</v>
      </c>
      <c r="G293" s="1">
        <v>46059</v>
      </c>
      <c r="H293" t="s">
        <v>14</v>
      </c>
      <c r="I293" t="s">
        <v>2778</v>
      </c>
      <c r="J293">
        <v>261522</v>
      </c>
      <c r="K293" t="s">
        <v>30</v>
      </c>
      <c r="L293" t="str">
        <f t="shared" si="12"/>
        <v>Missing</v>
      </c>
      <c r="M293">
        <f t="shared" si="13"/>
        <v>0</v>
      </c>
      <c r="N293">
        <f t="shared" si="14"/>
        <v>0</v>
      </c>
    </row>
    <row r="294" spans="1:14" x14ac:dyDescent="0.35">
      <c r="A294" t="s">
        <v>1850</v>
      </c>
      <c r="B294" t="s">
        <v>91</v>
      </c>
      <c r="C294" t="s">
        <v>443</v>
      </c>
      <c r="D294">
        <v>32</v>
      </c>
      <c r="E294" t="s">
        <v>13</v>
      </c>
      <c r="F294" s="1">
        <v>44497</v>
      </c>
      <c r="G294" s="1">
        <v>46057</v>
      </c>
      <c r="H294" t="s">
        <v>14</v>
      </c>
      <c r="I294" t="s">
        <v>2778</v>
      </c>
      <c r="J294">
        <v>266904</v>
      </c>
      <c r="K294" t="s">
        <v>30</v>
      </c>
      <c r="L294" t="str">
        <f t="shared" si="12"/>
        <v>Available</v>
      </c>
      <c r="M294">
        <f t="shared" si="13"/>
        <v>0</v>
      </c>
      <c r="N294">
        <f t="shared" si="14"/>
        <v>1</v>
      </c>
    </row>
    <row r="295" spans="1:14" x14ac:dyDescent="0.35">
      <c r="A295" t="s">
        <v>1851</v>
      </c>
      <c r="B295" t="s">
        <v>445</v>
      </c>
      <c r="C295" t="s">
        <v>444</v>
      </c>
      <c r="D295">
        <v>24</v>
      </c>
      <c r="E295" t="s">
        <v>13</v>
      </c>
      <c r="F295" s="1">
        <v>44497</v>
      </c>
      <c r="G295" s="1">
        <v>46059</v>
      </c>
      <c r="H295" t="s">
        <v>14</v>
      </c>
      <c r="I295" s="2">
        <v>3340288</v>
      </c>
      <c r="J295">
        <v>261789</v>
      </c>
      <c r="K295" t="s">
        <v>15</v>
      </c>
      <c r="L295" t="str">
        <f t="shared" si="12"/>
        <v>Available</v>
      </c>
      <c r="M295">
        <f t="shared" si="13"/>
        <v>1</v>
      </c>
      <c r="N295">
        <f t="shared" si="14"/>
        <v>1</v>
      </c>
    </row>
    <row r="296" spans="1:14" x14ac:dyDescent="0.35">
      <c r="A296" t="s">
        <v>1852</v>
      </c>
      <c r="B296" t="s">
        <v>447</v>
      </c>
      <c r="C296" t="s">
        <v>446</v>
      </c>
      <c r="D296">
        <v>19</v>
      </c>
      <c r="E296" t="s">
        <v>13</v>
      </c>
      <c r="F296" s="1">
        <v>45536</v>
      </c>
      <c r="G296" s="1">
        <v>46059</v>
      </c>
      <c r="H296" t="s">
        <v>14</v>
      </c>
      <c r="I296" s="2">
        <v>33264269</v>
      </c>
      <c r="J296">
        <v>264135</v>
      </c>
      <c r="K296" t="s">
        <v>15</v>
      </c>
      <c r="L296" t="str">
        <f t="shared" si="12"/>
        <v>Available</v>
      </c>
      <c r="M296">
        <f t="shared" si="13"/>
        <v>1</v>
      </c>
      <c r="N296">
        <f t="shared" si="14"/>
        <v>1</v>
      </c>
    </row>
    <row r="297" spans="1:14" x14ac:dyDescent="0.35">
      <c r="A297" t="s">
        <v>1853</v>
      </c>
      <c r="B297" t="s">
        <v>449</v>
      </c>
      <c r="C297" t="s">
        <v>448</v>
      </c>
      <c r="D297">
        <v>24</v>
      </c>
      <c r="E297" t="s">
        <v>13</v>
      </c>
      <c r="F297" s="1">
        <v>45295</v>
      </c>
      <c r="G297" s="1">
        <v>46060</v>
      </c>
      <c r="H297" t="s">
        <v>14</v>
      </c>
      <c r="I297" s="2">
        <v>18649449</v>
      </c>
      <c r="J297">
        <v>261509</v>
      </c>
      <c r="K297" t="s">
        <v>15</v>
      </c>
      <c r="L297" t="str">
        <f t="shared" si="12"/>
        <v>Available</v>
      </c>
      <c r="M297">
        <f t="shared" si="13"/>
        <v>1</v>
      </c>
      <c r="N297">
        <f t="shared" si="14"/>
        <v>1</v>
      </c>
    </row>
    <row r="298" spans="1:14" x14ac:dyDescent="0.35">
      <c r="A298" t="s">
        <v>1854</v>
      </c>
      <c r="B298" t="s">
        <v>451</v>
      </c>
      <c r="C298" t="s">
        <v>450</v>
      </c>
      <c r="F298" s="1">
        <v>44866</v>
      </c>
      <c r="G298" s="1">
        <v>45099</v>
      </c>
      <c r="H298" t="s">
        <v>14</v>
      </c>
      <c r="I298" t="s">
        <v>2778</v>
      </c>
      <c r="J298">
        <v>266448</v>
      </c>
      <c r="K298" t="s">
        <v>30</v>
      </c>
      <c r="L298" t="str">
        <f t="shared" si="12"/>
        <v>Available</v>
      </c>
      <c r="M298">
        <f t="shared" si="13"/>
        <v>0</v>
      </c>
      <c r="N298">
        <f t="shared" si="14"/>
        <v>1</v>
      </c>
    </row>
    <row r="299" spans="1:14" x14ac:dyDescent="0.35">
      <c r="A299" t="s">
        <v>1855</v>
      </c>
      <c r="B299" t="s">
        <v>453</v>
      </c>
      <c r="C299" t="s">
        <v>452</v>
      </c>
      <c r="D299">
        <v>25</v>
      </c>
      <c r="E299" t="s">
        <v>13</v>
      </c>
      <c r="F299" s="1">
        <v>44497</v>
      </c>
      <c r="G299" s="1">
        <v>46059</v>
      </c>
      <c r="H299" t="s">
        <v>14</v>
      </c>
      <c r="I299" s="2">
        <v>77095</v>
      </c>
      <c r="J299">
        <v>264337</v>
      </c>
      <c r="K299" t="s">
        <v>15</v>
      </c>
      <c r="L299" t="str">
        <f t="shared" si="12"/>
        <v>Available</v>
      </c>
      <c r="M299">
        <f t="shared" si="13"/>
        <v>1</v>
      </c>
      <c r="N299">
        <f t="shared" si="14"/>
        <v>1</v>
      </c>
    </row>
    <row r="300" spans="1:14" x14ac:dyDescent="0.35">
      <c r="A300" t="s">
        <v>1856</v>
      </c>
      <c r="B300" t="s">
        <v>455</v>
      </c>
      <c r="C300" t="s">
        <v>454</v>
      </c>
      <c r="D300">
        <v>24</v>
      </c>
      <c r="E300" t="s">
        <v>13</v>
      </c>
      <c r="F300" s="1">
        <v>44498</v>
      </c>
      <c r="G300" s="1">
        <v>46059</v>
      </c>
      <c r="H300" t="s">
        <v>14</v>
      </c>
      <c r="I300" t="s">
        <v>2778</v>
      </c>
      <c r="J300">
        <v>266541</v>
      </c>
      <c r="K300" t="s">
        <v>30</v>
      </c>
      <c r="L300" t="str">
        <f t="shared" si="12"/>
        <v>Available</v>
      </c>
      <c r="M300">
        <f t="shared" si="13"/>
        <v>0</v>
      </c>
      <c r="N300">
        <f t="shared" si="14"/>
        <v>1</v>
      </c>
    </row>
    <row r="301" spans="1:14" x14ac:dyDescent="0.35">
      <c r="A301" t="s">
        <v>1857</v>
      </c>
      <c r="B301" t="s">
        <v>445</v>
      </c>
      <c r="C301" t="s">
        <v>456</v>
      </c>
      <c r="D301">
        <v>16</v>
      </c>
      <c r="E301" t="s">
        <v>35</v>
      </c>
      <c r="F301" s="1">
        <v>45032</v>
      </c>
      <c r="G301" s="1">
        <v>46058</v>
      </c>
      <c r="H301" t="s">
        <v>14</v>
      </c>
      <c r="I301" s="2">
        <v>27878096</v>
      </c>
      <c r="J301">
        <v>266980</v>
      </c>
      <c r="K301" t="s">
        <v>15</v>
      </c>
      <c r="L301" t="str">
        <f t="shared" si="12"/>
        <v>Available</v>
      </c>
      <c r="M301">
        <f t="shared" si="13"/>
        <v>1</v>
      </c>
      <c r="N301">
        <f t="shared" si="14"/>
        <v>1</v>
      </c>
    </row>
    <row r="302" spans="1:14" x14ac:dyDescent="0.35">
      <c r="A302" t="s">
        <v>1858</v>
      </c>
      <c r="B302" t="s">
        <v>458</v>
      </c>
      <c r="C302" t="s">
        <v>457</v>
      </c>
      <c r="D302">
        <v>24</v>
      </c>
      <c r="E302" t="s">
        <v>13</v>
      </c>
      <c r="F302" s="1">
        <v>44498</v>
      </c>
      <c r="G302" s="1">
        <v>46045</v>
      </c>
      <c r="H302" t="s">
        <v>14</v>
      </c>
      <c r="I302" s="2">
        <v>18628384</v>
      </c>
      <c r="J302">
        <v>266910</v>
      </c>
      <c r="K302" t="s">
        <v>15</v>
      </c>
      <c r="L302" t="str">
        <f t="shared" si="12"/>
        <v>Available</v>
      </c>
      <c r="M302">
        <f t="shared" si="13"/>
        <v>1</v>
      </c>
      <c r="N302">
        <f t="shared" si="14"/>
        <v>1</v>
      </c>
    </row>
    <row r="303" spans="1:14" x14ac:dyDescent="0.35">
      <c r="A303" t="s">
        <v>1859</v>
      </c>
      <c r="B303" t="s">
        <v>96</v>
      </c>
      <c r="C303" t="s">
        <v>459</v>
      </c>
      <c r="D303">
        <v>24</v>
      </c>
      <c r="E303" t="s">
        <v>13</v>
      </c>
      <c r="F303" s="1">
        <v>44502</v>
      </c>
      <c r="G303" s="1">
        <v>45635</v>
      </c>
      <c r="H303" t="s">
        <v>14</v>
      </c>
      <c r="I303" t="s">
        <v>2778</v>
      </c>
      <c r="J303">
        <v>267057</v>
      </c>
      <c r="K303" t="s">
        <v>30</v>
      </c>
      <c r="L303" t="str">
        <f t="shared" si="12"/>
        <v>Available</v>
      </c>
      <c r="M303">
        <f t="shared" si="13"/>
        <v>0</v>
      </c>
      <c r="N303">
        <f t="shared" si="14"/>
        <v>1</v>
      </c>
    </row>
    <row r="304" spans="1:14" x14ac:dyDescent="0.35">
      <c r="A304" t="s">
        <v>1860</v>
      </c>
      <c r="B304" t="s">
        <v>461</v>
      </c>
      <c r="C304" t="s">
        <v>460</v>
      </c>
      <c r="F304" s="1">
        <v>44501</v>
      </c>
      <c r="G304" s="1">
        <v>45287</v>
      </c>
      <c r="H304" t="s">
        <v>14</v>
      </c>
      <c r="I304" t="s">
        <v>2778</v>
      </c>
      <c r="J304">
        <v>266340</v>
      </c>
      <c r="K304" t="s">
        <v>30</v>
      </c>
      <c r="L304" t="str">
        <f t="shared" si="12"/>
        <v>Available</v>
      </c>
      <c r="M304">
        <f t="shared" si="13"/>
        <v>0</v>
      </c>
      <c r="N304">
        <f t="shared" si="14"/>
        <v>1</v>
      </c>
    </row>
    <row r="305" spans="1:14" x14ac:dyDescent="0.35">
      <c r="A305" t="s">
        <v>1861</v>
      </c>
      <c r="B305" t="s">
        <v>463</v>
      </c>
      <c r="C305" t="s">
        <v>462</v>
      </c>
      <c r="D305">
        <v>16.906742000000001</v>
      </c>
      <c r="E305" t="s">
        <v>35</v>
      </c>
      <c r="F305" s="1">
        <v>45099</v>
      </c>
      <c r="G305" s="1">
        <v>46058</v>
      </c>
      <c r="H305" t="s">
        <v>14</v>
      </c>
      <c r="I305" t="s">
        <v>2778</v>
      </c>
      <c r="J305">
        <v>266408</v>
      </c>
      <c r="K305" t="s">
        <v>30</v>
      </c>
      <c r="L305" t="str">
        <f t="shared" si="12"/>
        <v>Available</v>
      </c>
      <c r="M305">
        <f t="shared" si="13"/>
        <v>0</v>
      </c>
      <c r="N305">
        <f t="shared" si="14"/>
        <v>1</v>
      </c>
    </row>
    <row r="306" spans="1:14" x14ac:dyDescent="0.35">
      <c r="A306" t="s">
        <v>1862</v>
      </c>
      <c r="B306" t="s">
        <v>465</v>
      </c>
      <c r="C306" t="s">
        <v>464</v>
      </c>
      <c r="D306">
        <v>32.304347999999997</v>
      </c>
      <c r="E306" t="s">
        <v>13</v>
      </c>
      <c r="F306" s="1">
        <v>44507</v>
      </c>
      <c r="G306" s="1">
        <v>46056</v>
      </c>
      <c r="H306" t="s">
        <v>14</v>
      </c>
      <c r="I306" s="2">
        <v>110868</v>
      </c>
      <c r="J306">
        <v>262204</v>
      </c>
      <c r="K306" t="s">
        <v>15</v>
      </c>
      <c r="L306" t="str">
        <f t="shared" si="12"/>
        <v>Available</v>
      </c>
      <c r="M306">
        <f t="shared" si="13"/>
        <v>1</v>
      </c>
      <c r="N306">
        <f t="shared" si="14"/>
        <v>1</v>
      </c>
    </row>
    <row r="307" spans="1:14" x14ac:dyDescent="0.35">
      <c r="A307" t="s">
        <v>1863</v>
      </c>
      <c r="B307" t="s">
        <v>58</v>
      </c>
      <c r="C307" t="s">
        <v>466</v>
      </c>
      <c r="D307">
        <v>24</v>
      </c>
      <c r="E307" t="s">
        <v>13</v>
      </c>
      <c r="F307" s="1">
        <v>44497</v>
      </c>
      <c r="G307" s="1">
        <v>46060</v>
      </c>
      <c r="H307" t="s">
        <v>14</v>
      </c>
      <c r="I307" s="2">
        <v>39352</v>
      </c>
      <c r="J307">
        <v>262020</v>
      </c>
      <c r="K307" t="s">
        <v>15</v>
      </c>
      <c r="L307" t="str">
        <f t="shared" si="12"/>
        <v>Available</v>
      </c>
      <c r="M307">
        <f t="shared" si="13"/>
        <v>1</v>
      </c>
      <c r="N307">
        <f t="shared" si="14"/>
        <v>1</v>
      </c>
    </row>
    <row r="308" spans="1:14" x14ac:dyDescent="0.35">
      <c r="A308" t="s">
        <v>1864</v>
      </c>
      <c r="B308" t="s">
        <v>58</v>
      </c>
      <c r="C308" t="s">
        <v>467</v>
      </c>
      <c r="D308">
        <v>20.288091000000001</v>
      </c>
      <c r="E308" t="s">
        <v>35</v>
      </c>
      <c r="F308" s="1">
        <v>45949</v>
      </c>
      <c r="G308" s="1">
        <v>46058</v>
      </c>
      <c r="H308" t="s">
        <v>14</v>
      </c>
      <c r="I308" t="s">
        <v>2778</v>
      </c>
      <c r="J308">
        <v>261783</v>
      </c>
      <c r="K308" t="s">
        <v>30</v>
      </c>
      <c r="L308" t="str">
        <f t="shared" si="12"/>
        <v>Available</v>
      </c>
      <c r="M308">
        <f t="shared" si="13"/>
        <v>0</v>
      </c>
      <c r="N308">
        <f t="shared" si="14"/>
        <v>1</v>
      </c>
    </row>
    <row r="309" spans="1:14" x14ac:dyDescent="0.35">
      <c r="A309" t="s">
        <v>1865</v>
      </c>
      <c r="B309" t="s">
        <v>27</v>
      </c>
      <c r="C309" t="s">
        <v>468</v>
      </c>
      <c r="D309">
        <v>24</v>
      </c>
      <c r="E309" t="s">
        <v>13</v>
      </c>
      <c r="F309" s="1">
        <v>44497</v>
      </c>
      <c r="G309" s="1">
        <v>46060</v>
      </c>
      <c r="H309" t="s">
        <v>14</v>
      </c>
      <c r="I309" s="2">
        <v>91515</v>
      </c>
      <c r="J309">
        <v>261859</v>
      </c>
      <c r="K309" t="s">
        <v>15</v>
      </c>
      <c r="L309" t="str">
        <f t="shared" si="12"/>
        <v>Available</v>
      </c>
      <c r="M309">
        <f t="shared" si="13"/>
        <v>1</v>
      </c>
      <c r="N309">
        <f t="shared" si="14"/>
        <v>1</v>
      </c>
    </row>
    <row r="310" spans="1:14" x14ac:dyDescent="0.35">
      <c r="A310" t="s">
        <v>1866</v>
      </c>
      <c r="B310" t="s">
        <v>470</v>
      </c>
      <c r="C310" t="s">
        <v>469</v>
      </c>
      <c r="D310">
        <v>24</v>
      </c>
      <c r="E310" t="s">
        <v>13</v>
      </c>
      <c r="F310" s="1">
        <v>45679</v>
      </c>
      <c r="G310" s="1">
        <v>46059</v>
      </c>
      <c r="H310" t="s">
        <v>14</v>
      </c>
      <c r="I310" s="2">
        <v>64419193</v>
      </c>
      <c r="J310">
        <v>261762</v>
      </c>
      <c r="K310" t="s">
        <v>15</v>
      </c>
      <c r="L310" t="str">
        <f t="shared" si="12"/>
        <v>Available</v>
      </c>
      <c r="M310">
        <f t="shared" si="13"/>
        <v>1</v>
      </c>
      <c r="N310">
        <f t="shared" si="14"/>
        <v>1</v>
      </c>
    </row>
    <row r="311" spans="1:14" x14ac:dyDescent="0.35">
      <c r="A311" t="s">
        <v>1867</v>
      </c>
      <c r="B311" t="s">
        <v>472</v>
      </c>
      <c r="C311" t="s">
        <v>471</v>
      </c>
      <c r="D311">
        <v>24</v>
      </c>
      <c r="E311" t="s">
        <v>13</v>
      </c>
      <c r="F311" s="1">
        <v>44497</v>
      </c>
      <c r="G311" s="1">
        <v>46059</v>
      </c>
      <c r="H311" t="s">
        <v>14</v>
      </c>
      <c r="I311" s="2">
        <v>252547</v>
      </c>
      <c r="J311">
        <v>266386</v>
      </c>
      <c r="K311" t="s">
        <v>15</v>
      </c>
      <c r="L311" t="str">
        <f t="shared" si="12"/>
        <v>Available</v>
      </c>
      <c r="M311">
        <f t="shared" si="13"/>
        <v>1</v>
      </c>
      <c r="N311">
        <f t="shared" si="14"/>
        <v>1</v>
      </c>
    </row>
    <row r="312" spans="1:14" x14ac:dyDescent="0.35">
      <c r="A312" t="s">
        <v>1868</v>
      </c>
      <c r="B312" t="s">
        <v>474</v>
      </c>
      <c r="C312" t="s">
        <v>473</v>
      </c>
      <c r="D312">
        <v>28</v>
      </c>
      <c r="E312" t="s">
        <v>13</v>
      </c>
      <c r="F312" s="1">
        <v>44500</v>
      </c>
      <c r="G312" s="1">
        <v>46057</v>
      </c>
      <c r="H312" t="s">
        <v>14</v>
      </c>
      <c r="I312" t="s">
        <v>2778</v>
      </c>
      <c r="J312">
        <v>264068</v>
      </c>
      <c r="K312" t="s">
        <v>30</v>
      </c>
      <c r="L312" t="str">
        <f t="shared" si="12"/>
        <v>Available</v>
      </c>
      <c r="M312">
        <f t="shared" si="13"/>
        <v>0</v>
      </c>
      <c r="N312">
        <f t="shared" si="14"/>
        <v>1</v>
      </c>
    </row>
    <row r="313" spans="1:14" x14ac:dyDescent="0.35">
      <c r="A313" t="s">
        <v>1869</v>
      </c>
      <c r="B313" t="s">
        <v>455</v>
      </c>
      <c r="C313" t="s">
        <v>475</v>
      </c>
      <c r="D313">
        <v>24</v>
      </c>
      <c r="E313" t="s">
        <v>13</v>
      </c>
      <c r="F313" s="1">
        <v>44498</v>
      </c>
      <c r="G313" s="1">
        <v>46059</v>
      </c>
      <c r="H313" t="s">
        <v>14</v>
      </c>
      <c r="I313" s="2">
        <v>19793112</v>
      </c>
      <c r="J313">
        <v>261880</v>
      </c>
      <c r="K313" t="s">
        <v>15</v>
      </c>
      <c r="L313" t="str">
        <f t="shared" si="12"/>
        <v>Available</v>
      </c>
      <c r="M313">
        <f t="shared" si="13"/>
        <v>1</v>
      </c>
      <c r="N313">
        <f t="shared" si="14"/>
        <v>1</v>
      </c>
    </row>
    <row r="314" spans="1:14" x14ac:dyDescent="0.35">
      <c r="A314" t="s">
        <v>1870</v>
      </c>
      <c r="B314" t="s">
        <v>47</v>
      </c>
      <c r="C314" t="s">
        <v>476</v>
      </c>
      <c r="D314">
        <v>135</v>
      </c>
      <c r="E314" t="s">
        <v>13</v>
      </c>
      <c r="F314" s="1">
        <v>44497</v>
      </c>
      <c r="G314" s="1">
        <v>46058</v>
      </c>
      <c r="H314" t="s">
        <v>14</v>
      </c>
      <c r="I314" t="s">
        <v>2778</v>
      </c>
      <c r="J314">
        <v>262051</v>
      </c>
      <c r="K314" t="s">
        <v>30</v>
      </c>
      <c r="L314" t="str">
        <f t="shared" si="12"/>
        <v>Available</v>
      </c>
      <c r="M314">
        <f t="shared" si="13"/>
        <v>0</v>
      </c>
      <c r="N314">
        <f t="shared" si="14"/>
        <v>1</v>
      </c>
    </row>
    <row r="315" spans="1:14" x14ac:dyDescent="0.35">
      <c r="A315" t="s">
        <v>1871</v>
      </c>
      <c r="B315" t="s">
        <v>123</v>
      </c>
      <c r="C315" t="s">
        <v>477</v>
      </c>
      <c r="D315">
        <v>45</v>
      </c>
      <c r="E315" t="s">
        <v>13</v>
      </c>
      <c r="F315" s="1">
        <v>44497</v>
      </c>
      <c r="G315" s="1">
        <v>46060</v>
      </c>
      <c r="H315" t="s">
        <v>14</v>
      </c>
      <c r="I315" s="2">
        <v>36161</v>
      </c>
      <c r="J315">
        <v>264446</v>
      </c>
      <c r="K315" t="s">
        <v>15</v>
      </c>
      <c r="L315" t="str">
        <f t="shared" si="12"/>
        <v>Available</v>
      </c>
      <c r="M315">
        <f t="shared" si="13"/>
        <v>1</v>
      </c>
      <c r="N315">
        <f t="shared" si="14"/>
        <v>1</v>
      </c>
    </row>
    <row r="316" spans="1:14" x14ac:dyDescent="0.35">
      <c r="A316" t="s">
        <v>1872</v>
      </c>
      <c r="B316" t="s">
        <v>479</v>
      </c>
      <c r="C316" t="s">
        <v>478</v>
      </c>
      <c r="D316">
        <v>24</v>
      </c>
      <c r="E316" t="s">
        <v>13</v>
      </c>
      <c r="F316" s="1">
        <v>44665</v>
      </c>
      <c r="G316" s="1">
        <v>46059</v>
      </c>
      <c r="H316" t="s">
        <v>14</v>
      </c>
      <c r="I316" s="2">
        <v>26979968</v>
      </c>
      <c r="J316">
        <v>264312</v>
      </c>
      <c r="K316" t="s">
        <v>15</v>
      </c>
      <c r="L316" t="str">
        <f t="shared" si="12"/>
        <v>Available</v>
      </c>
      <c r="M316">
        <f t="shared" si="13"/>
        <v>1</v>
      </c>
      <c r="N316">
        <f t="shared" si="14"/>
        <v>1</v>
      </c>
    </row>
    <row r="317" spans="1:14" x14ac:dyDescent="0.35">
      <c r="A317" t="s">
        <v>1873</v>
      </c>
      <c r="B317" t="s">
        <v>481</v>
      </c>
      <c r="C317" t="s">
        <v>480</v>
      </c>
      <c r="D317">
        <v>25</v>
      </c>
      <c r="E317" t="s">
        <v>13</v>
      </c>
      <c r="F317" s="1">
        <v>44497</v>
      </c>
      <c r="G317" s="1">
        <v>46058</v>
      </c>
      <c r="H317" t="s">
        <v>14</v>
      </c>
      <c r="I317" s="2">
        <v>23525742</v>
      </c>
      <c r="J317">
        <v>266291</v>
      </c>
      <c r="K317" t="s">
        <v>15</v>
      </c>
      <c r="L317" t="str">
        <f t="shared" si="12"/>
        <v>Available</v>
      </c>
      <c r="M317">
        <f t="shared" si="13"/>
        <v>1</v>
      </c>
      <c r="N317">
        <f t="shared" si="14"/>
        <v>1</v>
      </c>
    </row>
    <row r="318" spans="1:14" x14ac:dyDescent="0.35">
      <c r="A318" t="s">
        <v>1874</v>
      </c>
      <c r="B318" t="s">
        <v>483</v>
      </c>
      <c r="C318" t="s">
        <v>482</v>
      </c>
      <c r="D318">
        <v>16.906742000000001</v>
      </c>
      <c r="E318" t="s">
        <v>35</v>
      </c>
      <c r="F318" s="1">
        <v>45099</v>
      </c>
      <c r="G318" s="1">
        <v>46058</v>
      </c>
      <c r="H318" t="s">
        <v>14</v>
      </c>
      <c r="I318" t="s">
        <v>2778</v>
      </c>
      <c r="J318">
        <v>266318</v>
      </c>
      <c r="K318" t="s">
        <v>30</v>
      </c>
      <c r="L318" t="str">
        <f t="shared" si="12"/>
        <v>Available</v>
      </c>
      <c r="M318">
        <f t="shared" si="13"/>
        <v>0</v>
      </c>
      <c r="N318">
        <f t="shared" si="14"/>
        <v>1</v>
      </c>
    </row>
    <row r="319" spans="1:14" x14ac:dyDescent="0.35">
      <c r="A319" t="s">
        <v>1875</v>
      </c>
      <c r="B319" t="s">
        <v>485</v>
      </c>
      <c r="C319" t="s">
        <v>484</v>
      </c>
      <c r="D319">
        <v>24</v>
      </c>
      <c r="E319" t="s">
        <v>13</v>
      </c>
      <c r="F319" s="1">
        <v>44500</v>
      </c>
      <c r="G319" s="1">
        <v>46059</v>
      </c>
      <c r="H319" t="s">
        <v>14</v>
      </c>
      <c r="I319" t="s">
        <v>2778</v>
      </c>
      <c r="J319">
        <v>262141</v>
      </c>
      <c r="K319" t="s">
        <v>30</v>
      </c>
      <c r="L319" t="str">
        <f t="shared" si="12"/>
        <v>Available</v>
      </c>
      <c r="M319">
        <f t="shared" si="13"/>
        <v>0</v>
      </c>
      <c r="N319">
        <f t="shared" si="14"/>
        <v>1</v>
      </c>
    </row>
    <row r="320" spans="1:14" x14ac:dyDescent="0.35">
      <c r="A320" t="s">
        <v>1876</v>
      </c>
      <c r="B320" t="s">
        <v>487</v>
      </c>
      <c r="C320" t="s">
        <v>486</v>
      </c>
      <c r="D320">
        <v>17</v>
      </c>
      <c r="E320" t="s">
        <v>13</v>
      </c>
      <c r="F320" s="1">
        <v>44738</v>
      </c>
      <c r="G320" s="1">
        <v>46058</v>
      </c>
      <c r="H320" t="s">
        <v>14</v>
      </c>
      <c r="I320" s="2">
        <v>26992768</v>
      </c>
      <c r="J320">
        <v>264143</v>
      </c>
      <c r="K320" t="s">
        <v>15</v>
      </c>
      <c r="L320" t="str">
        <f t="shared" si="12"/>
        <v>Available</v>
      </c>
      <c r="M320">
        <f t="shared" si="13"/>
        <v>1</v>
      </c>
      <c r="N320">
        <f t="shared" si="14"/>
        <v>1</v>
      </c>
    </row>
    <row r="321" spans="1:14" x14ac:dyDescent="0.35">
      <c r="A321" t="s">
        <v>1877</v>
      </c>
      <c r="B321" t="s">
        <v>489</v>
      </c>
      <c r="C321" t="s">
        <v>488</v>
      </c>
      <c r="D321">
        <v>8.8000000000000007</v>
      </c>
      <c r="E321" t="s">
        <v>13</v>
      </c>
      <c r="F321" s="1">
        <v>45524</v>
      </c>
      <c r="G321" s="1">
        <v>46058</v>
      </c>
      <c r="H321" t="s">
        <v>14</v>
      </c>
      <c r="I321" s="2">
        <v>53639591</v>
      </c>
      <c r="J321">
        <v>266810</v>
      </c>
      <c r="K321" t="s">
        <v>15</v>
      </c>
      <c r="L321" t="str">
        <f t="shared" si="12"/>
        <v>Available</v>
      </c>
      <c r="M321">
        <f t="shared" si="13"/>
        <v>1</v>
      </c>
      <c r="N321">
        <f t="shared" si="14"/>
        <v>1</v>
      </c>
    </row>
    <row r="322" spans="1:14" x14ac:dyDescent="0.35">
      <c r="A322" t="s">
        <v>1878</v>
      </c>
      <c r="B322" t="s">
        <v>491</v>
      </c>
      <c r="C322" t="s">
        <v>490</v>
      </c>
      <c r="F322" s="1">
        <v>44500</v>
      </c>
      <c r="G322" s="1">
        <v>45116</v>
      </c>
      <c r="H322" t="s">
        <v>14</v>
      </c>
      <c r="I322" t="s">
        <v>2778</v>
      </c>
      <c r="J322">
        <v>267058</v>
      </c>
      <c r="K322" t="s">
        <v>30</v>
      </c>
      <c r="L322" t="str">
        <f t="shared" si="12"/>
        <v>Available</v>
      </c>
      <c r="M322">
        <f t="shared" si="13"/>
        <v>0</v>
      </c>
      <c r="N322">
        <f t="shared" si="14"/>
        <v>1</v>
      </c>
    </row>
    <row r="323" spans="1:14" x14ac:dyDescent="0.35">
      <c r="A323" t="s">
        <v>1879</v>
      </c>
      <c r="B323" t="s">
        <v>253</v>
      </c>
      <c r="C323" t="s">
        <v>492</v>
      </c>
      <c r="D323">
        <v>24</v>
      </c>
      <c r="E323" t="s">
        <v>13</v>
      </c>
      <c r="F323" s="1">
        <v>45833</v>
      </c>
      <c r="G323" s="1">
        <v>45952</v>
      </c>
      <c r="H323" t="s">
        <v>14</v>
      </c>
      <c r="I323" t="s">
        <v>2778</v>
      </c>
      <c r="J323">
        <v>264103</v>
      </c>
      <c r="K323" t="s">
        <v>30</v>
      </c>
      <c r="L323" t="str">
        <f t="shared" ref="L323:L386" si="15">IF(OR(B323="",ISBLANK(B323)),"Missing","Available")</f>
        <v>Available</v>
      </c>
      <c r="M323">
        <f t="shared" ref="M323:M386" si="16">IF(K323="Mapped",1,0)</f>
        <v>0</v>
      </c>
      <c r="N323">
        <f t="shared" ref="N323:N386" si="17">IF(AND(B323&lt;&gt;"",A323&lt;&gt;""),1,0)</f>
        <v>1</v>
      </c>
    </row>
    <row r="324" spans="1:14" x14ac:dyDescent="0.35">
      <c r="A324" t="s">
        <v>1880</v>
      </c>
      <c r="B324" t="s">
        <v>494</v>
      </c>
      <c r="C324" t="s">
        <v>493</v>
      </c>
      <c r="D324">
        <v>24</v>
      </c>
      <c r="E324" t="s">
        <v>13</v>
      </c>
      <c r="F324" s="1">
        <v>44500</v>
      </c>
      <c r="G324" s="1">
        <v>46059</v>
      </c>
      <c r="H324" t="s">
        <v>14</v>
      </c>
      <c r="I324" s="2">
        <v>577680</v>
      </c>
      <c r="J324">
        <v>266285</v>
      </c>
      <c r="K324" t="s">
        <v>15</v>
      </c>
      <c r="L324" t="str">
        <f t="shared" si="15"/>
        <v>Available</v>
      </c>
      <c r="M324">
        <f t="shared" si="16"/>
        <v>1</v>
      </c>
      <c r="N324">
        <f t="shared" si="17"/>
        <v>1</v>
      </c>
    </row>
    <row r="325" spans="1:14" x14ac:dyDescent="0.35">
      <c r="A325" t="s">
        <v>1881</v>
      </c>
      <c r="C325" t="s">
        <v>495</v>
      </c>
      <c r="D325">
        <v>24</v>
      </c>
      <c r="E325" t="s">
        <v>13</v>
      </c>
      <c r="F325" s="1">
        <v>44497</v>
      </c>
      <c r="G325" s="1">
        <v>46059</v>
      </c>
      <c r="H325" t="s">
        <v>14</v>
      </c>
      <c r="I325" s="2">
        <v>19624852</v>
      </c>
      <c r="J325">
        <v>264561</v>
      </c>
      <c r="K325" t="s">
        <v>15</v>
      </c>
      <c r="L325" t="str">
        <f t="shared" si="15"/>
        <v>Missing</v>
      </c>
      <c r="M325">
        <f t="shared" si="16"/>
        <v>1</v>
      </c>
      <c r="N325">
        <f t="shared" si="17"/>
        <v>0</v>
      </c>
    </row>
    <row r="326" spans="1:14" x14ac:dyDescent="0.35">
      <c r="A326" t="s">
        <v>1882</v>
      </c>
      <c r="C326" t="s">
        <v>496</v>
      </c>
      <c r="D326">
        <v>26</v>
      </c>
      <c r="E326" t="s">
        <v>13</v>
      </c>
      <c r="F326" s="1">
        <v>44498</v>
      </c>
      <c r="G326" s="1">
        <v>46056</v>
      </c>
      <c r="H326" t="s">
        <v>14</v>
      </c>
      <c r="I326" s="2">
        <v>73929</v>
      </c>
      <c r="J326">
        <v>262566</v>
      </c>
      <c r="K326" t="s">
        <v>15</v>
      </c>
      <c r="L326" t="str">
        <f t="shared" si="15"/>
        <v>Missing</v>
      </c>
      <c r="M326">
        <f t="shared" si="16"/>
        <v>1</v>
      </c>
      <c r="N326">
        <f t="shared" si="17"/>
        <v>0</v>
      </c>
    </row>
    <row r="327" spans="1:14" x14ac:dyDescent="0.35">
      <c r="A327" t="s">
        <v>1883</v>
      </c>
      <c r="B327" t="s">
        <v>156</v>
      </c>
      <c r="C327" t="s">
        <v>497</v>
      </c>
      <c r="D327">
        <v>24</v>
      </c>
      <c r="E327" t="s">
        <v>13</v>
      </c>
      <c r="F327" s="1">
        <v>44497</v>
      </c>
      <c r="G327" s="1">
        <v>46060</v>
      </c>
      <c r="H327" t="s">
        <v>14</v>
      </c>
      <c r="I327" s="2">
        <v>25652103</v>
      </c>
      <c r="J327">
        <v>266424</v>
      </c>
      <c r="K327" t="s">
        <v>15</v>
      </c>
      <c r="L327" t="str">
        <f t="shared" si="15"/>
        <v>Available</v>
      </c>
      <c r="M327">
        <f t="shared" si="16"/>
        <v>1</v>
      </c>
      <c r="N327">
        <f t="shared" si="17"/>
        <v>1</v>
      </c>
    </row>
    <row r="328" spans="1:14" x14ac:dyDescent="0.35">
      <c r="A328" t="s">
        <v>1884</v>
      </c>
      <c r="B328" t="s">
        <v>99</v>
      </c>
      <c r="C328" t="s">
        <v>498</v>
      </c>
      <c r="D328">
        <v>24</v>
      </c>
      <c r="E328" t="s">
        <v>13</v>
      </c>
      <c r="F328" s="1">
        <v>44497</v>
      </c>
      <c r="G328" s="1">
        <v>46059</v>
      </c>
      <c r="H328" t="s">
        <v>14</v>
      </c>
      <c r="I328" s="2">
        <v>19280366</v>
      </c>
      <c r="J328">
        <v>266461</v>
      </c>
      <c r="K328" t="s">
        <v>15</v>
      </c>
      <c r="L328" t="str">
        <f t="shared" si="15"/>
        <v>Available</v>
      </c>
      <c r="M328">
        <f t="shared" si="16"/>
        <v>1</v>
      </c>
      <c r="N328">
        <f t="shared" si="17"/>
        <v>1</v>
      </c>
    </row>
    <row r="329" spans="1:14" x14ac:dyDescent="0.35">
      <c r="A329" t="s">
        <v>1885</v>
      </c>
      <c r="B329" t="s">
        <v>62</v>
      </c>
      <c r="C329" t="s">
        <v>499</v>
      </c>
      <c r="D329">
        <v>24</v>
      </c>
      <c r="E329" t="s">
        <v>13</v>
      </c>
      <c r="F329" s="1">
        <v>44497</v>
      </c>
      <c r="G329" s="1">
        <v>46059</v>
      </c>
      <c r="H329" t="s">
        <v>14</v>
      </c>
      <c r="I329" s="2">
        <v>18412565</v>
      </c>
      <c r="J329">
        <v>261800</v>
      </c>
      <c r="K329" t="s">
        <v>15</v>
      </c>
      <c r="L329" t="str">
        <f t="shared" si="15"/>
        <v>Available</v>
      </c>
      <c r="M329">
        <f t="shared" si="16"/>
        <v>1</v>
      </c>
      <c r="N329">
        <f t="shared" si="17"/>
        <v>1</v>
      </c>
    </row>
    <row r="330" spans="1:14" x14ac:dyDescent="0.35">
      <c r="A330" t="s">
        <v>1886</v>
      </c>
      <c r="C330" t="s">
        <v>500</v>
      </c>
      <c r="D330">
        <v>38</v>
      </c>
      <c r="E330" t="s">
        <v>13</v>
      </c>
      <c r="F330" s="1">
        <v>44929</v>
      </c>
      <c r="G330" s="1">
        <v>46060</v>
      </c>
      <c r="H330" t="s">
        <v>14</v>
      </c>
      <c r="I330" s="2">
        <v>20680338</v>
      </c>
      <c r="J330">
        <v>267067</v>
      </c>
      <c r="K330" t="s">
        <v>15</v>
      </c>
      <c r="L330" t="str">
        <f t="shared" si="15"/>
        <v>Missing</v>
      </c>
      <c r="M330">
        <f t="shared" si="16"/>
        <v>1</v>
      </c>
      <c r="N330">
        <f t="shared" si="17"/>
        <v>0</v>
      </c>
    </row>
    <row r="331" spans="1:14" x14ac:dyDescent="0.35">
      <c r="A331" t="s">
        <v>1887</v>
      </c>
      <c r="B331" t="s">
        <v>402</v>
      </c>
      <c r="C331" t="s">
        <v>501</v>
      </c>
      <c r="D331">
        <v>24</v>
      </c>
      <c r="E331" t="s">
        <v>13</v>
      </c>
      <c r="F331" s="1">
        <v>44497</v>
      </c>
      <c r="G331" s="1">
        <v>46059</v>
      </c>
      <c r="H331" t="s">
        <v>14</v>
      </c>
      <c r="I331" s="2">
        <v>91489</v>
      </c>
      <c r="J331">
        <v>264455</v>
      </c>
      <c r="K331" t="s">
        <v>15</v>
      </c>
      <c r="L331" t="str">
        <f t="shared" si="15"/>
        <v>Available</v>
      </c>
      <c r="M331">
        <f t="shared" si="16"/>
        <v>1</v>
      </c>
      <c r="N331">
        <f t="shared" si="17"/>
        <v>1</v>
      </c>
    </row>
    <row r="332" spans="1:14" x14ac:dyDescent="0.35">
      <c r="A332" t="s">
        <v>1888</v>
      </c>
      <c r="B332" t="s">
        <v>503</v>
      </c>
      <c r="C332" t="s">
        <v>502</v>
      </c>
      <c r="D332">
        <v>23.9</v>
      </c>
      <c r="E332" t="s">
        <v>13</v>
      </c>
      <c r="F332" s="1">
        <v>44497</v>
      </c>
      <c r="G332" s="1">
        <v>46059</v>
      </c>
      <c r="H332" t="s">
        <v>14</v>
      </c>
      <c r="I332" s="2">
        <v>232513</v>
      </c>
      <c r="J332">
        <v>261695</v>
      </c>
      <c r="K332" t="s">
        <v>15</v>
      </c>
      <c r="L332" t="str">
        <f t="shared" si="15"/>
        <v>Available</v>
      </c>
      <c r="M332">
        <f t="shared" si="16"/>
        <v>1</v>
      </c>
      <c r="N332">
        <f t="shared" si="17"/>
        <v>1</v>
      </c>
    </row>
    <row r="333" spans="1:14" x14ac:dyDescent="0.35">
      <c r="A333" t="s">
        <v>1889</v>
      </c>
      <c r="B333" t="s">
        <v>43</v>
      </c>
      <c r="C333" t="s">
        <v>504</v>
      </c>
      <c r="D333">
        <v>25</v>
      </c>
      <c r="E333" t="s">
        <v>13</v>
      </c>
      <c r="F333" s="1">
        <v>44497</v>
      </c>
      <c r="G333" s="1">
        <v>46059</v>
      </c>
      <c r="H333" t="s">
        <v>14</v>
      </c>
      <c r="I333" s="2">
        <v>95028</v>
      </c>
      <c r="J333">
        <v>264071</v>
      </c>
      <c r="K333" t="s">
        <v>15</v>
      </c>
      <c r="L333" t="str">
        <f t="shared" si="15"/>
        <v>Available</v>
      </c>
      <c r="M333">
        <f t="shared" si="16"/>
        <v>1</v>
      </c>
      <c r="N333">
        <f t="shared" si="17"/>
        <v>1</v>
      </c>
    </row>
    <row r="334" spans="1:14" x14ac:dyDescent="0.35">
      <c r="A334" t="s">
        <v>1890</v>
      </c>
      <c r="B334" t="s">
        <v>186</v>
      </c>
      <c r="C334" t="s">
        <v>505</v>
      </c>
      <c r="D334">
        <v>24</v>
      </c>
      <c r="E334" t="s">
        <v>13</v>
      </c>
      <c r="F334" s="1">
        <v>44497</v>
      </c>
      <c r="G334" s="1">
        <v>46059</v>
      </c>
      <c r="H334" t="s">
        <v>14</v>
      </c>
      <c r="I334" s="2">
        <v>3406177</v>
      </c>
      <c r="J334">
        <v>264160</v>
      </c>
      <c r="K334" t="s">
        <v>15</v>
      </c>
      <c r="L334" t="str">
        <f t="shared" si="15"/>
        <v>Available</v>
      </c>
      <c r="M334">
        <f t="shared" si="16"/>
        <v>1</v>
      </c>
      <c r="N334">
        <f t="shared" si="17"/>
        <v>1</v>
      </c>
    </row>
    <row r="335" spans="1:14" x14ac:dyDescent="0.35">
      <c r="A335" t="s">
        <v>1891</v>
      </c>
      <c r="B335" t="s">
        <v>123</v>
      </c>
      <c r="C335" t="s">
        <v>506</v>
      </c>
      <c r="D335">
        <v>23.75</v>
      </c>
      <c r="E335" t="s">
        <v>13</v>
      </c>
      <c r="F335" s="1">
        <v>44994</v>
      </c>
      <c r="G335" s="1">
        <v>46059</v>
      </c>
      <c r="H335" t="s">
        <v>14</v>
      </c>
      <c r="I335" s="2">
        <v>29627781</v>
      </c>
      <c r="J335">
        <v>266377</v>
      </c>
      <c r="K335" t="s">
        <v>15</v>
      </c>
      <c r="L335" t="str">
        <f t="shared" si="15"/>
        <v>Available</v>
      </c>
      <c r="M335">
        <f t="shared" si="16"/>
        <v>1</v>
      </c>
      <c r="N335">
        <f t="shared" si="17"/>
        <v>1</v>
      </c>
    </row>
    <row r="336" spans="1:14" x14ac:dyDescent="0.35">
      <c r="A336" t="s">
        <v>1892</v>
      </c>
      <c r="B336" t="s">
        <v>39</v>
      </c>
      <c r="C336" t="s">
        <v>507</v>
      </c>
      <c r="D336">
        <v>32</v>
      </c>
      <c r="E336" t="s">
        <v>13</v>
      </c>
      <c r="F336" s="1">
        <v>44502</v>
      </c>
      <c r="G336" s="1">
        <v>46059</v>
      </c>
      <c r="H336" t="s">
        <v>14</v>
      </c>
      <c r="I336" s="2">
        <v>17671849</v>
      </c>
      <c r="J336">
        <v>264523</v>
      </c>
      <c r="K336" t="s">
        <v>15</v>
      </c>
      <c r="L336" t="str">
        <f t="shared" si="15"/>
        <v>Available</v>
      </c>
      <c r="M336">
        <f t="shared" si="16"/>
        <v>1</v>
      </c>
      <c r="N336">
        <f t="shared" si="17"/>
        <v>1</v>
      </c>
    </row>
    <row r="337" spans="1:14" x14ac:dyDescent="0.35">
      <c r="A337" t="s">
        <v>1893</v>
      </c>
      <c r="B337" t="s">
        <v>509</v>
      </c>
      <c r="C337" t="s">
        <v>508</v>
      </c>
      <c r="D337">
        <v>32</v>
      </c>
      <c r="E337" t="s">
        <v>13</v>
      </c>
      <c r="F337" s="1">
        <v>44497</v>
      </c>
      <c r="G337" s="1">
        <v>46060</v>
      </c>
      <c r="H337" t="s">
        <v>14</v>
      </c>
      <c r="I337" s="2">
        <v>20128017</v>
      </c>
      <c r="J337">
        <v>262282</v>
      </c>
      <c r="K337" t="s">
        <v>15</v>
      </c>
      <c r="L337" t="str">
        <f t="shared" si="15"/>
        <v>Available</v>
      </c>
      <c r="M337">
        <f t="shared" si="16"/>
        <v>1</v>
      </c>
      <c r="N337">
        <f t="shared" si="17"/>
        <v>1</v>
      </c>
    </row>
    <row r="338" spans="1:14" x14ac:dyDescent="0.35">
      <c r="A338" t="s">
        <v>1894</v>
      </c>
      <c r="B338" t="s">
        <v>273</v>
      </c>
      <c r="C338" t="s">
        <v>510</v>
      </c>
      <c r="D338">
        <v>25</v>
      </c>
      <c r="E338" t="s">
        <v>13</v>
      </c>
      <c r="F338" s="1">
        <v>44499</v>
      </c>
      <c r="G338" s="1">
        <v>46059</v>
      </c>
      <c r="H338" t="s">
        <v>14</v>
      </c>
      <c r="I338" s="2">
        <v>21354357</v>
      </c>
      <c r="J338">
        <v>264061</v>
      </c>
      <c r="K338" t="s">
        <v>15</v>
      </c>
      <c r="L338" t="str">
        <f t="shared" si="15"/>
        <v>Available</v>
      </c>
      <c r="M338">
        <f t="shared" si="16"/>
        <v>1</v>
      </c>
      <c r="N338">
        <f t="shared" si="17"/>
        <v>1</v>
      </c>
    </row>
    <row r="339" spans="1:14" x14ac:dyDescent="0.35">
      <c r="A339" t="s">
        <v>1895</v>
      </c>
      <c r="C339" t="s">
        <v>511</v>
      </c>
      <c r="D339">
        <v>28</v>
      </c>
      <c r="E339" t="s">
        <v>13</v>
      </c>
      <c r="F339" s="1">
        <v>44503</v>
      </c>
      <c r="G339" s="1">
        <v>46058</v>
      </c>
      <c r="H339" t="s">
        <v>14</v>
      </c>
      <c r="I339" s="2">
        <v>1556232</v>
      </c>
      <c r="J339">
        <v>264162</v>
      </c>
      <c r="K339" t="s">
        <v>15</v>
      </c>
      <c r="L339" t="str">
        <f t="shared" si="15"/>
        <v>Missing</v>
      </c>
      <c r="M339">
        <f t="shared" si="16"/>
        <v>1</v>
      </c>
      <c r="N339">
        <f t="shared" si="17"/>
        <v>0</v>
      </c>
    </row>
    <row r="340" spans="1:14" x14ac:dyDescent="0.35">
      <c r="A340" t="s">
        <v>1896</v>
      </c>
      <c r="B340" t="s">
        <v>420</v>
      </c>
      <c r="C340" t="s">
        <v>512</v>
      </c>
      <c r="F340" s="1">
        <v>45019</v>
      </c>
      <c r="G340" s="1">
        <v>45099</v>
      </c>
      <c r="H340" t="s">
        <v>14</v>
      </c>
      <c r="I340" t="s">
        <v>2778</v>
      </c>
      <c r="J340">
        <v>261482</v>
      </c>
      <c r="K340" t="s">
        <v>30</v>
      </c>
      <c r="L340" t="str">
        <f t="shared" si="15"/>
        <v>Available</v>
      </c>
      <c r="M340">
        <f t="shared" si="16"/>
        <v>0</v>
      </c>
      <c r="N340">
        <f t="shared" si="17"/>
        <v>1</v>
      </c>
    </row>
    <row r="341" spans="1:14" x14ac:dyDescent="0.35">
      <c r="A341" t="s">
        <v>1897</v>
      </c>
      <c r="C341" t="s">
        <v>513</v>
      </c>
      <c r="D341">
        <v>26</v>
      </c>
      <c r="E341" t="s">
        <v>13</v>
      </c>
      <c r="F341" s="1">
        <v>44498</v>
      </c>
      <c r="G341" s="1">
        <v>45952</v>
      </c>
      <c r="H341" t="s">
        <v>14</v>
      </c>
      <c r="I341" t="s">
        <v>2778</v>
      </c>
      <c r="J341">
        <v>261652</v>
      </c>
      <c r="K341" t="s">
        <v>30</v>
      </c>
      <c r="L341" t="str">
        <f t="shared" si="15"/>
        <v>Missing</v>
      </c>
      <c r="M341">
        <f t="shared" si="16"/>
        <v>0</v>
      </c>
      <c r="N341">
        <f t="shared" si="17"/>
        <v>0</v>
      </c>
    </row>
    <row r="342" spans="1:14" x14ac:dyDescent="0.35">
      <c r="A342" t="s">
        <v>1898</v>
      </c>
      <c r="B342" t="s">
        <v>515</v>
      </c>
      <c r="C342" t="s">
        <v>514</v>
      </c>
      <c r="D342">
        <v>14</v>
      </c>
      <c r="E342" t="s">
        <v>13</v>
      </c>
      <c r="F342" s="1">
        <v>44497</v>
      </c>
      <c r="G342" s="1">
        <v>46059</v>
      </c>
      <c r="H342" t="s">
        <v>14</v>
      </c>
      <c r="I342" s="2">
        <v>2725311</v>
      </c>
      <c r="J342">
        <v>262034</v>
      </c>
      <c r="K342" t="s">
        <v>15</v>
      </c>
      <c r="L342" t="str">
        <f t="shared" si="15"/>
        <v>Available</v>
      </c>
      <c r="M342">
        <f t="shared" si="16"/>
        <v>1</v>
      </c>
      <c r="N342">
        <f t="shared" si="17"/>
        <v>1</v>
      </c>
    </row>
    <row r="343" spans="1:14" x14ac:dyDescent="0.35">
      <c r="A343" t="s">
        <v>1899</v>
      </c>
      <c r="B343" t="s">
        <v>60</v>
      </c>
      <c r="C343" t="s">
        <v>516</v>
      </c>
      <c r="D343">
        <v>25</v>
      </c>
      <c r="E343" t="s">
        <v>13</v>
      </c>
      <c r="F343" s="1">
        <v>45335</v>
      </c>
      <c r="G343" s="1">
        <v>46058</v>
      </c>
      <c r="H343" t="s">
        <v>14</v>
      </c>
      <c r="I343" s="2">
        <v>42368658</v>
      </c>
      <c r="J343">
        <v>264458</v>
      </c>
      <c r="K343" t="s">
        <v>15</v>
      </c>
      <c r="L343" t="str">
        <f t="shared" si="15"/>
        <v>Available</v>
      </c>
      <c r="M343">
        <f t="shared" si="16"/>
        <v>1</v>
      </c>
      <c r="N343">
        <f t="shared" si="17"/>
        <v>1</v>
      </c>
    </row>
    <row r="344" spans="1:14" x14ac:dyDescent="0.35">
      <c r="A344" t="s">
        <v>1900</v>
      </c>
      <c r="B344" t="s">
        <v>518</v>
      </c>
      <c r="C344" t="s">
        <v>517</v>
      </c>
      <c r="D344">
        <v>25</v>
      </c>
      <c r="E344" t="s">
        <v>13</v>
      </c>
      <c r="F344" s="1">
        <v>44509</v>
      </c>
      <c r="G344" s="1">
        <v>46057</v>
      </c>
      <c r="H344" t="s">
        <v>14</v>
      </c>
      <c r="I344" s="2">
        <v>16698389</v>
      </c>
      <c r="J344">
        <v>261606</v>
      </c>
      <c r="K344" t="s">
        <v>15</v>
      </c>
      <c r="L344" t="str">
        <f t="shared" si="15"/>
        <v>Available</v>
      </c>
      <c r="M344">
        <f t="shared" si="16"/>
        <v>1</v>
      </c>
      <c r="N344">
        <f t="shared" si="17"/>
        <v>1</v>
      </c>
    </row>
    <row r="345" spans="1:14" x14ac:dyDescent="0.35">
      <c r="A345" t="s">
        <v>1901</v>
      </c>
      <c r="B345" t="s">
        <v>200</v>
      </c>
      <c r="C345" t="s">
        <v>519</v>
      </c>
      <c r="D345">
        <v>26</v>
      </c>
      <c r="E345" t="s">
        <v>13</v>
      </c>
      <c r="F345" s="1">
        <v>44497</v>
      </c>
      <c r="G345" s="1">
        <v>46059</v>
      </c>
      <c r="H345" t="s">
        <v>14</v>
      </c>
      <c r="I345" s="2">
        <v>1387358</v>
      </c>
      <c r="J345">
        <v>264116</v>
      </c>
      <c r="K345" t="s">
        <v>15</v>
      </c>
      <c r="L345" t="str">
        <f t="shared" si="15"/>
        <v>Available</v>
      </c>
      <c r="M345">
        <f t="shared" si="16"/>
        <v>1</v>
      </c>
      <c r="N345">
        <f t="shared" si="17"/>
        <v>1</v>
      </c>
    </row>
    <row r="346" spans="1:14" x14ac:dyDescent="0.35">
      <c r="A346" t="s">
        <v>1902</v>
      </c>
      <c r="B346" t="s">
        <v>521</v>
      </c>
      <c r="C346" t="s">
        <v>520</v>
      </c>
      <c r="D346">
        <v>32</v>
      </c>
      <c r="E346" t="s">
        <v>13</v>
      </c>
      <c r="F346" s="1">
        <v>44497</v>
      </c>
      <c r="G346" s="1">
        <v>46058</v>
      </c>
      <c r="H346" t="s">
        <v>14</v>
      </c>
      <c r="I346" s="2">
        <v>20211116</v>
      </c>
      <c r="J346">
        <v>264556</v>
      </c>
      <c r="K346" t="s">
        <v>15</v>
      </c>
      <c r="L346" t="str">
        <f t="shared" si="15"/>
        <v>Available</v>
      </c>
      <c r="M346">
        <f t="shared" si="16"/>
        <v>1</v>
      </c>
      <c r="N346">
        <f t="shared" si="17"/>
        <v>1</v>
      </c>
    </row>
    <row r="347" spans="1:14" x14ac:dyDescent="0.35">
      <c r="A347" t="s">
        <v>1903</v>
      </c>
      <c r="B347" t="s">
        <v>168</v>
      </c>
      <c r="C347" t="s">
        <v>522</v>
      </c>
      <c r="D347">
        <v>19.399999999999999</v>
      </c>
      <c r="E347" t="s">
        <v>13</v>
      </c>
      <c r="F347" s="1">
        <v>44497</v>
      </c>
      <c r="G347" s="1">
        <v>46059</v>
      </c>
      <c r="H347" t="s">
        <v>14</v>
      </c>
      <c r="I347" s="2">
        <v>19044988</v>
      </c>
      <c r="J347">
        <v>264144</v>
      </c>
      <c r="K347" t="s">
        <v>15</v>
      </c>
      <c r="L347" t="str">
        <f t="shared" si="15"/>
        <v>Available</v>
      </c>
      <c r="M347">
        <f t="shared" si="16"/>
        <v>1</v>
      </c>
      <c r="N347">
        <f t="shared" si="17"/>
        <v>1</v>
      </c>
    </row>
    <row r="348" spans="1:14" x14ac:dyDescent="0.35">
      <c r="A348" t="s">
        <v>1904</v>
      </c>
      <c r="B348" t="s">
        <v>215</v>
      </c>
      <c r="C348" t="s">
        <v>523</v>
      </c>
      <c r="D348">
        <v>24</v>
      </c>
      <c r="E348" t="s">
        <v>13</v>
      </c>
      <c r="F348" s="1">
        <v>44497</v>
      </c>
      <c r="G348" s="1">
        <v>46059</v>
      </c>
      <c r="H348" t="s">
        <v>14</v>
      </c>
      <c r="I348" s="2">
        <v>9993</v>
      </c>
      <c r="J348">
        <v>266308</v>
      </c>
      <c r="K348" t="s">
        <v>15</v>
      </c>
      <c r="L348" t="str">
        <f t="shared" si="15"/>
        <v>Available</v>
      </c>
      <c r="M348">
        <f t="shared" si="16"/>
        <v>1</v>
      </c>
      <c r="N348">
        <f t="shared" si="17"/>
        <v>1</v>
      </c>
    </row>
    <row r="349" spans="1:14" x14ac:dyDescent="0.35">
      <c r="A349" t="s">
        <v>1905</v>
      </c>
      <c r="B349" t="s">
        <v>278</v>
      </c>
      <c r="C349" t="s">
        <v>524</v>
      </c>
      <c r="D349">
        <v>25.5</v>
      </c>
      <c r="E349" t="s">
        <v>13</v>
      </c>
      <c r="F349" s="1">
        <v>44497</v>
      </c>
      <c r="G349" s="1">
        <v>46059</v>
      </c>
      <c r="H349" t="s">
        <v>14</v>
      </c>
      <c r="I349" s="2">
        <v>2778610</v>
      </c>
      <c r="J349">
        <v>264115</v>
      </c>
      <c r="K349" t="s">
        <v>15</v>
      </c>
      <c r="L349" t="str">
        <f t="shared" si="15"/>
        <v>Available</v>
      </c>
      <c r="M349">
        <f t="shared" si="16"/>
        <v>1</v>
      </c>
      <c r="N349">
        <f t="shared" si="17"/>
        <v>1</v>
      </c>
    </row>
    <row r="350" spans="1:14" x14ac:dyDescent="0.35">
      <c r="A350" t="s">
        <v>1906</v>
      </c>
      <c r="B350" t="s">
        <v>12</v>
      </c>
      <c r="C350" t="s">
        <v>525</v>
      </c>
      <c r="D350">
        <v>24</v>
      </c>
      <c r="E350" t="s">
        <v>13</v>
      </c>
      <c r="F350" s="1">
        <v>44497</v>
      </c>
      <c r="G350" s="1">
        <v>46059</v>
      </c>
      <c r="H350" t="s">
        <v>14</v>
      </c>
      <c r="I350" s="2">
        <v>73923</v>
      </c>
      <c r="J350">
        <v>264107</v>
      </c>
      <c r="K350" t="s">
        <v>15</v>
      </c>
      <c r="L350" t="str">
        <f t="shared" si="15"/>
        <v>Available</v>
      </c>
      <c r="M350">
        <f t="shared" si="16"/>
        <v>1</v>
      </c>
      <c r="N350">
        <f t="shared" si="17"/>
        <v>1</v>
      </c>
    </row>
    <row r="351" spans="1:14" x14ac:dyDescent="0.35">
      <c r="A351" t="s">
        <v>1907</v>
      </c>
      <c r="B351" t="s">
        <v>527</v>
      </c>
      <c r="C351" t="s">
        <v>526</v>
      </c>
      <c r="D351">
        <v>24</v>
      </c>
      <c r="E351" t="s">
        <v>13</v>
      </c>
      <c r="F351" s="1">
        <v>44497</v>
      </c>
      <c r="G351" s="1">
        <v>46058</v>
      </c>
      <c r="H351" t="s">
        <v>14</v>
      </c>
      <c r="I351" s="2">
        <v>19226244</v>
      </c>
      <c r="J351">
        <v>267108</v>
      </c>
      <c r="K351" t="s">
        <v>15</v>
      </c>
      <c r="L351" t="str">
        <f t="shared" si="15"/>
        <v>Available</v>
      </c>
      <c r="M351">
        <f t="shared" si="16"/>
        <v>1</v>
      </c>
      <c r="N351">
        <f t="shared" si="17"/>
        <v>1</v>
      </c>
    </row>
    <row r="352" spans="1:14" x14ac:dyDescent="0.35">
      <c r="A352" t="s">
        <v>1908</v>
      </c>
      <c r="B352" t="s">
        <v>529</v>
      </c>
      <c r="C352" t="s">
        <v>528</v>
      </c>
      <c r="D352">
        <v>26</v>
      </c>
      <c r="E352" t="s">
        <v>13</v>
      </c>
      <c r="F352" s="1">
        <v>44500</v>
      </c>
      <c r="G352" s="1">
        <v>46059</v>
      </c>
      <c r="H352" t="s">
        <v>14</v>
      </c>
      <c r="I352" s="2">
        <v>110850</v>
      </c>
      <c r="J352">
        <v>262621</v>
      </c>
      <c r="K352" t="s">
        <v>15</v>
      </c>
      <c r="L352" t="str">
        <f t="shared" si="15"/>
        <v>Available</v>
      </c>
      <c r="M352">
        <f t="shared" si="16"/>
        <v>1</v>
      </c>
      <c r="N352">
        <f t="shared" si="17"/>
        <v>1</v>
      </c>
    </row>
    <row r="353" spans="1:14" x14ac:dyDescent="0.35">
      <c r="A353" t="s">
        <v>1909</v>
      </c>
      <c r="B353" t="s">
        <v>137</v>
      </c>
      <c r="C353" t="s">
        <v>530</v>
      </c>
      <c r="D353">
        <v>21.2</v>
      </c>
      <c r="E353" t="s">
        <v>13</v>
      </c>
      <c r="F353" s="1">
        <v>44538</v>
      </c>
      <c r="G353" s="1">
        <v>46058</v>
      </c>
      <c r="H353" t="s">
        <v>14</v>
      </c>
      <c r="I353" s="2">
        <v>26250896</v>
      </c>
      <c r="J353">
        <v>262264</v>
      </c>
      <c r="K353" t="s">
        <v>15</v>
      </c>
      <c r="L353" t="str">
        <f t="shared" si="15"/>
        <v>Available</v>
      </c>
      <c r="M353">
        <f t="shared" si="16"/>
        <v>1</v>
      </c>
      <c r="N353">
        <f t="shared" si="17"/>
        <v>1</v>
      </c>
    </row>
    <row r="354" spans="1:14" x14ac:dyDescent="0.35">
      <c r="A354" t="s">
        <v>1910</v>
      </c>
      <c r="B354" t="s">
        <v>152</v>
      </c>
      <c r="C354" t="s">
        <v>531</v>
      </c>
      <c r="D354">
        <v>24</v>
      </c>
      <c r="E354" t="s">
        <v>13</v>
      </c>
      <c r="F354" s="1">
        <v>44497</v>
      </c>
      <c r="G354" s="1">
        <v>46057</v>
      </c>
      <c r="H354" t="s">
        <v>14</v>
      </c>
      <c r="I354" t="s">
        <v>2778</v>
      </c>
      <c r="J354">
        <v>264236</v>
      </c>
      <c r="K354" t="s">
        <v>30</v>
      </c>
      <c r="L354" t="str">
        <f t="shared" si="15"/>
        <v>Available</v>
      </c>
      <c r="M354">
        <f t="shared" si="16"/>
        <v>0</v>
      </c>
      <c r="N354">
        <f t="shared" si="17"/>
        <v>1</v>
      </c>
    </row>
    <row r="355" spans="1:14" x14ac:dyDescent="0.35">
      <c r="A355" t="s">
        <v>1911</v>
      </c>
      <c r="B355" t="s">
        <v>116</v>
      </c>
      <c r="C355" t="s">
        <v>532</v>
      </c>
      <c r="D355">
        <v>24</v>
      </c>
      <c r="E355" t="s">
        <v>13</v>
      </c>
      <c r="F355" s="1">
        <v>44935</v>
      </c>
      <c r="G355" s="1">
        <v>46059</v>
      </c>
      <c r="H355" t="s">
        <v>14</v>
      </c>
      <c r="I355" s="2">
        <v>29203222</v>
      </c>
      <c r="J355">
        <v>261582</v>
      </c>
      <c r="K355" t="s">
        <v>15</v>
      </c>
      <c r="L355" t="str">
        <f t="shared" si="15"/>
        <v>Available</v>
      </c>
      <c r="M355">
        <f t="shared" si="16"/>
        <v>1</v>
      </c>
      <c r="N355">
        <f t="shared" si="17"/>
        <v>1</v>
      </c>
    </row>
    <row r="356" spans="1:14" x14ac:dyDescent="0.35">
      <c r="A356" t="s">
        <v>1912</v>
      </c>
      <c r="B356" t="s">
        <v>534</v>
      </c>
      <c r="C356" t="s">
        <v>533</v>
      </c>
      <c r="D356">
        <v>23.5</v>
      </c>
      <c r="E356" t="s">
        <v>13</v>
      </c>
      <c r="F356" s="1">
        <v>44612</v>
      </c>
      <c r="G356" s="1">
        <v>46059</v>
      </c>
      <c r="H356" t="s">
        <v>14</v>
      </c>
      <c r="I356" s="2">
        <v>27993124</v>
      </c>
      <c r="J356">
        <v>264373</v>
      </c>
      <c r="K356" t="s">
        <v>15</v>
      </c>
      <c r="L356" t="str">
        <f t="shared" si="15"/>
        <v>Available</v>
      </c>
      <c r="M356">
        <f t="shared" si="16"/>
        <v>1</v>
      </c>
      <c r="N356">
        <f t="shared" si="17"/>
        <v>1</v>
      </c>
    </row>
    <row r="357" spans="1:14" x14ac:dyDescent="0.35">
      <c r="A357" t="s">
        <v>1913</v>
      </c>
      <c r="C357" t="s">
        <v>535</v>
      </c>
      <c r="D357">
        <v>16</v>
      </c>
      <c r="E357" t="s">
        <v>13</v>
      </c>
      <c r="F357" s="1">
        <v>44498</v>
      </c>
      <c r="G357" s="1">
        <v>45952</v>
      </c>
      <c r="H357" t="s">
        <v>14</v>
      </c>
      <c r="I357" t="s">
        <v>2778</v>
      </c>
      <c r="J357">
        <v>261484</v>
      </c>
      <c r="K357" t="s">
        <v>30</v>
      </c>
      <c r="L357" t="str">
        <f t="shared" si="15"/>
        <v>Missing</v>
      </c>
      <c r="M357">
        <f t="shared" si="16"/>
        <v>0</v>
      </c>
      <c r="N357">
        <f t="shared" si="17"/>
        <v>0</v>
      </c>
    </row>
    <row r="358" spans="1:14" x14ac:dyDescent="0.35">
      <c r="A358" t="s">
        <v>1914</v>
      </c>
      <c r="B358" t="s">
        <v>208</v>
      </c>
      <c r="C358" t="s">
        <v>536</v>
      </c>
      <c r="D358">
        <v>19.8</v>
      </c>
      <c r="E358" t="s">
        <v>13</v>
      </c>
      <c r="F358" s="1">
        <v>44502</v>
      </c>
      <c r="G358" s="1">
        <v>46041</v>
      </c>
      <c r="H358" t="s">
        <v>14</v>
      </c>
      <c r="I358" t="s">
        <v>2778</v>
      </c>
      <c r="J358">
        <v>264059</v>
      </c>
      <c r="K358" t="s">
        <v>30</v>
      </c>
      <c r="L358" t="str">
        <f t="shared" si="15"/>
        <v>Available</v>
      </c>
      <c r="M358">
        <f t="shared" si="16"/>
        <v>0</v>
      </c>
      <c r="N358">
        <f t="shared" si="17"/>
        <v>1</v>
      </c>
    </row>
    <row r="359" spans="1:14" x14ac:dyDescent="0.35">
      <c r="A359" t="s">
        <v>1915</v>
      </c>
      <c r="B359" t="s">
        <v>43</v>
      </c>
      <c r="C359" t="s">
        <v>537</v>
      </c>
      <c r="D359">
        <v>25</v>
      </c>
      <c r="E359" t="s">
        <v>13</v>
      </c>
      <c r="F359" s="1">
        <v>44497</v>
      </c>
      <c r="G359" s="1">
        <v>46059</v>
      </c>
      <c r="H359" t="s">
        <v>14</v>
      </c>
      <c r="I359" s="2">
        <v>3122953</v>
      </c>
      <c r="J359">
        <v>264063</v>
      </c>
      <c r="K359" t="s">
        <v>15</v>
      </c>
      <c r="L359" t="str">
        <f t="shared" si="15"/>
        <v>Available</v>
      </c>
      <c r="M359">
        <f t="shared" si="16"/>
        <v>1</v>
      </c>
      <c r="N359">
        <f t="shared" si="17"/>
        <v>1</v>
      </c>
    </row>
    <row r="360" spans="1:14" x14ac:dyDescent="0.35">
      <c r="A360" t="s">
        <v>1916</v>
      </c>
      <c r="B360" t="s">
        <v>251</v>
      </c>
      <c r="C360" t="s">
        <v>538</v>
      </c>
      <c r="D360">
        <v>23.5</v>
      </c>
      <c r="E360" t="s">
        <v>13</v>
      </c>
      <c r="F360" s="1">
        <v>44822</v>
      </c>
      <c r="G360" s="1">
        <v>46059</v>
      </c>
      <c r="H360" t="s">
        <v>14</v>
      </c>
      <c r="I360" s="2">
        <v>27740612</v>
      </c>
      <c r="J360">
        <v>264751</v>
      </c>
      <c r="K360" t="s">
        <v>15</v>
      </c>
      <c r="L360" t="str">
        <f t="shared" si="15"/>
        <v>Available</v>
      </c>
      <c r="M360">
        <f t="shared" si="16"/>
        <v>1</v>
      </c>
      <c r="N360">
        <f t="shared" si="17"/>
        <v>1</v>
      </c>
    </row>
    <row r="361" spans="1:14" x14ac:dyDescent="0.35">
      <c r="A361" t="s">
        <v>1917</v>
      </c>
      <c r="B361" t="s">
        <v>147</v>
      </c>
      <c r="C361" t="s">
        <v>539</v>
      </c>
      <c r="D361">
        <v>24</v>
      </c>
      <c r="E361" t="s">
        <v>13</v>
      </c>
      <c r="F361" s="1">
        <v>44497</v>
      </c>
      <c r="G361" s="1">
        <v>46059</v>
      </c>
      <c r="H361" t="s">
        <v>14</v>
      </c>
      <c r="I361" s="2">
        <v>23897341</v>
      </c>
      <c r="J361">
        <v>266547</v>
      </c>
      <c r="K361" t="s">
        <v>15</v>
      </c>
      <c r="L361" t="str">
        <f t="shared" si="15"/>
        <v>Available</v>
      </c>
      <c r="M361">
        <f t="shared" si="16"/>
        <v>1</v>
      </c>
      <c r="N361">
        <f t="shared" si="17"/>
        <v>1</v>
      </c>
    </row>
    <row r="362" spans="1:14" x14ac:dyDescent="0.35">
      <c r="A362" t="s">
        <v>1918</v>
      </c>
      <c r="B362" t="s">
        <v>541</v>
      </c>
      <c r="C362" t="s">
        <v>540</v>
      </c>
      <c r="D362">
        <v>24</v>
      </c>
      <c r="E362" t="s">
        <v>13</v>
      </c>
      <c r="F362" s="1">
        <v>44497</v>
      </c>
      <c r="G362" s="1">
        <v>45800</v>
      </c>
      <c r="H362" t="s">
        <v>14</v>
      </c>
      <c r="I362" t="s">
        <v>2778</v>
      </c>
      <c r="J362">
        <v>261480</v>
      </c>
      <c r="K362" t="s">
        <v>30</v>
      </c>
      <c r="L362" t="str">
        <f t="shared" si="15"/>
        <v>Available</v>
      </c>
      <c r="M362">
        <f t="shared" si="16"/>
        <v>0</v>
      </c>
      <c r="N362">
        <f t="shared" si="17"/>
        <v>1</v>
      </c>
    </row>
    <row r="363" spans="1:14" x14ac:dyDescent="0.35">
      <c r="A363" t="s">
        <v>1919</v>
      </c>
      <c r="B363" t="s">
        <v>75</v>
      </c>
      <c r="C363" t="s">
        <v>542</v>
      </c>
      <c r="D363">
        <v>45</v>
      </c>
      <c r="E363" t="s">
        <v>13</v>
      </c>
      <c r="F363" s="1">
        <v>44501</v>
      </c>
      <c r="G363" s="1">
        <v>46060</v>
      </c>
      <c r="H363" t="s">
        <v>14</v>
      </c>
      <c r="I363" s="2">
        <v>77085</v>
      </c>
      <c r="J363">
        <v>264441</v>
      </c>
      <c r="K363" t="s">
        <v>15</v>
      </c>
      <c r="L363" t="str">
        <f t="shared" si="15"/>
        <v>Available</v>
      </c>
      <c r="M363">
        <f t="shared" si="16"/>
        <v>1</v>
      </c>
      <c r="N363">
        <f t="shared" si="17"/>
        <v>1</v>
      </c>
    </row>
    <row r="364" spans="1:14" x14ac:dyDescent="0.35">
      <c r="A364" t="s">
        <v>1920</v>
      </c>
      <c r="B364" t="s">
        <v>544</v>
      </c>
      <c r="C364" t="s">
        <v>543</v>
      </c>
      <c r="D364">
        <v>24</v>
      </c>
      <c r="E364" t="s">
        <v>13</v>
      </c>
      <c r="F364" s="1">
        <v>44501</v>
      </c>
      <c r="G364" s="1">
        <v>45343</v>
      </c>
      <c r="H364" t="s">
        <v>14</v>
      </c>
      <c r="I364" t="s">
        <v>2778</v>
      </c>
      <c r="J364">
        <v>262615</v>
      </c>
      <c r="K364" t="s">
        <v>30</v>
      </c>
      <c r="L364" t="str">
        <f t="shared" si="15"/>
        <v>Available</v>
      </c>
      <c r="M364">
        <f t="shared" si="16"/>
        <v>0</v>
      </c>
      <c r="N364">
        <f t="shared" si="17"/>
        <v>1</v>
      </c>
    </row>
    <row r="365" spans="1:14" x14ac:dyDescent="0.35">
      <c r="A365" t="s">
        <v>1921</v>
      </c>
      <c r="C365" t="s">
        <v>545</v>
      </c>
      <c r="D365">
        <v>24</v>
      </c>
      <c r="E365" t="s">
        <v>13</v>
      </c>
      <c r="F365" s="1">
        <v>44497</v>
      </c>
      <c r="G365" s="1">
        <v>46058</v>
      </c>
      <c r="H365" t="s">
        <v>14</v>
      </c>
      <c r="I365" s="2">
        <v>19516349</v>
      </c>
      <c r="J365">
        <v>261572</v>
      </c>
      <c r="K365" t="s">
        <v>15</v>
      </c>
      <c r="L365" t="str">
        <f t="shared" si="15"/>
        <v>Missing</v>
      </c>
      <c r="M365">
        <f t="shared" si="16"/>
        <v>1</v>
      </c>
      <c r="N365">
        <f t="shared" si="17"/>
        <v>0</v>
      </c>
    </row>
    <row r="366" spans="1:14" x14ac:dyDescent="0.35">
      <c r="A366" t="s">
        <v>1922</v>
      </c>
      <c r="B366" t="s">
        <v>37</v>
      </c>
      <c r="C366" t="s">
        <v>546</v>
      </c>
      <c r="D366">
        <v>26</v>
      </c>
      <c r="E366" t="s">
        <v>13</v>
      </c>
      <c r="F366" s="1">
        <v>44499</v>
      </c>
      <c r="G366" s="1">
        <v>46059</v>
      </c>
      <c r="H366" t="s">
        <v>14</v>
      </c>
      <c r="I366" t="s">
        <v>2778</v>
      </c>
      <c r="J366">
        <v>266301</v>
      </c>
      <c r="K366" t="s">
        <v>30</v>
      </c>
      <c r="L366" t="str">
        <f t="shared" si="15"/>
        <v>Available</v>
      </c>
      <c r="M366">
        <f t="shared" si="16"/>
        <v>0</v>
      </c>
      <c r="N366">
        <f t="shared" si="17"/>
        <v>1</v>
      </c>
    </row>
    <row r="367" spans="1:14" x14ac:dyDescent="0.35">
      <c r="A367" t="s">
        <v>1923</v>
      </c>
      <c r="B367" t="s">
        <v>25</v>
      </c>
      <c r="C367" t="s">
        <v>547</v>
      </c>
      <c r="D367">
        <v>23.75</v>
      </c>
      <c r="E367" t="s">
        <v>13</v>
      </c>
      <c r="F367" s="1">
        <v>44497</v>
      </c>
      <c r="G367" s="1">
        <v>46060</v>
      </c>
      <c r="H367" t="s">
        <v>14</v>
      </c>
      <c r="I367" s="2">
        <v>77109</v>
      </c>
      <c r="J367">
        <v>261791</v>
      </c>
      <c r="K367" t="s">
        <v>15</v>
      </c>
      <c r="L367" t="str">
        <f t="shared" si="15"/>
        <v>Available</v>
      </c>
      <c r="M367">
        <f t="shared" si="16"/>
        <v>1</v>
      </c>
      <c r="N367">
        <f t="shared" si="17"/>
        <v>1</v>
      </c>
    </row>
    <row r="368" spans="1:14" x14ac:dyDescent="0.35">
      <c r="A368" t="s">
        <v>1924</v>
      </c>
      <c r="B368" t="s">
        <v>291</v>
      </c>
      <c r="C368" t="s">
        <v>548</v>
      </c>
      <c r="D368">
        <v>24</v>
      </c>
      <c r="E368" t="s">
        <v>13</v>
      </c>
      <c r="F368" s="1">
        <v>44497</v>
      </c>
      <c r="G368" s="1">
        <v>46057</v>
      </c>
      <c r="H368" t="s">
        <v>14</v>
      </c>
      <c r="I368" t="s">
        <v>2778</v>
      </c>
      <c r="J368">
        <v>264372</v>
      </c>
      <c r="K368" t="s">
        <v>30</v>
      </c>
      <c r="L368" t="str">
        <f t="shared" si="15"/>
        <v>Available</v>
      </c>
      <c r="M368">
        <f t="shared" si="16"/>
        <v>0</v>
      </c>
      <c r="N368">
        <f t="shared" si="17"/>
        <v>1</v>
      </c>
    </row>
    <row r="369" spans="1:14" x14ac:dyDescent="0.35">
      <c r="A369" t="s">
        <v>1925</v>
      </c>
      <c r="B369" t="s">
        <v>158</v>
      </c>
      <c r="C369" t="s">
        <v>549</v>
      </c>
      <c r="D369">
        <v>32</v>
      </c>
      <c r="E369" t="s">
        <v>13</v>
      </c>
      <c r="F369" s="1">
        <v>44497</v>
      </c>
      <c r="G369" s="1">
        <v>45979</v>
      </c>
      <c r="H369" t="s">
        <v>14</v>
      </c>
      <c r="I369" t="s">
        <v>2778</v>
      </c>
      <c r="J369">
        <v>264359</v>
      </c>
      <c r="K369" t="s">
        <v>30</v>
      </c>
      <c r="L369" t="str">
        <f t="shared" si="15"/>
        <v>Available</v>
      </c>
      <c r="M369">
        <f t="shared" si="16"/>
        <v>0</v>
      </c>
      <c r="N369">
        <f t="shared" si="17"/>
        <v>1</v>
      </c>
    </row>
    <row r="370" spans="1:14" x14ac:dyDescent="0.35">
      <c r="A370" t="s">
        <v>1926</v>
      </c>
      <c r="B370" t="s">
        <v>96</v>
      </c>
      <c r="C370" t="s">
        <v>550</v>
      </c>
      <c r="D370">
        <v>24</v>
      </c>
      <c r="E370" t="s">
        <v>13</v>
      </c>
      <c r="F370" s="1">
        <v>44497</v>
      </c>
      <c r="G370" s="1">
        <v>46060</v>
      </c>
      <c r="H370" t="s">
        <v>14</v>
      </c>
      <c r="I370" t="s">
        <v>2781</v>
      </c>
      <c r="J370" t="s">
        <v>551</v>
      </c>
      <c r="K370" t="s">
        <v>15</v>
      </c>
      <c r="L370" t="str">
        <f t="shared" si="15"/>
        <v>Available</v>
      </c>
      <c r="M370">
        <f t="shared" si="16"/>
        <v>1</v>
      </c>
      <c r="N370">
        <f t="shared" si="17"/>
        <v>1</v>
      </c>
    </row>
    <row r="371" spans="1:14" x14ac:dyDescent="0.35">
      <c r="A371" t="s">
        <v>1927</v>
      </c>
      <c r="B371" t="s">
        <v>25</v>
      </c>
      <c r="C371" t="s">
        <v>552</v>
      </c>
      <c r="D371">
        <v>44</v>
      </c>
      <c r="E371" t="s">
        <v>13</v>
      </c>
      <c r="F371" s="1">
        <v>44497</v>
      </c>
      <c r="G371" s="1">
        <v>46060</v>
      </c>
      <c r="H371" t="s">
        <v>14</v>
      </c>
      <c r="I371" s="2">
        <v>20021629</v>
      </c>
      <c r="J371">
        <v>266312</v>
      </c>
      <c r="K371" t="s">
        <v>15</v>
      </c>
      <c r="L371" t="str">
        <f t="shared" si="15"/>
        <v>Available</v>
      </c>
      <c r="M371">
        <f t="shared" si="16"/>
        <v>1</v>
      </c>
      <c r="N371">
        <f t="shared" si="17"/>
        <v>1</v>
      </c>
    </row>
    <row r="372" spans="1:14" x14ac:dyDescent="0.35">
      <c r="A372" t="s">
        <v>1928</v>
      </c>
      <c r="B372" t="s">
        <v>253</v>
      </c>
      <c r="C372" t="s">
        <v>553</v>
      </c>
      <c r="D372">
        <v>24</v>
      </c>
      <c r="E372" t="s">
        <v>13</v>
      </c>
      <c r="F372" s="1">
        <v>44497</v>
      </c>
      <c r="G372" s="1">
        <v>46059</v>
      </c>
      <c r="H372" t="s">
        <v>14</v>
      </c>
      <c r="I372" s="2">
        <v>53390</v>
      </c>
      <c r="J372">
        <v>264562</v>
      </c>
      <c r="K372" t="s">
        <v>15</v>
      </c>
      <c r="L372" t="str">
        <f t="shared" si="15"/>
        <v>Available</v>
      </c>
      <c r="M372">
        <f t="shared" si="16"/>
        <v>1</v>
      </c>
      <c r="N372">
        <f t="shared" si="17"/>
        <v>1</v>
      </c>
    </row>
    <row r="373" spans="1:14" x14ac:dyDescent="0.35">
      <c r="A373" t="s">
        <v>1929</v>
      </c>
      <c r="C373" t="s">
        <v>554</v>
      </c>
      <c r="D373">
        <v>32</v>
      </c>
      <c r="E373" t="s">
        <v>35</v>
      </c>
      <c r="F373" s="1">
        <v>44503</v>
      </c>
      <c r="G373" s="1">
        <v>46058</v>
      </c>
      <c r="H373" t="s">
        <v>14</v>
      </c>
      <c r="I373" s="2">
        <v>2385620</v>
      </c>
      <c r="J373">
        <v>264559</v>
      </c>
      <c r="K373" t="s">
        <v>15</v>
      </c>
      <c r="L373" t="str">
        <f t="shared" si="15"/>
        <v>Missing</v>
      </c>
      <c r="M373">
        <f t="shared" si="16"/>
        <v>1</v>
      </c>
      <c r="N373">
        <f t="shared" si="17"/>
        <v>0</v>
      </c>
    </row>
    <row r="374" spans="1:14" x14ac:dyDescent="0.35">
      <c r="A374" t="s">
        <v>1930</v>
      </c>
      <c r="B374" t="s">
        <v>439</v>
      </c>
      <c r="C374" t="s">
        <v>555</v>
      </c>
      <c r="D374">
        <v>24</v>
      </c>
      <c r="E374" t="s">
        <v>13</v>
      </c>
      <c r="F374" s="1">
        <v>44497</v>
      </c>
      <c r="G374" s="1">
        <v>46059</v>
      </c>
      <c r="H374" t="s">
        <v>14</v>
      </c>
      <c r="I374" s="2">
        <v>3363866</v>
      </c>
      <c r="J374">
        <v>264453</v>
      </c>
      <c r="K374" t="s">
        <v>15</v>
      </c>
      <c r="L374" t="str">
        <f t="shared" si="15"/>
        <v>Available</v>
      </c>
      <c r="M374">
        <f t="shared" si="16"/>
        <v>1</v>
      </c>
      <c r="N374">
        <f t="shared" si="17"/>
        <v>1</v>
      </c>
    </row>
    <row r="375" spans="1:14" x14ac:dyDescent="0.35">
      <c r="A375" t="s">
        <v>1931</v>
      </c>
      <c r="B375" t="s">
        <v>392</v>
      </c>
      <c r="C375" t="s">
        <v>556</v>
      </c>
      <c r="D375">
        <v>25</v>
      </c>
      <c r="E375" t="s">
        <v>13</v>
      </c>
      <c r="F375" s="1">
        <v>44500</v>
      </c>
      <c r="G375" s="1">
        <v>46059</v>
      </c>
      <c r="H375" t="s">
        <v>14</v>
      </c>
      <c r="I375" s="2">
        <v>17867975</v>
      </c>
      <c r="J375">
        <v>261801</v>
      </c>
      <c r="K375" t="s">
        <v>15</v>
      </c>
      <c r="L375" t="str">
        <f t="shared" si="15"/>
        <v>Available</v>
      </c>
      <c r="M375">
        <f t="shared" si="16"/>
        <v>1</v>
      </c>
      <c r="N375">
        <f t="shared" si="17"/>
        <v>1</v>
      </c>
    </row>
    <row r="376" spans="1:14" x14ac:dyDescent="0.35">
      <c r="A376" t="s">
        <v>1932</v>
      </c>
      <c r="B376" t="s">
        <v>558</v>
      </c>
      <c r="C376" t="s">
        <v>557</v>
      </c>
      <c r="D376">
        <v>11</v>
      </c>
      <c r="E376" t="s">
        <v>13</v>
      </c>
      <c r="F376" s="1">
        <v>44497</v>
      </c>
      <c r="G376" s="1">
        <v>45372</v>
      </c>
      <c r="H376" t="s">
        <v>14</v>
      </c>
      <c r="I376" t="s">
        <v>2778</v>
      </c>
      <c r="J376">
        <v>266440</v>
      </c>
      <c r="K376" t="s">
        <v>30</v>
      </c>
      <c r="L376" t="str">
        <f t="shared" si="15"/>
        <v>Available</v>
      </c>
      <c r="M376">
        <f t="shared" si="16"/>
        <v>0</v>
      </c>
      <c r="N376">
        <f t="shared" si="17"/>
        <v>1</v>
      </c>
    </row>
    <row r="377" spans="1:14" x14ac:dyDescent="0.35">
      <c r="A377" t="s">
        <v>1933</v>
      </c>
      <c r="B377" t="s">
        <v>494</v>
      </c>
      <c r="C377" t="s">
        <v>559</v>
      </c>
      <c r="D377">
        <v>24</v>
      </c>
      <c r="E377" t="s">
        <v>13</v>
      </c>
      <c r="F377" s="1">
        <v>44500</v>
      </c>
      <c r="G377" s="1">
        <v>46059</v>
      </c>
      <c r="H377" t="s">
        <v>14</v>
      </c>
      <c r="I377" s="2">
        <v>3203826</v>
      </c>
      <c r="J377">
        <v>262247</v>
      </c>
      <c r="K377" t="s">
        <v>15</v>
      </c>
      <c r="L377" t="str">
        <f t="shared" si="15"/>
        <v>Available</v>
      </c>
      <c r="M377">
        <f t="shared" si="16"/>
        <v>1</v>
      </c>
      <c r="N377">
        <f t="shared" si="17"/>
        <v>1</v>
      </c>
    </row>
    <row r="378" spans="1:14" x14ac:dyDescent="0.35">
      <c r="A378" t="s">
        <v>1934</v>
      </c>
      <c r="B378" t="s">
        <v>12</v>
      </c>
      <c r="C378" t="s">
        <v>560</v>
      </c>
      <c r="D378">
        <v>24</v>
      </c>
      <c r="E378" t="s">
        <v>13</v>
      </c>
      <c r="F378" s="1">
        <v>44497</v>
      </c>
      <c r="G378" s="1">
        <v>46059</v>
      </c>
      <c r="H378" t="s">
        <v>14</v>
      </c>
      <c r="I378" s="2">
        <v>39359</v>
      </c>
      <c r="J378">
        <v>266373</v>
      </c>
      <c r="K378" t="s">
        <v>15</v>
      </c>
      <c r="L378" t="str">
        <f t="shared" si="15"/>
        <v>Available</v>
      </c>
      <c r="M378">
        <f t="shared" si="16"/>
        <v>1</v>
      </c>
      <c r="N378">
        <f t="shared" si="17"/>
        <v>1</v>
      </c>
    </row>
    <row r="379" spans="1:14" x14ac:dyDescent="0.35">
      <c r="A379" t="s">
        <v>1935</v>
      </c>
      <c r="B379" t="s">
        <v>562</v>
      </c>
      <c r="C379" t="s">
        <v>561</v>
      </c>
      <c r="F379" s="1">
        <v>44497</v>
      </c>
      <c r="G379" s="1">
        <v>45330</v>
      </c>
      <c r="H379" t="s">
        <v>14</v>
      </c>
      <c r="I379" t="s">
        <v>2778</v>
      </c>
      <c r="J379">
        <v>261651</v>
      </c>
      <c r="K379" t="s">
        <v>30</v>
      </c>
      <c r="L379" t="str">
        <f t="shared" si="15"/>
        <v>Available</v>
      </c>
      <c r="M379">
        <f t="shared" si="16"/>
        <v>0</v>
      </c>
      <c r="N379">
        <f t="shared" si="17"/>
        <v>1</v>
      </c>
    </row>
    <row r="380" spans="1:14" x14ac:dyDescent="0.35">
      <c r="A380" t="s">
        <v>1936</v>
      </c>
      <c r="B380" t="s">
        <v>71</v>
      </c>
      <c r="C380" t="s">
        <v>563</v>
      </c>
      <c r="D380">
        <v>24</v>
      </c>
      <c r="E380" t="s">
        <v>13</v>
      </c>
      <c r="F380" s="1">
        <v>44497</v>
      </c>
      <c r="G380" s="1">
        <v>46059</v>
      </c>
      <c r="H380" t="s">
        <v>14</v>
      </c>
      <c r="I380" s="2">
        <v>43574</v>
      </c>
      <c r="J380">
        <v>262283</v>
      </c>
      <c r="K380" t="s">
        <v>15</v>
      </c>
      <c r="L380" t="str">
        <f t="shared" si="15"/>
        <v>Available</v>
      </c>
      <c r="M380">
        <f t="shared" si="16"/>
        <v>1</v>
      </c>
      <c r="N380">
        <f t="shared" si="17"/>
        <v>1</v>
      </c>
    </row>
    <row r="381" spans="1:14" x14ac:dyDescent="0.35">
      <c r="A381" t="s">
        <v>1937</v>
      </c>
      <c r="B381" t="s">
        <v>565</v>
      </c>
      <c r="C381" t="s">
        <v>564</v>
      </c>
      <c r="D381">
        <v>24</v>
      </c>
      <c r="E381" t="s">
        <v>13</v>
      </c>
      <c r="F381" s="1">
        <v>44497</v>
      </c>
      <c r="G381" s="1">
        <v>46059</v>
      </c>
      <c r="H381" t="s">
        <v>14</v>
      </c>
      <c r="I381" s="2">
        <v>98525</v>
      </c>
      <c r="J381">
        <v>264761</v>
      </c>
      <c r="K381" t="s">
        <v>15</v>
      </c>
      <c r="L381" t="str">
        <f t="shared" si="15"/>
        <v>Available</v>
      </c>
      <c r="M381">
        <f t="shared" si="16"/>
        <v>1</v>
      </c>
      <c r="N381">
        <f t="shared" si="17"/>
        <v>1</v>
      </c>
    </row>
    <row r="382" spans="1:14" x14ac:dyDescent="0.35">
      <c r="A382" t="s">
        <v>1938</v>
      </c>
      <c r="B382" t="s">
        <v>156</v>
      </c>
      <c r="C382" t="s">
        <v>566</v>
      </c>
      <c r="D382">
        <v>24</v>
      </c>
      <c r="E382" t="s">
        <v>13</v>
      </c>
      <c r="F382" s="1">
        <v>45098</v>
      </c>
      <c r="G382" s="1">
        <v>46060</v>
      </c>
      <c r="H382" t="s">
        <v>14</v>
      </c>
      <c r="I382" s="2">
        <v>31793735</v>
      </c>
      <c r="J382">
        <v>261677</v>
      </c>
      <c r="K382" t="s">
        <v>15</v>
      </c>
      <c r="L382" t="str">
        <f t="shared" si="15"/>
        <v>Available</v>
      </c>
      <c r="M382">
        <f t="shared" si="16"/>
        <v>1</v>
      </c>
      <c r="N382">
        <f t="shared" si="17"/>
        <v>1</v>
      </c>
    </row>
    <row r="383" spans="1:14" x14ac:dyDescent="0.35">
      <c r="A383" t="s">
        <v>1939</v>
      </c>
      <c r="B383" t="s">
        <v>25</v>
      </c>
      <c r="C383" t="s">
        <v>567</v>
      </c>
      <c r="D383">
        <v>21.809698000000001</v>
      </c>
      <c r="E383" t="s">
        <v>35</v>
      </c>
      <c r="F383" s="1">
        <v>44497</v>
      </c>
      <c r="G383" s="1">
        <v>46058</v>
      </c>
      <c r="H383" t="s">
        <v>14</v>
      </c>
      <c r="I383" t="s">
        <v>2778</v>
      </c>
      <c r="J383">
        <v>261872</v>
      </c>
      <c r="K383" t="s">
        <v>30</v>
      </c>
      <c r="L383" t="str">
        <f t="shared" si="15"/>
        <v>Available</v>
      </c>
      <c r="M383">
        <f t="shared" si="16"/>
        <v>0</v>
      </c>
      <c r="N383">
        <f t="shared" si="17"/>
        <v>1</v>
      </c>
    </row>
    <row r="384" spans="1:14" x14ac:dyDescent="0.35">
      <c r="A384" t="s">
        <v>1940</v>
      </c>
      <c r="B384" t="s">
        <v>400</v>
      </c>
      <c r="C384" t="s">
        <v>568</v>
      </c>
      <c r="D384">
        <v>25</v>
      </c>
      <c r="E384" t="s">
        <v>13</v>
      </c>
      <c r="F384" s="1">
        <v>45358</v>
      </c>
      <c r="G384" s="1">
        <v>46059</v>
      </c>
      <c r="H384" t="s">
        <v>14</v>
      </c>
      <c r="I384" s="2">
        <v>32557993</v>
      </c>
      <c r="J384">
        <v>261598</v>
      </c>
      <c r="K384" t="s">
        <v>15</v>
      </c>
      <c r="L384" t="str">
        <f t="shared" si="15"/>
        <v>Available</v>
      </c>
      <c r="M384">
        <f t="shared" si="16"/>
        <v>1</v>
      </c>
      <c r="N384">
        <f t="shared" si="17"/>
        <v>1</v>
      </c>
    </row>
    <row r="385" spans="1:14" x14ac:dyDescent="0.35">
      <c r="A385" t="s">
        <v>1941</v>
      </c>
      <c r="B385" t="s">
        <v>570</v>
      </c>
      <c r="C385" t="s">
        <v>569</v>
      </c>
      <c r="D385">
        <v>24</v>
      </c>
      <c r="E385" t="s">
        <v>13</v>
      </c>
      <c r="F385" s="1">
        <v>45574</v>
      </c>
      <c r="G385" s="1">
        <v>46057</v>
      </c>
      <c r="H385" t="s">
        <v>14</v>
      </c>
      <c r="I385" s="2">
        <v>56744665</v>
      </c>
      <c r="J385">
        <v>261864</v>
      </c>
      <c r="K385" t="s">
        <v>15</v>
      </c>
      <c r="L385" t="str">
        <f t="shared" si="15"/>
        <v>Available</v>
      </c>
      <c r="M385">
        <f t="shared" si="16"/>
        <v>1</v>
      </c>
      <c r="N385">
        <f t="shared" si="17"/>
        <v>1</v>
      </c>
    </row>
    <row r="386" spans="1:14" x14ac:dyDescent="0.35">
      <c r="A386" t="s">
        <v>1942</v>
      </c>
      <c r="B386" t="s">
        <v>312</v>
      </c>
      <c r="C386" t="s">
        <v>571</v>
      </c>
      <c r="D386">
        <v>32</v>
      </c>
      <c r="E386" t="s">
        <v>13</v>
      </c>
      <c r="F386" s="1">
        <v>44497</v>
      </c>
      <c r="G386" s="1">
        <v>46059</v>
      </c>
      <c r="H386" t="s">
        <v>14</v>
      </c>
      <c r="I386" s="2">
        <v>17330579</v>
      </c>
      <c r="J386">
        <v>261860</v>
      </c>
      <c r="K386" t="s">
        <v>15</v>
      </c>
      <c r="L386" t="str">
        <f t="shared" si="15"/>
        <v>Available</v>
      </c>
      <c r="M386">
        <f t="shared" si="16"/>
        <v>1</v>
      </c>
      <c r="N386">
        <f t="shared" si="17"/>
        <v>1</v>
      </c>
    </row>
    <row r="387" spans="1:14" x14ac:dyDescent="0.35">
      <c r="A387" t="s">
        <v>1943</v>
      </c>
      <c r="B387" t="s">
        <v>573</v>
      </c>
      <c r="C387" t="s">
        <v>572</v>
      </c>
      <c r="D387">
        <v>12</v>
      </c>
      <c r="E387" t="s">
        <v>13</v>
      </c>
      <c r="F387" s="1">
        <v>44497</v>
      </c>
      <c r="G387" s="1">
        <v>46058</v>
      </c>
      <c r="H387" t="s">
        <v>14</v>
      </c>
      <c r="I387" s="2">
        <v>511281</v>
      </c>
      <c r="J387">
        <v>266323</v>
      </c>
      <c r="K387" t="s">
        <v>15</v>
      </c>
      <c r="L387" t="str">
        <f t="shared" ref="L387:L450" si="18">IF(OR(B387="",ISBLANK(B387)),"Missing","Available")</f>
        <v>Available</v>
      </c>
      <c r="M387">
        <f t="shared" ref="M387:M450" si="19">IF(K387="Mapped",1,0)</f>
        <v>1</v>
      </c>
      <c r="N387">
        <f t="shared" ref="N387:N450" si="20">IF(AND(B387&lt;&gt;"",A387&lt;&gt;""),1,0)</f>
        <v>1</v>
      </c>
    </row>
    <row r="388" spans="1:14" x14ac:dyDescent="0.35">
      <c r="A388" t="s">
        <v>1944</v>
      </c>
      <c r="B388" t="s">
        <v>575</v>
      </c>
      <c r="C388" t="s">
        <v>574</v>
      </c>
      <c r="D388">
        <v>25</v>
      </c>
      <c r="E388" t="s">
        <v>13</v>
      </c>
      <c r="F388" s="1">
        <v>44500</v>
      </c>
      <c r="G388" s="1">
        <v>46059</v>
      </c>
      <c r="H388" t="s">
        <v>14</v>
      </c>
      <c r="I388" s="2">
        <v>138168</v>
      </c>
      <c r="J388">
        <v>264565</v>
      </c>
      <c r="K388" t="s">
        <v>15</v>
      </c>
      <c r="L388" t="str">
        <f t="shared" si="18"/>
        <v>Available</v>
      </c>
      <c r="M388">
        <f t="shared" si="19"/>
        <v>1</v>
      </c>
      <c r="N388">
        <f t="shared" si="20"/>
        <v>1</v>
      </c>
    </row>
    <row r="389" spans="1:14" x14ac:dyDescent="0.35">
      <c r="A389" t="s">
        <v>1945</v>
      </c>
      <c r="B389" t="s">
        <v>112</v>
      </c>
      <c r="C389" t="s">
        <v>576</v>
      </c>
      <c r="D389">
        <v>23.5</v>
      </c>
      <c r="E389" t="s">
        <v>13</v>
      </c>
      <c r="F389" s="1">
        <v>44497</v>
      </c>
      <c r="G389" s="1">
        <v>46059</v>
      </c>
      <c r="H389" t="s">
        <v>14</v>
      </c>
      <c r="I389" s="2">
        <v>27744073</v>
      </c>
      <c r="J389">
        <v>266297</v>
      </c>
      <c r="K389" t="s">
        <v>15</v>
      </c>
      <c r="L389" t="str">
        <f t="shared" si="18"/>
        <v>Available</v>
      </c>
      <c r="M389">
        <f t="shared" si="19"/>
        <v>1</v>
      </c>
      <c r="N389">
        <f t="shared" si="20"/>
        <v>1</v>
      </c>
    </row>
    <row r="390" spans="1:14" x14ac:dyDescent="0.35">
      <c r="A390" t="s">
        <v>1946</v>
      </c>
      <c r="B390" t="s">
        <v>156</v>
      </c>
      <c r="C390" t="s">
        <v>577</v>
      </c>
      <c r="D390">
        <v>24</v>
      </c>
      <c r="E390" t="s">
        <v>13</v>
      </c>
      <c r="F390" s="1">
        <v>45413</v>
      </c>
      <c r="G390" s="1">
        <v>46060</v>
      </c>
      <c r="H390" t="s">
        <v>14</v>
      </c>
      <c r="I390" s="2">
        <v>42699552</v>
      </c>
      <c r="J390">
        <v>266374</v>
      </c>
      <c r="K390" t="s">
        <v>15</v>
      </c>
      <c r="L390" t="str">
        <f t="shared" si="18"/>
        <v>Available</v>
      </c>
      <c r="M390">
        <f t="shared" si="19"/>
        <v>1</v>
      </c>
      <c r="N390">
        <f t="shared" si="20"/>
        <v>1</v>
      </c>
    </row>
    <row r="391" spans="1:14" x14ac:dyDescent="0.35">
      <c r="A391" t="s">
        <v>1947</v>
      </c>
      <c r="B391" t="s">
        <v>453</v>
      </c>
      <c r="C391" t="s">
        <v>578</v>
      </c>
      <c r="D391">
        <v>25</v>
      </c>
      <c r="E391" t="s">
        <v>13</v>
      </c>
      <c r="F391" s="1">
        <v>44497</v>
      </c>
      <c r="G391" s="1">
        <v>46059</v>
      </c>
      <c r="H391" t="s">
        <v>14</v>
      </c>
      <c r="I391" s="2">
        <v>226683</v>
      </c>
      <c r="J391">
        <v>264082</v>
      </c>
      <c r="K391" t="s">
        <v>15</v>
      </c>
      <c r="L391" t="str">
        <f t="shared" si="18"/>
        <v>Available</v>
      </c>
      <c r="M391">
        <f t="shared" si="19"/>
        <v>1</v>
      </c>
      <c r="N391">
        <f t="shared" si="20"/>
        <v>1</v>
      </c>
    </row>
    <row r="392" spans="1:14" x14ac:dyDescent="0.35">
      <c r="A392" t="s">
        <v>1948</v>
      </c>
      <c r="B392" t="s">
        <v>168</v>
      </c>
      <c r="C392" t="s">
        <v>579</v>
      </c>
      <c r="D392">
        <v>19.399999999999999</v>
      </c>
      <c r="E392" t="s">
        <v>13</v>
      </c>
      <c r="F392" s="1">
        <v>44497</v>
      </c>
      <c r="G392" s="1">
        <v>46059</v>
      </c>
      <c r="H392" t="s">
        <v>14</v>
      </c>
      <c r="I392" s="2">
        <v>24837786</v>
      </c>
      <c r="J392">
        <v>266450</v>
      </c>
      <c r="K392" t="s">
        <v>15</v>
      </c>
      <c r="L392" t="str">
        <f t="shared" si="18"/>
        <v>Available</v>
      </c>
      <c r="M392">
        <f t="shared" si="19"/>
        <v>1</v>
      </c>
      <c r="N392">
        <f t="shared" si="20"/>
        <v>1</v>
      </c>
    </row>
    <row r="393" spans="1:14" x14ac:dyDescent="0.35">
      <c r="A393" t="s">
        <v>1949</v>
      </c>
      <c r="B393" t="s">
        <v>581</v>
      </c>
      <c r="C393" t="s">
        <v>580</v>
      </c>
      <c r="D393">
        <v>17</v>
      </c>
      <c r="E393" t="s">
        <v>13</v>
      </c>
      <c r="F393" s="1">
        <v>44500</v>
      </c>
      <c r="G393" s="1">
        <v>45933</v>
      </c>
      <c r="H393" t="s">
        <v>14</v>
      </c>
      <c r="I393" t="s">
        <v>2778</v>
      </c>
      <c r="J393">
        <v>264239</v>
      </c>
      <c r="K393" t="s">
        <v>30</v>
      </c>
      <c r="L393" t="str">
        <f t="shared" si="18"/>
        <v>Available</v>
      </c>
      <c r="M393">
        <f t="shared" si="19"/>
        <v>0</v>
      </c>
      <c r="N393">
        <f t="shared" si="20"/>
        <v>1</v>
      </c>
    </row>
    <row r="394" spans="1:14" x14ac:dyDescent="0.35">
      <c r="A394" t="s">
        <v>1950</v>
      </c>
      <c r="B394" t="s">
        <v>583</v>
      </c>
      <c r="C394" t="s">
        <v>582</v>
      </c>
      <c r="D394">
        <v>25.25</v>
      </c>
      <c r="E394" t="s">
        <v>13</v>
      </c>
      <c r="F394" s="1">
        <v>44732</v>
      </c>
      <c r="G394" s="1">
        <v>46059</v>
      </c>
      <c r="H394" t="s">
        <v>14</v>
      </c>
      <c r="I394" s="2">
        <v>25900539</v>
      </c>
      <c r="J394">
        <v>264470</v>
      </c>
      <c r="K394" t="s">
        <v>15</v>
      </c>
      <c r="L394" t="str">
        <f t="shared" si="18"/>
        <v>Available</v>
      </c>
      <c r="M394">
        <f t="shared" si="19"/>
        <v>1</v>
      </c>
      <c r="N394">
        <f t="shared" si="20"/>
        <v>1</v>
      </c>
    </row>
    <row r="395" spans="1:14" x14ac:dyDescent="0.35">
      <c r="A395" t="s">
        <v>1951</v>
      </c>
      <c r="B395" t="s">
        <v>585</v>
      </c>
      <c r="C395" t="s">
        <v>584</v>
      </c>
      <c r="D395">
        <v>24</v>
      </c>
      <c r="E395" t="s">
        <v>13</v>
      </c>
      <c r="F395" s="1">
        <v>44497</v>
      </c>
      <c r="G395" s="1">
        <v>46059</v>
      </c>
      <c r="H395" t="s">
        <v>14</v>
      </c>
      <c r="I395" s="2">
        <v>307956</v>
      </c>
      <c r="J395">
        <v>266381</v>
      </c>
      <c r="K395" t="s">
        <v>15</v>
      </c>
      <c r="L395" t="str">
        <f t="shared" si="18"/>
        <v>Available</v>
      </c>
      <c r="M395">
        <f t="shared" si="19"/>
        <v>1</v>
      </c>
      <c r="N395">
        <f t="shared" si="20"/>
        <v>1</v>
      </c>
    </row>
    <row r="396" spans="1:14" x14ac:dyDescent="0.35">
      <c r="A396" t="s">
        <v>1952</v>
      </c>
      <c r="B396" t="s">
        <v>91</v>
      </c>
      <c r="C396" t="s">
        <v>586</v>
      </c>
      <c r="D396">
        <v>28</v>
      </c>
      <c r="E396" t="s">
        <v>13</v>
      </c>
      <c r="F396" s="1">
        <v>45854</v>
      </c>
      <c r="G396" s="1">
        <v>46059</v>
      </c>
      <c r="H396" t="s">
        <v>14</v>
      </c>
      <c r="I396" t="s">
        <v>2778</v>
      </c>
      <c r="J396">
        <v>262125</v>
      </c>
      <c r="K396" t="s">
        <v>30</v>
      </c>
      <c r="L396" t="str">
        <f t="shared" si="18"/>
        <v>Available</v>
      </c>
      <c r="M396">
        <f t="shared" si="19"/>
        <v>0</v>
      </c>
      <c r="N396">
        <f t="shared" si="20"/>
        <v>1</v>
      </c>
    </row>
    <row r="397" spans="1:14" x14ac:dyDescent="0.35">
      <c r="A397" t="s">
        <v>1953</v>
      </c>
      <c r="C397" t="s">
        <v>587</v>
      </c>
      <c r="D397">
        <v>106</v>
      </c>
      <c r="E397" t="s">
        <v>13</v>
      </c>
      <c r="F397" s="1">
        <v>44734</v>
      </c>
      <c r="G397" s="1">
        <v>45999</v>
      </c>
      <c r="H397" t="s">
        <v>14</v>
      </c>
      <c r="I397" t="s">
        <v>2778</v>
      </c>
      <c r="J397">
        <v>266421</v>
      </c>
      <c r="K397" t="s">
        <v>30</v>
      </c>
      <c r="L397" t="str">
        <f t="shared" si="18"/>
        <v>Missing</v>
      </c>
      <c r="M397">
        <f t="shared" si="19"/>
        <v>0</v>
      </c>
      <c r="N397">
        <f t="shared" si="20"/>
        <v>0</v>
      </c>
    </row>
    <row r="398" spans="1:14" x14ac:dyDescent="0.35">
      <c r="A398" t="s">
        <v>1954</v>
      </c>
      <c r="B398" t="s">
        <v>420</v>
      </c>
      <c r="C398" t="s">
        <v>588</v>
      </c>
      <c r="F398" s="1">
        <v>45019</v>
      </c>
      <c r="G398" s="1">
        <v>45099</v>
      </c>
      <c r="H398" t="s">
        <v>14</v>
      </c>
      <c r="I398" t="s">
        <v>2778</v>
      </c>
      <c r="J398">
        <v>266437</v>
      </c>
      <c r="K398" t="s">
        <v>30</v>
      </c>
      <c r="L398" t="str">
        <f t="shared" si="18"/>
        <v>Available</v>
      </c>
      <c r="M398">
        <f t="shared" si="19"/>
        <v>0</v>
      </c>
      <c r="N398">
        <f t="shared" si="20"/>
        <v>1</v>
      </c>
    </row>
    <row r="399" spans="1:14" x14ac:dyDescent="0.35">
      <c r="A399" t="s">
        <v>1955</v>
      </c>
      <c r="B399" t="s">
        <v>27</v>
      </c>
      <c r="C399" t="s">
        <v>589</v>
      </c>
      <c r="D399">
        <v>24</v>
      </c>
      <c r="E399" t="s">
        <v>13</v>
      </c>
      <c r="F399" s="1">
        <v>44497</v>
      </c>
      <c r="G399" s="1">
        <v>46059</v>
      </c>
      <c r="H399" t="s">
        <v>14</v>
      </c>
      <c r="I399" s="2">
        <v>73887</v>
      </c>
      <c r="J399">
        <v>264311</v>
      </c>
      <c r="K399" t="s">
        <v>15</v>
      </c>
      <c r="L399" t="str">
        <f t="shared" si="18"/>
        <v>Available</v>
      </c>
      <c r="M399">
        <f t="shared" si="19"/>
        <v>1</v>
      </c>
      <c r="N399">
        <f t="shared" si="20"/>
        <v>1</v>
      </c>
    </row>
    <row r="400" spans="1:14" x14ac:dyDescent="0.35">
      <c r="A400" t="s">
        <v>1956</v>
      </c>
      <c r="B400" t="s">
        <v>27</v>
      </c>
      <c r="C400" t="s">
        <v>590</v>
      </c>
      <c r="D400">
        <v>0.125</v>
      </c>
      <c r="E400" t="s">
        <v>13</v>
      </c>
      <c r="F400" s="1">
        <v>45709</v>
      </c>
      <c r="G400" s="1">
        <v>46045</v>
      </c>
      <c r="H400" t="s">
        <v>14</v>
      </c>
      <c r="I400" t="s">
        <v>2778</v>
      </c>
      <c r="J400">
        <v>266488</v>
      </c>
      <c r="K400" t="s">
        <v>30</v>
      </c>
      <c r="L400" t="str">
        <f t="shared" si="18"/>
        <v>Available</v>
      </c>
      <c r="M400">
        <f t="shared" si="19"/>
        <v>0</v>
      </c>
      <c r="N400">
        <f t="shared" si="20"/>
        <v>1</v>
      </c>
    </row>
    <row r="401" spans="1:14" x14ac:dyDescent="0.35">
      <c r="A401" t="s">
        <v>1957</v>
      </c>
      <c r="B401" t="s">
        <v>47</v>
      </c>
      <c r="C401" t="s">
        <v>591</v>
      </c>
      <c r="D401">
        <v>66</v>
      </c>
      <c r="E401" t="s">
        <v>13</v>
      </c>
      <c r="F401" s="1">
        <v>44497</v>
      </c>
      <c r="G401" s="1">
        <v>46060</v>
      </c>
      <c r="H401" t="s">
        <v>14</v>
      </c>
      <c r="I401" s="2">
        <v>196359</v>
      </c>
      <c r="J401">
        <v>264202</v>
      </c>
      <c r="K401" t="s">
        <v>15</v>
      </c>
      <c r="L401" t="str">
        <f t="shared" si="18"/>
        <v>Available</v>
      </c>
      <c r="M401">
        <f t="shared" si="19"/>
        <v>1</v>
      </c>
      <c r="N401">
        <f t="shared" si="20"/>
        <v>1</v>
      </c>
    </row>
    <row r="402" spans="1:14" x14ac:dyDescent="0.35">
      <c r="A402" t="s">
        <v>1958</v>
      </c>
      <c r="B402" t="s">
        <v>37</v>
      </c>
      <c r="C402" t="s">
        <v>592</v>
      </c>
      <c r="F402" s="1">
        <v>44668</v>
      </c>
      <c r="G402" s="1">
        <v>45231</v>
      </c>
      <c r="H402" t="s">
        <v>14</v>
      </c>
      <c r="I402" t="s">
        <v>2778</v>
      </c>
      <c r="J402">
        <v>266852</v>
      </c>
      <c r="K402" t="s">
        <v>30</v>
      </c>
      <c r="L402" t="str">
        <f t="shared" si="18"/>
        <v>Available</v>
      </c>
      <c r="M402">
        <f t="shared" si="19"/>
        <v>0</v>
      </c>
      <c r="N402">
        <f t="shared" si="20"/>
        <v>1</v>
      </c>
    </row>
    <row r="403" spans="1:14" x14ac:dyDescent="0.35">
      <c r="A403" t="s">
        <v>1959</v>
      </c>
      <c r="B403" t="s">
        <v>29</v>
      </c>
      <c r="C403" t="s">
        <v>593</v>
      </c>
      <c r="D403">
        <v>24</v>
      </c>
      <c r="E403" t="s">
        <v>13</v>
      </c>
      <c r="F403" s="1">
        <v>44501</v>
      </c>
      <c r="G403" s="1">
        <v>46057</v>
      </c>
      <c r="H403" t="s">
        <v>14</v>
      </c>
      <c r="I403" s="2">
        <v>18957838</v>
      </c>
      <c r="J403">
        <v>264104</v>
      </c>
      <c r="K403" t="s">
        <v>15</v>
      </c>
      <c r="L403" t="str">
        <f t="shared" si="18"/>
        <v>Available</v>
      </c>
      <c r="M403">
        <f t="shared" si="19"/>
        <v>1</v>
      </c>
      <c r="N403">
        <f t="shared" si="20"/>
        <v>1</v>
      </c>
    </row>
    <row r="404" spans="1:14" x14ac:dyDescent="0.35">
      <c r="A404" t="s">
        <v>1960</v>
      </c>
      <c r="B404" t="s">
        <v>595</v>
      </c>
      <c r="C404" t="s">
        <v>594</v>
      </c>
      <c r="D404">
        <v>19.75</v>
      </c>
      <c r="E404" t="s">
        <v>13</v>
      </c>
      <c r="F404" s="1">
        <v>44497</v>
      </c>
      <c r="G404" s="1">
        <v>45903</v>
      </c>
      <c r="H404" t="s">
        <v>14</v>
      </c>
      <c r="I404" s="2">
        <v>21195755</v>
      </c>
      <c r="J404">
        <v>264551</v>
      </c>
      <c r="K404" t="s">
        <v>15</v>
      </c>
      <c r="L404" t="str">
        <f t="shared" si="18"/>
        <v>Available</v>
      </c>
      <c r="M404">
        <f t="shared" si="19"/>
        <v>1</v>
      </c>
      <c r="N404">
        <f t="shared" si="20"/>
        <v>1</v>
      </c>
    </row>
    <row r="405" spans="1:14" x14ac:dyDescent="0.35">
      <c r="A405" t="s">
        <v>1961</v>
      </c>
      <c r="B405" t="s">
        <v>47</v>
      </c>
      <c r="C405" t="s">
        <v>596</v>
      </c>
      <c r="D405">
        <v>24</v>
      </c>
      <c r="E405" t="s">
        <v>13</v>
      </c>
      <c r="F405" s="1">
        <v>45013</v>
      </c>
      <c r="G405" s="1">
        <v>46060</v>
      </c>
      <c r="H405" t="s">
        <v>14</v>
      </c>
      <c r="I405" s="2">
        <v>29391546</v>
      </c>
      <c r="J405">
        <v>264304</v>
      </c>
      <c r="K405" t="s">
        <v>15</v>
      </c>
      <c r="L405" t="str">
        <f t="shared" si="18"/>
        <v>Available</v>
      </c>
      <c r="M405">
        <f t="shared" si="19"/>
        <v>1</v>
      </c>
      <c r="N405">
        <f t="shared" si="20"/>
        <v>1</v>
      </c>
    </row>
    <row r="406" spans="1:14" x14ac:dyDescent="0.35">
      <c r="A406" t="s">
        <v>1962</v>
      </c>
      <c r="B406" t="s">
        <v>598</v>
      </c>
      <c r="C406" t="s">
        <v>597</v>
      </c>
      <c r="D406">
        <v>26</v>
      </c>
      <c r="E406" t="s">
        <v>13</v>
      </c>
      <c r="F406" s="1">
        <v>44497</v>
      </c>
      <c r="G406" s="1">
        <v>46059</v>
      </c>
      <c r="H406" t="s">
        <v>14</v>
      </c>
      <c r="I406" s="2">
        <v>18683588</v>
      </c>
      <c r="J406">
        <v>261843</v>
      </c>
      <c r="K406" t="s">
        <v>15</v>
      </c>
      <c r="L406" t="str">
        <f t="shared" si="18"/>
        <v>Available</v>
      </c>
      <c r="M406">
        <f t="shared" si="19"/>
        <v>1</v>
      </c>
      <c r="N406">
        <f t="shared" si="20"/>
        <v>1</v>
      </c>
    </row>
    <row r="407" spans="1:14" x14ac:dyDescent="0.35">
      <c r="A407" t="s">
        <v>1963</v>
      </c>
      <c r="B407" t="s">
        <v>91</v>
      </c>
      <c r="C407" t="s">
        <v>599</v>
      </c>
      <c r="D407">
        <v>28</v>
      </c>
      <c r="E407" t="s">
        <v>13</v>
      </c>
      <c r="F407" s="1">
        <v>44497</v>
      </c>
      <c r="G407" s="1">
        <v>46059</v>
      </c>
      <c r="H407" t="s">
        <v>14</v>
      </c>
      <c r="I407" s="2">
        <v>30200841</v>
      </c>
      <c r="J407">
        <v>261570</v>
      </c>
      <c r="K407" t="s">
        <v>15</v>
      </c>
      <c r="L407" t="str">
        <f t="shared" si="18"/>
        <v>Available</v>
      </c>
      <c r="M407">
        <f t="shared" si="19"/>
        <v>1</v>
      </c>
      <c r="N407">
        <f t="shared" si="20"/>
        <v>1</v>
      </c>
    </row>
    <row r="408" spans="1:14" x14ac:dyDescent="0.35">
      <c r="A408" t="s">
        <v>1964</v>
      </c>
      <c r="B408" t="s">
        <v>601</v>
      </c>
      <c r="C408" t="s">
        <v>600</v>
      </c>
      <c r="D408">
        <v>24</v>
      </c>
      <c r="E408" t="s">
        <v>13</v>
      </c>
      <c r="F408" s="1">
        <v>45098</v>
      </c>
      <c r="G408" s="1">
        <v>45721</v>
      </c>
      <c r="H408" t="s">
        <v>14</v>
      </c>
      <c r="I408" t="s">
        <v>2778</v>
      </c>
      <c r="J408">
        <v>264697</v>
      </c>
      <c r="K408" t="s">
        <v>30</v>
      </c>
      <c r="L408" t="str">
        <f t="shared" si="18"/>
        <v>Available</v>
      </c>
      <c r="M408">
        <f t="shared" si="19"/>
        <v>0</v>
      </c>
      <c r="N408">
        <f t="shared" si="20"/>
        <v>1</v>
      </c>
    </row>
    <row r="409" spans="1:14" x14ac:dyDescent="0.35">
      <c r="A409" t="s">
        <v>1965</v>
      </c>
      <c r="B409" t="s">
        <v>603</v>
      </c>
      <c r="C409" t="s">
        <v>602</v>
      </c>
      <c r="D409">
        <v>26</v>
      </c>
      <c r="E409" t="s">
        <v>13</v>
      </c>
      <c r="F409" s="1">
        <v>44497</v>
      </c>
      <c r="G409" s="1">
        <v>46058</v>
      </c>
      <c r="H409" t="s">
        <v>14</v>
      </c>
      <c r="I409" s="2">
        <v>16939205</v>
      </c>
      <c r="J409">
        <v>261596</v>
      </c>
      <c r="K409" t="s">
        <v>15</v>
      </c>
      <c r="L409" t="str">
        <f t="shared" si="18"/>
        <v>Available</v>
      </c>
      <c r="M409">
        <f t="shared" si="19"/>
        <v>1</v>
      </c>
      <c r="N409">
        <f t="shared" si="20"/>
        <v>1</v>
      </c>
    </row>
    <row r="410" spans="1:14" x14ac:dyDescent="0.35">
      <c r="A410" t="s">
        <v>1966</v>
      </c>
      <c r="B410" t="s">
        <v>25</v>
      </c>
      <c r="C410" t="s">
        <v>604</v>
      </c>
      <c r="D410">
        <v>45</v>
      </c>
      <c r="E410" t="s">
        <v>13</v>
      </c>
      <c r="F410" s="1">
        <v>44497</v>
      </c>
      <c r="G410" s="1">
        <v>46060</v>
      </c>
      <c r="H410" t="s">
        <v>14</v>
      </c>
      <c r="I410" s="2">
        <v>39366</v>
      </c>
      <c r="J410">
        <v>261829</v>
      </c>
      <c r="K410" t="s">
        <v>15</v>
      </c>
      <c r="L410" t="str">
        <f t="shared" si="18"/>
        <v>Available</v>
      </c>
      <c r="M410">
        <f t="shared" si="19"/>
        <v>1</v>
      </c>
      <c r="N410">
        <f t="shared" si="20"/>
        <v>1</v>
      </c>
    </row>
    <row r="411" spans="1:14" x14ac:dyDescent="0.35">
      <c r="A411" t="s">
        <v>1967</v>
      </c>
      <c r="B411" t="s">
        <v>29</v>
      </c>
      <c r="C411" t="s">
        <v>605</v>
      </c>
      <c r="D411">
        <v>15.5</v>
      </c>
      <c r="E411" t="s">
        <v>13</v>
      </c>
      <c r="F411" s="1">
        <v>44497</v>
      </c>
      <c r="G411" s="1">
        <v>46057</v>
      </c>
      <c r="H411" t="s">
        <v>14</v>
      </c>
      <c r="I411" s="2">
        <v>98551</v>
      </c>
      <c r="J411">
        <v>264211</v>
      </c>
      <c r="K411" t="s">
        <v>15</v>
      </c>
      <c r="L411" t="str">
        <f t="shared" si="18"/>
        <v>Available</v>
      </c>
      <c r="M411">
        <f t="shared" si="19"/>
        <v>1</v>
      </c>
      <c r="N411">
        <f t="shared" si="20"/>
        <v>1</v>
      </c>
    </row>
    <row r="412" spans="1:14" x14ac:dyDescent="0.35">
      <c r="A412" t="s">
        <v>1968</v>
      </c>
      <c r="B412" t="s">
        <v>186</v>
      </c>
      <c r="C412" t="s">
        <v>606</v>
      </c>
      <c r="D412">
        <v>24</v>
      </c>
      <c r="E412" t="s">
        <v>13</v>
      </c>
      <c r="F412" s="1">
        <v>44497</v>
      </c>
      <c r="G412" s="1">
        <v>46059</v>
      </c>
      <c r="H412" t="s">
        <v>14</v>
      </c>
      <c r="I412" s="2">
        <v>98564</v>
      </c>
      <c r="J412">
        <v>266648</v>
      </c>
      <c r="K412" t="s">
        <v>15</v>
      </c>
      <c r="L412" t="str">
        <f t="shared" si="18"/>
        <v>Available</v>
      </c>
      <c r="M412">
        <f t="shared" si="19"/>
        <v>1</v>
      </c>
      <c r="N412">
        <f t="shared" si="20"/>
        <v>1</v>
      </c>
    </row>
    <row r="413" spans="1:14" x14ac:dyDescent="0.35">
      <c r="A413" t="s">
        <v>1969</v>
      </c>
      <c r="C413" t="s">
        <v>607</v>
      </c>
      <c r="D413">
        <v>32</v>
      </c>
      <c r="E413" t="s">
        <v>35</v>
      </c>
      <c r="F413" s="1">
        <v>44503</v>
      </c>
      <c r="G413" s="1">
        <v>46058</v>
      </c>
      <c r="H413" t="s">
        <v>14</v>
      </c>
      <c r="I413" s="2">
        <v>16314288</v>
      </c>
      <c r="J413">
        <v>264046</v>
      </c>
      <c r="K413" t="s">
        <v>15</v>
      </c>
      <c r="L413" t="str">
        <f t="shared" si="18"/>
        <v>Missing</v>
      </c>
      <c r="M413">
        <f t="shared" si="19"/>
        <v>1</v>
      </c>
      <c r="N413">
        <f t="shared" si="20"/>
        <v>0</v>
      </c>
    </row>
    <row r="414" spans="1:14" x14ac:dyDescent="0.35">
      <c r="A414" t="s">
        <v>1970</v>
      </c>
      <c r="B414" t="s">
        <v>609</v>
      </c>
      <c r="C414" t="s">
        <v>608</v>
      </c>
      <c r="D414">
        <v>25.5</v>
      </c>
      <c r="E414" t="s">
        <v>13</v>
      </c>
      <c r="F414" s="1">
        <v>44497</v>
      </c>
      <c r="G414" s="1">
        <v>46059</v>
      </c>
      <c r="H414" t="s">
        <v>14</v>
      </c>
      <c r="I414" s="2">
        <v>53405</v>
      </c>
      <c r="J414">
        <v>264545</v>
      </c>
      <c r="K414" t="s">
        <v>15</v>
      </c>
      <c r="L414" t="str">
        <f t="shared" si="18"/>
        <v>Available</v>
      </c>
      <c r="M414">
        <f t="shared" si="19"/>
        <v>1</v>
      </c>
      <c r="N414">
        <f t="shared" si="20"/>
        <v>1</v>
      </c>
    </row>
    <row r="415" spans="1:14" x14ac:dyDescent="0.35">
      <c r="A415" t="s">
        <v>1971</v>
      </c>
      <c r="B415" t="s">
        <v>58</v>
      </c>
      <c r="C415" t="s">
        <v>610</v>
      </c>
      <c r="D415">
        <v>96</v>
      </c>
      <c r="E415" t="s">
        <v>13</v>
      </c>
      <c r="F415" s="1">
        <v>45197</v>
      </c>
      <c r="G415" s="1">
        <v>46045</v>
      </c>
      <c r="H415" t="s">
        <v>14</v>
      </c>
      <c r="I415" t="s">
        <v>2778</v>
      </c>
      <c r="J415">
        <v>261887</v>
      </c>
      <c r="K415" t="s">
        <v>30</v>
      </c>
      <c r="L415" t="str">
        <f t="shared" si="18"/>
        <v>Available</v>
      </c>
      <c r="M415">
        <f t="shared" si="19"/>
        <v>0</v>
      </c>
      <c r="N415">
        <f t="shared" si="20"/>
        <v>1</v>
      </c>
    </row>
    <row r="416" spans="1:14" x14ac:dyDescent="0.35">
      <c r="A416" t="s">
        <v>1972</v>
      </c>
      <c r="B416" t="s">
        <v>420</v>
      </c>
      <c r="C416" t="s">
        <v>611</v>
      </c>
      <c r="F416" s="1">
        <v>45019</v>
      </c>
      <c r="G416" s="1">
        <v>45023</v>
      </c>
      <c r="H416" t="s">
        <v>14</v>
      </c>
      <c r="I416" t="s">
        <v>2778</v>
      </c>
      <c r="J416">
        <v>261655</v>
      </c>
      <c r="K416" t="s">
        <v>30</v>
      </c>
      <c r="L416" t="str">
        <f t="shared" si="18"/>
        <v>Available</v>
      </c>
      <c r="M416">
        <f t="shared" si="19"/>
        <v>0</v>
      </c>
      <c r="N416">
        <f t="shared" si="20"/>
        <v>1</v>
      </c>
    </row>
    <row r="417" spans="1:14" x14ac:dyDescent="0.35">
      <c r="A417" t="s">
        <v>1973</v>
      </c>
      <c r="B417" t="s">
        <v>123</v>
      </c>
      <c r="C417" t="s">
        <v>612</v>
      </c>
      <c r="D417">
        <v>23.75</v>
      </c>
      <c r="E417" t="s">
        <v>13</v>
      </c>
      <c r="F417" s="1">
        <v>44497</v>
      </c>
      <c r="G417" s="1">
        <v>46060</v>
      </c>
      <c r="H417" t="s">
        <v>14</v>
      </c>
      <c r="I417" s="2">
        <v>18508239</v>
      </c>
      <c r="J417">
        <v>264263</v>
      </c>
      <c r="K417" t="s">
        <v>15</v>
      </c>
      <c r="L417" t="str">
        <f t="shared" si="18"/>
        <v>Available</v>
      </c>
      <c r="M417">
        <f t="shared" si="19"/>
        <v>1</v>
      </c>
      <c r="N417">
        <f t="shared" si="20"/>
        <v>1</v>
      </c>
    </row>
    <row r="418" spans="1:14" x14ac:dyDescent="0.35">
      <c r="A418" t="s">
        <v>1974</v>
      </c>
      <c r="B418" t="s">
        <v>334</v>
      </c>
      <c r="C418" t="s">
        <v>613</v>
      </c>
      <c r="D418">
        <v>16.8</v>
      </c>
      <c r="E418" t="s">
        <v>13</v>
      </c>
      <c r="F418" s="1">
        <v>44497</v>
      </c>
      <c r="G418" s="1">
        <v>46059</v>
      </c>
      <c r="H418" t="s">
        <v>14</v>
      </c>
      <c r="I418" s="2">
        <v>80809</v>
      </c>
      <c r="J418">
        <v>266334</v>
      </c>
      <c r="K418" t="s">
        <v>15</v>
      </c>
      <c r="L418" t="str">
        <f t="shared" si="18"/>
        <v>Available</v>
      </c>
      <c r="M418">
        <f t="shared" si="19"/>
        <v>1</v>
      </c>
      <c r="N418">
        <f t="shared" si="20"/>
        <v>1</v>
      </c>
    </row>
    <row r="419" spans="1:14" x14ac:dyDescent="0.35">
      <c r="A419" t="s">
        <v>1975</v>
      </c>
      <c r="B419" t="s">
        <v>615</v>
      </c>
      <c r="C419" t="s">
        <v>614</v>
      </c>
      <c r="D419">
        <v>24</v>
      </c>
      <c r="E419" t="s">
        <v>13</v>
      </c>
      <c r="F419" s="1">
        <v>44500</v>
      </c>
      <c r="G419" s="1">
        <v>46059</v>
      </c>
      <c r="H419" t="s">
        <v>14</v>
      </c>
      <c r="I419" s="2">
        <v>19403194</v>
      </c>
      <c r="J419">
        <v>261523</v>
      </c>
      <c r="K419" t="s">
        <v>15</v>
      </c>
      <c r="L419" t="str">
        <f t="shared" si="18"/>
        <v>Available</v>
      </c>
      <c r="M419">
        <f t="shared" si="19"/>
        <v>1</v>
      </c>
      <c r="N419">
        <f t="shared" si="20"/>
        <v>1</v>
      </c>
    </row>
    <row r="420" spans="1:14" x14ac:dyDescent="0.35">
      <c r="A420" t="s">
        <v>1976</v>
      </c>
      <c r="B420" t="s">
        <v>617</v>
      </c>
      <c r="C420" t="s">
        <v>616</v>
      </c>
      <c r="D420">
        <v>25</v>
      </c>
      <c r="E420" t="s">
        <v>13</v>
      </c>
      <c r="F420" s="1">
        <v>45246</v>
      </c>
      <c r="G420" s="1">
        <v>46059</v>
      </c>
      <c r="H420" t="s">
        <v>14</v>
      </c>
      <c r="I420" t="s">
        <v>2778</v>
      </c>
      <c r="J420">
        <v>261564</v>
      </c>
      <c r="K420" t="s">
        <v>30</v>
      </c>
      <c r="L420" t="str">
        <f t="shared" si="18"/>
        <v>Available</v>
      </c>
      <c r="M420">
        <f t="shared" si="19"/>
        <v>0</v>
      </c>
      <c r="N420">
        <f t="shared" si="20"/>
        <v>1</v>
      </c>
    </row>
    <row r="421" spans="1:14" x14ac:dyDescent="0.35">
      <c r="A421" t="s">
        <v>1977</v>
      </c>
      <c r="B421" t="s">
        <v>96</v>
      </c>
      <c r="C421" t="s">
        <v>618</v>
      </c>
      <c r="D421">
        <v>23.5</v>
      </c>
      <c r="E421" t="s">
        <v>13</v>
      </c>
      <c r="F421" s="1">
        <v>44497</v>
      </c>
      <c r="G421" s="1">
        <v>46059</v>
      </c>
      <c r="H421" t="s">
        <v>14</v>
      </c>
      <c r="I421" s="2">
        <v>16754079</v>
      </c>
      <c r="J421">
        <v>261879</v>
      </c>
      <c r="K421" t="s">
        <v>15</v>
      </c>
      <c r="L421" t="str">
        <f t="shared" si="18"/>
        <v>Available</v>
      </c>
      <c r="M421">
        <f t="shared" si="19"/>
        <v>1</v>
      </c>
      <c r="N421">
        <f t="shared" si="20"/>
        <v>1</v>
      </c>
    </row>
    <row r="422" spans="1:14" x14ac:dyDescent="0.35">
      <c r="A422" t="s">
        <v>1978</v>
      </c>
      <c r="B422" t="s">
        <v>620</v>
      </c>
      <c r="C422" t="s">
        <v>619</v>
      </c>
      <c r="D422">
        <v>15</v>
      </c>
      <c r="E422" t="s">
        <v>13</v>
      </c>
      <c r="F422" s="1">
        <v>44500</v>
      </c>
      <c r="G422" s="1">
        <v>46057</v>
      </c>
      <c r="H422" t="s">
        <v>14</v>
      </c>
      <c r="I422" t="s">
        <v>2782</v>
      </c>
      <c r="J422" t="s">
        <v>621</v>
      </c>
      <c r="K422" t="s">
        <v>15</v>
      </c>
      <c r="L422" t="str">
        <f t="shared" si="18"/>
        <v>Available</v>
      </c>
      <c r="M422">
        <f t="shared" si="19"/>
        <v>1</v>
      </c>
      <c r="N422">
        <f t="shared" si="20"/>
        <v>1</v>
      </c>
    </row>
    <row r="423" spans="1:14" x14ac:dyDescent="0.35">
      <c r="A423" t="s">
        <v>1979</v>
      </c>
      <c r="B423" t="s">
        <v>91</v>
      </c>
      <c r="C423" t="s">
        <v>622</v>
      </c>
      <c r="D423">
        <v>28</v>
      </c>
      <c r="E423" t="s">
        <v>13</v>
      </c>
      <c r="F423" s="1">
        <v>45431</v>
      </c>
      <c r="G423" s="1">
        <v>46059</v>
      </c>
      <c r="H423" t="s">
        <v>14</v>
      </c>
      <c r="I423" s="2">
        <v>45792140</v>
      </c>
      <c r="J423">
        <v>261556</v>
      </c>
      <c r="K423" t="s">
        <v>15</v>
      </c>
      <c r="L423" t="str">
        <f t="shared" si="18"/>
        <v>Available</v>
      </c>
      <c r="M423">
        <f t="shared" si="19"/>
        <v>1</v>
      </c>
      <c r="N423">
        <f t="shared" si="20"/>
        <v>1</v>
      </c>
    </row>
    <row r="424" spans="1:14" x14ac:dyDescent="0.35">
      <c r="A424" t="s">
        <v>1980</v>
      </c>
      <c r="B424" t="s">
        <v>29</v>
      </c>
      <c r="C424" t="s">
        <v>623</v>
      </c>
      <c r="D424">
        <v>24</v>
      </c>
      <c r="E424" t="s">
        <v>13</v>
      </c>
      <c r="F424" s="1">
        <v>44497</v>
      </c>
      <c r="G424" s="1">
        <v>46057</v>
      </c>
      <c r="H424" t="s">
        <v>14</v>
      </c>
      <c r="I424" s="2">
        <v>24808</v>
      </c>
      <c r="J424">
        <v>266907</v>
      </c>
      <c r="K424" t="s">
        <v>15</v>
      </c>
      <c r="L424" t="str">
        <f t="shared" si="18"/>
        <v>Available</v>
      </c>
      <c r="M424">
        <f t="shared" si="19"/>
        <v>1</v>
      </c>
      <c r="N424">
        <f t="shared" si="20"/>
        <v>1</v>
      </c>
    </row>
    <row r="425" spans="1:14" x14ac:dyDescent="0.35">
      <c r="A425" t="s">
        <v>1981</v>
      </c>
      <c r="B425" t="s">
        <v>41</v>
      </c>
      <c r="C425" t="s">
        <v>624</v>
      </c>
      <c r="D425">
        <v>24.3</v>
      </c>
      <c r="E425" t="s">
        <v>13</v>
      </c>
      <c r="F425" s="1">
        <v>44497</v>
      </c>
      <c r="G425" s="1">
        <v>46058</v>
      </c>
      <c r="H425" t="s">
        <v>14</v>
      </c>
      <c r="I425" s="2">
        <v>19337574</v>
      </c>
      <c r="J425">
        <v>264122</v>
      </c>
      <c r="K425" t="s">
        <v>15</v>
      </c>
      <c r="L425" t="str">
        <f t="shared" si="18"/>
        <v>Available</v>
      </c>
      <c r="M425">
        <f t="shared" si="19"/>
        <v>1</v>
      </c>
      <c r="N425">
        <f t="shared" si="20"/>
        <v>1</v>
      </c>
    </row>
    <row r="426" spans="1:14" x14ac:dyDescent="0.35">
      <c r="A426" t="s">
        <v>1982</v>
      </c>
      <c r="B426" t="s">
        <v>626</v>
      </c>
      <c r="C426" t="s">
        <v>625</v>
      </c>
      <c r="D426">
        <v>25</v>
      </c>
      <c r="E426" t="s">
        <v>13</v>
      </c>
      <c r="F426" s="1">
        <v>44861</v>
      </c>
      <c r="G426" s="1">
        <v>46059</v>
      </c>
      <c r="H426" t="s">
        <v>14</v>
      </c>
      <c r="I426" s="2">
        <v>26221407</v>
      </c>
      <c r="J426">
        <v>266422</v>
      </c>
      <c r="K426" t="s">
        <v>15</v>
      </c>
      <c r="L426" t="str">
        <f t="shared" si="18"/>
        <v>Available</v>
      </c>
      <c r="M426">
        <f t="shared" si="19"/>
        <v>1</v>
      </c>
      <c r="N426">
        <f t="shared" si="20"/>
        <v>1</v>
      </c>
    </row>
    <row r="427" spans="1:14" x14ac:dyDescent="0.35">
      <c r="A427" t="s">
        <v>1983</v>
      </c>
      <c r="B427" t="s">
        <v>628</v>
      </c>
      <c r="C427" t="s">
        <v>627</v>
      </c>
      <c r="D427">
        <v>24</v>
      </c>
      <c r="E427" t="s">
        <v>13</v>
      </c>
      <c r="F427" s="1">
        <v>44497</v>
      </c>
      <c r="G427" s="1">
        <v>46058</v>
      </c>
      <c r="H427" t="s">
        <v>14</v>
      </c>
      <c r="I427" s="2">
        <v>21551676</v>
      </c>
      <c r="J427">
        <v>264638</v>
      </c>
      <c r="K427" t="s">
        <v>15</v>
      </c>
      <c r="L427" t="str">
        <f t="shared" si="18"/>
        <v>Available</v>
      </c>
      <c r="M427">
        <f t="shared" si="19"/>
        <v>1</v>
      </c>
      <c r="N427">
        <f t="shared" si="20"/>
        <v>1</v>
      </c>
    </row>
    <row r="428" spans="1:14" x14ac:dyDescent="0.35">
      <c r="A428" t="s">
        <v>1984</v>
      </c>
      <c r="B428" t="s">
        <v>139</v>
      </c>
      <c r="C428" t="s">
        <v>629</v>
      </c>
      <c r="D428">
        <v>24</v>
      </c>
      <c r="E428" t="s">
        <v>13</v>
      </c>
      <c r="F428" s="1">
        <v>44497</v>
      </c>
      <c r="G428" s="1">
        <v>45953</v>
      </c>
      <c r="H428" t="s">
        <v>14</v>
      </c>
      <c r="I428" t="s">
        <v>2778</v>
      </c>
      <c r="J428">
        <v>264708</v>
      </c>
      <c r="K428" t="s">
        <v>30</v>
      </c>
      <c r="L428" t="str">
        <f t="shared" si="18"/>
        <v>Available</v>
      </c>
      <c r="M428">
        <f t="shared" si="19"/>
        <v>0</v>
      </c>
      <c r="N428">
        <f t="shared" si="20"/>
        <v>1</v>
      </c>
    </row>
    <row r="429" spans="1:14" x14ac:dyDescent="0.35">
      <c r="A429" t="s">
        <v>1985</v>
      </c>
      <c r="B429" t="s">
        <v>114</v>
      </c>
      <c r="C429" t="s">
        <v>630</v>
      </c>
      <c r="D429">
        <v>22.3169</v>
      </c>
      <c r="E429" t="s">
        <v>35</v>
      </c>
      <c r="F429" s="1">
        <v>45757</v>
      </c>
      <c r="G429" s="1">
        <v>45946</v>
      </c>
      <c r="H429" t="s">
        <v>14</v>
      </c>
      <c r="I429" t="s">
        <v>2778</v>
      </c>
      <c r="J429">
        <v>266459</v>
      </c>
      <c r="K429" t="s">
        <v>30</v>
      </c>
      <c r="L429" t="str">
        <f t="shared" si="18"/>
        <v>Available</v>
      </c>
      <c r="M429">
        <f t="shared" si="19"/>
        <v>0</v>
      </c>
      <c r="N429">
        <f t="shared" si="20"/>
        <v>1</v>
      </c>
    </row>
    <row r="430" spans="1:14" x14ac:dyDescent="0.35">
      <c r="A430" t="s">
        <v>1986</v>
      </c>
      <c r="B430" t="s">
        <v>420</v>
      </c>
      <c r="C430" t="s">
        <v>631</v>
      </c>
      <c r="F430" s="1">
        <v>45019</v>
      </c>
      <c r="G430" s="1">
        <v>45023</v>
      </c>
      <c r="H430" t="s">
        <v>14</v>
      </c>
      <c r="I430" t="s">
        <v>2778</v>
      </c>
      <c r="J430">
        <v>264100</v>
      </c>
      <c r="K430" t="s">
        <v>30</v>
      </c>
      <c r="L430" t="str">
        <f t="shared" si="18"/>
        <v>Available</v>
      </c>
      <c r="M430">
        <f t="shared" si="19"/>
        <v>0</v>
      </c>
      <c r="N430">
        <f t="shared" si="20"/>
        <v>1</v>
      </c>
    </row>
    <row r="431" spans="1:14" x14ac:dyDescent="0.35">
      <c r="A431" t="s">
        <v>1987</v>
      </c>
      <c r="B431" t="s">
        <v>27</v>
      </c>
      <c r="C431" t="s">
        <v>632</v>
      </c>
      <c r="D431">
        <v>23</v>
      </c>
      <c r="E431" t="s">
        <v>13</v>
      </c>
      <c r="F431" s="1">
        <v>44497</v>
      </c>
      <c r="G431" s="1">
        <v>46059</v>
      </c>
      <c r="H431" t="s">
        <v>14</v>
      </c>
      <c r="I431" s="2">
        <v>17066472</v>
      </c>
      <c r="J431">
        <v>264477</v>
      </c>
      <c r="K431" t="s">
        <v>15</v>
      </c>
      <c r="L431" t="str">
        <f t="shared" si="18"/>
        <v>Available</v>
      </c>
      <c r="M431">
        <f t="shared" si="19"/>
        <v>1</v>
      </c>
      <c r="N431">
        <f t="shared" si="20"/>
        <v>1</v>
      </c>
    </row>
    <row r="432" spans="1:14" x14ac:dyDescent="0.35">
      <c r="A432" t="s">
        <v>1988</v>
      </c>
      <c r="B432" t="s">
        <v>71</v>
      </c>
      <c r="C432" t="s">
        <v>633</v>
      </c>
      <c r="D432">
        <v>24</v>
      </c>
      <c r="E432" t="s">
        <v>13</v>
      </c>
      <c r="F432" s="1">
        <v>44497</v>
      </c>
      <c r="G432" s="1">
        <v>46060</v>
      </c>
      <c r="H432" t="s">
        <v>14</v>
      </c>
      <c r="I432" s="2">
        <v>39390</v>
      </c>
      <c r="J432">
        <v>264289</v>
      </c>
      <c r="K432" t="s">
        <v>15</v>
      </c>
      <c r="L432" t="str">
        <f t="shared" si="18"/>
        <v>Available</v>
      </c>
      <c r="M432">
        <f t="shared" si="19"/>
        <v>1</v>
      </c>
      <c r="N432">
        <f t="shared" si="20"/>
        <v>1</v>
      </c>
    </row>
    <row r="433" spans="1:14" x14ac:dyDescent="0.35">
      <c r="A433" t="s">
        <v>1989</v>
      </c>
      <c r="B433" t="s">
        <v>25</v>
      </c>
      <c r="C433" t="s">
        <v>634</v>
      </c>
      <c r="D433">
        <v>45</v>
      </c>
      <c r="E433" t="s">
        <v>13</v>
      </c>
      <c r="F433" s="1">
        <v>44497</v>
      </c>
      <c r="G433" s="1">
        <v>46060</v>
      </c>
      <c r="H433" t="s">
        <v>14</v>
      </c>
      <c r="I433" s="2">
        <v>39361</v>
      </c>
      <c r="J433">
        <v>264476</v>
      </c>
      <c r="K433" t="s">
        <v>15</v>
      </c>
      <c r="L433" t="str">
        <f t="shared" si="18"/>
        <v>Available</v>
      </c>
      <c r="M433">
        <f t="shared" si="19"/>
        <v>1</v>
      </c>
      <c r="N433">
        <f t="shared" si="20"/>
        <v>1</v>
      </c>
    </row>
    <row r="434" spans="1:14" x14ac:dyDescent="0.35">
      <c r="A434" t="s">
        <v>1990</v>
      </c>
      <c r="B434" t="s">
        <v>636</v>
      </c>
      <c r="C434" t="s">
        <v>635</v>
      </c>
      <c r="D434">
        <v>24</v>
      </c>
      <c r="E434" t="s">
        <v>13</v>
      </c>
      <c r="F434" s="1">
        <v>44500</v>
      </c>
      <c r="G434" s="1">
        <v>46057</v>
      </c>
      <c r="H434" t="s">
        <v>14</v>
      </c>
      <c r="I434" t="s">
        <v>2778</v>
      </c>
      <c r="J434">
        <v>266279</v>
      </c>
      <c r="K434" t="s">
        <v>30</v>
      </c>
      <c r="L434" t="str">
        <f t="shared" si="18"/>
        <v>Available</v>
      </c>
      <c r="M434">
        <f t="shared" si="19"/>
        <v>0</v>
      </c>
      <c r="N434">
        <f t="shared" si="20"/>
        <v>1</v>
      </c>
    </row>
    <row r="435" spans="1:14" x14ac:dyDescent="0.35">
      <c r="A435" t="s">
        <v>1991</v>
      </c>
      <c r="C435" t="s">
        <v>637</v>
      </c>
      <c r="D435">
        <v>11.6</v>
      </c>
      <c r="E435" t="s">
        <v>13</v>
      </c>
      <c r="F435" s="1">
        <v>45033</v>
      </c>
      <c r="G435" s="1">
        <v>46059</v>
      </c>
      <c r="H435" t="s">
        <v>14</v>
      </c>
      <c r="I435" t="s">
        <v>2778</v>
      </c>
      <c r="J435">
        <v>261493</v>
      </c>
      <c r="K435" t="s">
        <v>30</v>
      </c>
      <c r="L435" t="str">
        <f t="shared" si="18"/>
        <v>Missing</v>
      </c>
      <c r="M435">
        <f t="shared" si="19"/>
        <v>0</v>
      </c>
      <c r="N435">
        <f t="shared" si="20"/>
        <v>0</v>
      </c>
    </row>
    <row r="436" spans="1:14" x14ac:dyDescent="0.35">
      <c r="A436" t="s">
        <v>1992</v>
      </c>
      <c r="B436" t="s">
        <v>200</v>
      </c>
      <c r="C436" t="s">
        <v>638</v>
      </c>
      <c r="D436">
        <v>25</v>
      </c>
      <c r="E436" t="s">
        <v>13</v>
      </c>
      <c r="F436" s="1">
        <v>44497</v>
      </c>
      <c r="G436" s="1">
        <v>46059</v>
      </c>
      <c r="H436" t="s">
        <v>14</v>
      </c>
      <c r="I436" t="s">
        <v>2778</v>
      </c>
      <c r="J436">
        <v>262059</v>
      </c>
      <c r="K436" t="s">
        <v>30</v>
      </c>
      <c r="L436" t="str">
        <f t="shared" si="18"/>
        <v>Available</v>
      </c>
      <c r="M436">
        <f t="shared" si="19"/>
        <v>0</v>
      </c>
      <c r="N436">
        <f t="shared" si="20"/>
        <v>1</v>
      </c>
    </row>
    <row r="437" spans="1:14" x14ac:dyDescent="0.35">
      <c r="A437" t="s">
        <v>1993</v>
      </c>
      <c r="B437" t="s">
        <v>27</v>
      </c>
      <c r="C437" t="s">
        <v>639</v>
      </c>
      <c r="D437">
        <v>3</v>
      </c>
      <c r="E437" t="s">
        <v>640</v>
      </c>
      <c r="F437" s="1">
        <v>44497</v>
      </c>
      <c r="G437" s="1">
        <v>46045</v>
      </c>
      <c r="H437" t="s">
        <v>14</v>
      </c>
      <c r="I437" t="s">
        <v>2778</v>
      </c>
      <c r="J437">
        <v>261657</v>
      </c>
      <c r="K437" t="s">
        <v>30</v>
      </c>
      <c r="L437" t="str">
        <f t="shared" si="18"/>
        <v>Available</v>
      </c>
      <c r="M437">
        <f t="shared" si="19"/>
        <v>0</v>
      </c>
      <c r="N437">
        <f t="shared" si="20"/>
        <v>1</v>
      </c>
    </row>
    <row r="438" spans="1:14" x14ac:dyDescent="0.35">
      <c r="A438" t="s">
        <v>1994</v>
      </c>
      <c r="B438" t="s">
        <v>642</v>
      </c>
      <c r="C438" t="s">
        <v>641</v>
      </c>
      <c r="D438">
        <v>14</v>
      </c>
      <c r="E438" t="s">
        <v>13</v>
      </c>
      <c r="F438" s="1">
        <v>45154</v>
      </c>
      <c r="G438" s="1">
        <v>46059</v>
      </c>
      <c r="H438" t="s">
        <v>14</v>
      </c>
      <c r="I438" t="s">
        <v>2778</v>
      </c>
      <c r="J438">
        <v>264124</v>
      </c>
      <c r="K438" t="s">
        <v>30</v>
      </c>
      <c r="L438" t="str">
        <f t="shared" si="18"/>
        <v>Available</v>
      </c>
      <c r="M438">
        <f t="shared" si="19"/>
        <v>0</v>
      </c>
      <c r="N438">
        <f t="shared" si="20"/>
        <v>1</v>
      </c>
    </row>
    <row r="439" spans="1:14" x14ac:dyDescent="0.35">
      <c r="A439" t="s">
        <v>1995</v>
      </c>
      <c r="B439" t="s">
        <v>644</v>
      </c>
      <c r="C439" t="s">
        <v>643</v>
      </c>
      <c r="D439">
        <v>25</v>
      </c>
      <c r="E439" t="s">
        <v>13</v>
      </c>
      <c r="F439" s="1">
        <v>44497</v>
      </c>
      <c r="G439" s="1">
        <v>46057</v>
      </c>
      <c r="H439" t="s">
        <v>14</v>
      </c>
      <c r="I439" s="2">
        <v>18520527</v>
      </c>
      <c r="J439">
        <v>261704</v>
      </c>
      <c r="K439" t="s">
        <v>15</v>
      </c>
      <c r="L439" t="str">
        <f t="shared" si="18"/>
        <v>Available</v>
      </c>
      <c r="M439">
        <f t="shared" si="19"/>
        <v>1</v>
      </c>
      <c r="N439">
        <f t="shared" si="20"/>
        <v>1</v>
      </c>
    </row>
    <row r="440" spans="1:14" x14ac:dyDescent="0.35">
      <c r="A440" t="s">
        <v>1996</v>
      </c>
      <c r="B440" t="s">
        <v>12</v>
      </c>
      <c r="C440" t="s">
        <v>645</v>
      </c>
      <c r="D440">
        <v>45</v>
      </c>
      <c r="E440" t="s">
        <v>13</v>
      </c>
      <c r="F440" s="1">
        <v>44497</v>
      </c>
      <c r="G440" s="1">
        <v>46059</v>
      </c>
      <c r="H440" t="s">
        <v>14</v>
      </c>
      <c r="I440" s="2">
        <v>73926</v>
      </c>
      <c r="J440">
        <v>261900</v>
      </c>
      <c r="K440" t="s">
        <v>15</v>
      </c>
      <c r="L440" t="str">
        <f t="shared" si="18"/>
        <v>Available</v>
      </c>
      <c r="M440">
        <f t="shared" si="19"/>
        <v>1</v>
      </c>
      <c r="N440">
        <f t="shared" si="20"/>
        <v>1</v>
      </c>
    </row>
    <row r="441" spans="1:14" x14ac:dyDescent="0.35">
      <c r="A441" t="s">
        <v>1997</v>
      </c>
      <c r="B441" t="s">
        <v>137</v>
      </c>
      <c r="C441" t="s">
        <v>646</v>
      </c>
      <c r="F441" s="1">
        <v>44501</v>
      </c>
      <c r="G441" s="1">
        <v>45088</v>
      </c>
      <c r="H441" t="s">
        <v>14</v>
      </c>
      <c r="I441" t="s">
        <v>2778</v>
      </c>
      <c r="J441">
        <v>266858</v>
      </c>
      <c r="K441" t="s">
        <v>30</v>
      </c>
      <c r="L441" t="str">
        <f t="shared" si="18"/>
        <v>Available</v>
      </c>
      <c r="M441">
        <f t="shared" si="19"/>
        <v>0</v>
      </c>
      <c r="N441">
        <f t="shared" si="20"/>
        <v>1</v>
      </c>
    </row>
    <row r="442" spans="1:14" x14ac:dyDescent="0.35">
      <c r="A442" t="s">
        <v>1998</v>
      </c>
      <c r="B442" t="s">
        <v>91</v>
      </c>
      <c r="C442" t="s">
        <v>647</v>
      </c>
      <c r="D442">
        <v>32</v>
      </c>
      <c r="E442" t="s">
        <v>13</v>
      </c>
      <c r="F442" s="1">
        <v>44497</v>
      </c>
      <c r="G442" s="1">
        <v>46057</v>
      </c>
      <c r="H442" t="s">
        <v>14</v>
      </c>
      <c r="I442" t="s">
        <v>2778</v>
      </c>
      <c r="J442">
        <v>264201</v>
      </c>
      <c r="K442" t="s">
        <v>30</v>
      </c>
      <c r="L442" t="str">
        <f t="shared" si="18"/>
        <v>Available</v>
      </c>
      <c r="M442">
        <f t="shared" si="19"/>
        <v>0</v>
      </c>
      <c r="N442">
        <f t="shared" si="20"/>
        <v>1</v>
      </c>
    </row>
    <row r="443" spans="1:14" x14ac:dyDescent="0.35">
      <c r="A443" t="s">
        <v>1999</v>
      </c>
      <c r="B443" t="s">
        <v>29</v>
      </c>
      <c r="C443" t="s">
        <v>648</v>
      </c>
      <c r="D443">
        <v>15.5</v>
      </c>
      <c r="E443" t="s">
        <v>13</v>
      </c>
      <c r="F443" s="1">
        <v>45322</v>
      </c>
      <c r="G443" s="1">
        <v>46057</v>
      </c>
      <c r="H443" t="s">
        <v>14</v>
      </c>
      <c r="I443" t="s">
        <v>2778</v>
      </c>
      <c r="J443">
        <v>266302</v>
      </c>
      <c r="K443" t="s">
        <v>30</v>
      </c>
      <c r="L443" t="str">
        <f t="shared" si="18"/>
        <v>Available</v>
      </c>
      <c r="M443">
        <f t="shared" si="19"/>
        <v>0</v>
      </c>
      <c r="N443">
        <f t="shared" si="20"/>
        <v>1</v>
      </c>
    </row>
    <row r="444" spans="1:14" x14ac:dyDescent="0.35">
      <c r="A444" t="s">
        <v>2000</v>
      </c>
      <c r="B444" t="s">
        <v>650</v>
      </c>
      <c r="C444" t="s">
        <v>649</v>
      </c>
      <c r="D444">
        <v>15.3</v>
      </c>
      <c r="E444" t="s">
        <v>13</v>
      </c>
      <c r="F444" s="1">
        <v>44497</v>
      </c>
      <c r="G444" s="1">
        <v>46059</v>
      </c>
      <c r="H444" t="s">
        <v>14</v>
      </c>
      <c r="I444" t="s">
        <v>2778</v>
      </c>
      <c r="J444">
        <v>264366</v>
      </c>
      <c r="K444" t="s">
        <v>30</v>
      </c>
      <c r="L444" t="str">
        <f t="shared" si="18"/>
        <v>Available</v>
      </c>
      <c r="M444">
        <f t="shared" si="19"/>
        <v>0</v>
      </c>
      <c r="N444">
        <f t="shared" si="20"/>
        <v>1</v>
      </c>
    </row>
    <row r="445" spans="1:14" x14ac:dyDescent="0.35">
      <c r="A445" t="s">
        <v>2001</v>
      </c>
      <c r="B445" t="s">
        <v>71</v>
      </c>
      <c r="C445" t="s">
        <v>651</v>
      </c>
      <c r="D445">
        <v>26</v>
      </c>
      <c r="E445" t="s">
        <v>13</v>
      </c>
      <c r="F445" s="1">
        <v>44497</v>
      </c>
      <c r="G445" s="1">
        <v>46060</v>
      </c>
      <c r="H445" t="s">
        <v>14</v>
      </c>
      <c r="I445" t="s">
        <v>2778</v>
      </c>
      <c r="J445">
        <v>262246</v>
      </c>
      <c r="K445" t="s">
        <v>30</v>
      </c>
      <c r="L445" t="str">
        <f t="shared" si="18"/>
        <v>Available</v>
      </c>
      <c r="M445">
        <f t="shared" si="19"/>
        <v>0</v>
      </c>
      <c r="N445">
        <f t="shared" si="20"/>
        <v>1</v>
      </c>
    </row>
    <row r="446" spans="1:14" x14ac:dyDescent="0.35">
      <c r="A446" t="s">
        <v>2002</v>
      </c>
      <c r="B446" t="s">
        <v>653</v>
      </c>
      <c r="C446" t="s">
        <v>652</v>
      </c>
      <c r="D446">
        <v>15</v>
      </c>
      <c r="E446" t="s">
        <v>13</v>
      </c>
      <c r="F446" s="1">
        <v>45210</v>
      </c>
      <c r="G446" s="1">
        <v>46059</v>
      </c>
      <c r="H446" t="s">
        <v>14</v>
      </c>
      <c r="I446" s="2">
        <v>33208880</v>
      </c>
      <c r="J446">
        <v>262548</v>
      </c>
      <c r="K446" t="s">
        <v>15</v>
      </c>
      <c r="L446" t="str">
        <f t="shared" si="18"/>
        <v>Available</v>
      </c>
      <c r="M446">
        <f t="shared" si="19"/>
        <v>1</v>
      </c>
      <c r="N446">
        <f t="shared" si="20"/>
        <v>1</v>
      </c>
    </row>
    <row r="447" spans="1:14" x14ac:dyDescent="0.35">
      <c r="A447" t="s">
        <v>2003</v>
      </c>
      <c r="B447" t="s">
        <v>60</v>
      </c>
      <c r="C447" t="s">
        <v>654</v>
      </c>
      <c r="D447">
        <v>25</v>
      </c>
      <c r="E447" t="s">
        <v>13</v>
      </c>
      <c r="F447" s="1">
        <v>44497</v>
      </c>
      <c r="G447" s="1">
        <v>46059</v>
      </c>
      <c r="H447" t="s">
        <v>14</v>
      </c>
      <c r="I447" s="2">
        <v>19634980</v>
      </c>
      <c r="J447">
        <v>264206</v>
      </c>
      <c r="K447" t="s">
        <v>15</v>
      </c>
      <c r="L447" t="str">
        <f t="shared" si="18"/>
        <v>Available</v>
      </c>
      <c r="M447">
        <f t="shared" si="19"/>
        <v>1</v>
      </c>
      <c r="N447">
        <f t="shared" si="20"/>
        <v>1</v>
      </c>
    </row>
    <row r="448" spans="1:14" x14ac:dyDescent="0.35">
      <c r="A448" t="s">
        <v>2004</v>
      </c>
      <c r="B448" t="s">
        <v>269</v>
      </c>
      <c r="C448" t="s">
        <v>655</v>
      </c>
      <c r="D448">
        <v>22.655035000000002</v>
      </c>
      <c r="E448" t="s">
        <v>35</v>
      </c>
      <c r="F448" s="1">
        <v>44497</v>
      </c>
      <c r="G448" s="1">
        <v>45809</v>
      </c>
      <c r="H448" t="s">
        <v>14</v>
      </c>
      <c r="I448" t="s">
        <v>2778</v>
      </c>
      <c r="J448">
        <v>266337</v>
      </c>
      <c r="K448" t="s">
        <v>30</v>
      </c>
      <c r="L448" t="str">
        <f t="shared" si="18"/>
        <v>Available</v>
      </c>
      <c r="M448">
        <f t="shared" si="19"/>
        <v>0</v>
      </c>
      <c r="N448">
        <f t="shared" si="20"/>
        <v>1</v>
      </c>
    </row>
    <row r="449" spans="1:14" x14ac:dyDescent="0.35">
      <c r="A449" t="s">
        <v>2005</v>
      </c>
      <c r="B449" t="s">
        <v>43</v>
      </c>
      <c r="C449" t="s">
        <v>656</v>
      </c>
      <c r="D449">
        <v>25</v>
      </c>
      <c r="E449" t="s">
        <v>13</v>
      </c>
      <c r="F449" s="1">
        <v>44497</v>
      </c>
      <c r="G449" s="1">
        <v>46059</v>
      </c>
      <c r="H449" t="s">
        <v>14</v>
      </c>
      <c r="I449" s="2">
        <v>387001</v>
      </c>
      <c r="J449">
        <v>261533</v>
      </c>
      <c r="K449" t="s">
        <v>15</v>
      </c>
      <c r="L449" t="str">
        <f t="shared" si="18"/>
        <v>Available</v>
      </c>
      <c r="M449">
        <f t="shared" si="19"/>
        <v>1</v>
      </c>
      <c r="N449">
        <f t="shared" si="20"/>
        <v>1</v>
      </c>
    </row>
    <row r="450" spans="1:14" x14ac:dyDescent="0.35">
      <c r="A450" t="s">
        <v>2006</v>
      </c>
      <c r="B450" t="s">
        <v>527</v>
      </c>
      <c r="C450" t="s">
        <v>657</v>
      </c>
      <c r="D450">
        <v>24</v>
      </c>
      <c r="E450" t="s">
        <v>13</v>
      </c>
      <c r="F450" s="1">
        <v>44497</v>
      </c>
      <c r="G450" s="1">
        <v>46058</v>
      </c>
      <c r="H450" t="s">
        <v>14</v>
      </c>
      <c r="I450" s="2">
        <v>3242671</v>
      </c>
      <c r="J450">
        <v>266982</v>
      </c>
      <c r="K450" t="s">
        <v>15</v>
      </c>
      <c r="L450" t="str">
        <f t="shared" si="18"/>
        <v>Available</v>
      </c>
      <c r="M450">
        <f t="shared" si="19"/>
        <v>1</v>
      </c>
      <c r="N450">
        <f t="shared" si="20"/>
        <v>1</v>
      </c>
    </row>
    <row r="451" spans="1:14" x14ac:dyDescent="0.35">
      <c r="A451" t="s">
        <v>2007</v>
      </c>
      <c r="B451" t="s">
        <v>125</v>
      </c>
      <c r="C451" t="s">
        <v>658</v>
      </c>
      <c r="D451">
        <v>25</v>
      </c>
      <c r="E451" t="s">
        <v>13</v>
      </c>
      <c r="F451" s="1">
        <v>44607</v>
      </c>
      <c r="G451" s="1">
        <v>46059</v>
      </c>
      <c r="H451" t="s">
        <v>14</v>
      </c>
      <c r="I451" s="2">
        <v>27583107</v>
      </c>
      <c r="J451">
        <v>264112</v>
      </c>
      <c r="K451" t="s">
        <v>15</v>
      </c>
      <c r="L451" t="str">
        <f t="shared" ref="L451:L514" si="21">IF(OR(B451="",ISBLANK(B451)),"Missing","Available")</f>
        <v>Available</v>
      </c>
      <c r="M451">
        <f t="shared" ref="M451:M514" si="22">IF(K451="Mapped",1,0)</f>
        <v>1</v>
      </c>
      <c r="N451">
        <f t="shared" ref="N451:N514" si="23">IF(AND(B451&lt;&gt;"",A451&lt;&gt;""),1,0)</f>
        <v>1</v>
      </c>
    </row>
    <row r="452" spans="1:14" x14ac:dyDescent="0.35">
      <c r="A452" t="s">
        <v>2008</v>
      </c>
      <c r="B452" t="s">
        <v>118</v>
      </c>
      <c r="C452" t="s">
        <v>659</v>
      </c>
      <c r="D452">
        <v>24</v>
      </c>
      <c r="E452" t="s">
        <v>13</v>
      </c>
      <c r="F452" s="1">
        <v>45473</v>
      </c>
      <c r="G452" s="1">
        <v>46059</v>
      </c>
      <c r="H452" t="s">
        <v>14</v>
      </c>
      <c r="I452" s="2">
        <v>48715862</v>
      </c>
      <c r="J452">
        <v>264286</v>
      </c>
      <c r="K452" t="s">
        <v>15</v>
      </c>
      <c r="L452" t="str">
        <f t="shared" si="21"/>
        <v>Available</v>
      </c>
      <c r="M452">
        <f t="shared" si="22"/>
        <v>1</v>
      </c>
      <c r="N452">
        <f t="shared" si="23"/>
        <v>1</v>
      </c>
    </row>
    <row r="453" spans="1:14" x14ac:dyDescent="0.35">
      <c r="A453" t="s">
        <v>2009</v>
      </c>
      <c r="B453" t="s">
        <v>293</v>
      </c>
      <c r="C453" t="s">
        <v>660</v>
      </c>
      <c r="D453">
        <v>18.5</v>
      </c>
      <c r="E453" t="s">
        <v>13</v>
      </c>
      <c r="F453" s="1">
        <v>44497</v>
      </c>
      <c r="G453" s="1">
        <v>46059</v>
      </c>
      <c r="H453" t="s">
        <v>14</v>
      </c>
      <c r="I453" t="s">
        <v>2778</v>
      </c>
      <c r="J453">
        <v>266352</v>
      </c>
      <c r="K453" t="s">
        <v>30</v>
      </c>
      <c r="L453" t="str">
        <f t="shared" si="21"/>
        <v>Available</v>
      </c>
      <c r="M453">
        <f t="shared" si="22"/>
        <v>0</v>
      </c>
      <c r="N453">
        <f t="shared" si="23"/>
        <v>1</v>
      </c>
    </row>
    <row r="454" spans="1:14" x14ac:dyDescent="0.35">
      <c r="A454" t="s">
        <v>2010</v>
      </c>
      <c r="B454" t="s">
        <v>132</v>
      </c>
      <c r="C454" t="s">
        <v>661</v>
      </c>
      <c r="F454" s="1">
        <v>45009</v>
      </c>
      <c r="G454" s="1">
        <v>45099</v>
      </c>
      <c r="H454" t="s">
        <v>14</v>
      </c>
      <c r="I454" t="s">
        <v>2778</v>
      </c>
      <c r="J454">
        <v>266851</v>
      </c>
      <c r="K454" t="s">
        <v>30</v>
      </c>
      <c r="L454" t="str">
        <f t="shared" si="21"/>
        <v>Available</v>
      </c>
      <c r="M454">
        <f t="shared" si="22"/>
        <v>0</v>
      </c>
      <c r="N454">
        <f t="shared" si="23"/>
        <v>1</v>
      </c>
    </row>
    <row r="455" spans="1:14" x14ac:dyDescent="0.35">
      <c r="A455" t="s">
        <v>2011</v>
      </c>
      <c r="C455" t="s">
        <v>662</v>
      </c>
      <c r="D455">
        <v>16</v>
      </c>
      <c r="E455" t="s">
        <v>13</v>
      </c>
      <c r="F455" s="1">
        <v>44699</v>
      </c>
      <c r="G455" s="1">
        <v>46057</v>
      </c>
      <c r="H455" t="s">
        <v>14</v>
      </c>
      <c r="I455" s="2">
        <v>27420926</v>
      </c>
      <c r="J455">
        <v>264462</v>
      </c>
      <c r="K455" t="s">
        <v>15</v>
      </c>
      <c r="L455" t="str">
        <f t="shared" si="21"/>
        <v>Missing</v>
      </c>
      <c r="M455">
        <f t="shared" si="22"/>
        <v>1</v>
      </c>
      <c r="N455">
        <f t="shared" si="23"/>
        <v>0</v>
      </c>
    </row>
    <row r="456" spans="1:14" x14ac:dyDescent="0.35">
      <c r="A456" t="s">
        <v>2012</v>
      </c>
      <c r="B456" t="s">
        <v>485</v>
      </c>
      <c r="C456" t="s">
        <v>663</v>
      </c>
      <c r="D456">
        <v>25.5</v>
      </c>
      <c r="E456" t="s">
        <v>13</v>
      </c>
      <c r="F456" s="1">
        <v>44497</v>
      </c>
      <c r="G456" s="1">
        <v>46059</v>
      </c>
      <c r="H456" t="s">
        <v>14</v>
      </c>
      <c r="I456" t="s">
        <v>2778</v>
      </c>
      <c r="J456">
        <v>267046</v>
      </c>
      <c r="K456" t="s">
        <v>30</v>
      </c>
      <c r="L456" t="str">
        <f t="shared" si="21"/>
        <v>Available</v>
      </c>
      <c r="M456">
        <f t="shared" si="22"/>
        <v>0</v>
      </c>
      <c r="N456">
        <f t="shared" si="23"/>
        <v>1</v>
      </c>
    </row>
    <row r="457" spans="1:14" x14ac:dyDescent="0.35">
      <c r="A457" t="s">
        <v>2013</v>
      </c>
      <c r="B457" t="s">
        <v>665</v>
      </c>
      <c r="C457" t="s">
        <v>664</v>
      </c>
      <c r="D457">
        <v>24</v>
      </c>
      <c r="E457" t="s">
        <v>13</v>
      </c>
      <c r="F457" s="1">
        <v>44501</v>
      </c>
      <c r="G457" s="1">
        <v>45739</v>
      </c>
      <c r="H457" t="s">
        <v>14</v>
      </c>
      <c r="I457" t="s">
        <v>2778</v>
      </c>
      <c r="J457">
        <v>262600</v>
      </c>
      <c r="K457" t="s">
        <v>30</v>
      </c>
      <c r="L457" t="str">
        <f t="shared" si="21"/>
        <v>Available</v>
      </c>
      <c r="M457">
        <f t="shared" si="22"/>
        <v>0</v>
      </c>
      <c r="N457">
        <f t="shared" si="23"/>
        <v>1</v>
      </c>
    </row>
    <row r="458" spans="1:14" x14ac:dyDescent="0.35">
      <c r="A458" t="s">
        <v>2014</v>
      </c>
      <c r="B458" t="s">
        <v>58</v>
      </c>
      <c r="C458" t="s">
        <v>666</v>
      </c>
      <c r="D458">
        <v>14</v>
      </c>
      <c r="E458" t="s">
        <v>13</v>
      </c>
      <c r="F458" s="1">
        <v>44497</v>
      </c>
      <c r="G458" s="1">
        <v>46059</v>
      </c>
      <c r="H458" t="s">
        <v>14</v>
      </c>
      <c r="I458" s="2">
        <v>80810</v>
      </c>
      <c r="J458">
        <v>266280</v>
      </c>
      <c r="K458" t="s">
        <v>15</v>
      </c>
      <c r="L458" t="str">
        <f t="shared" si="21"/>
        <v>Available</v>
      </c>
      <c r="M458">
        <f t="shared" si="22"/>
        <v>1</v>
      </c>
      <c r="N458">
        <f t="shared" si="23"/>
        <v>1</v>
      </c>
    </row>
    <row r="459" spans="1:14" x14ac:dyDescent="0.35">
      <c r="A459" t="s">
        <v>2015</v>
      </c>
      <c r="B459" t="s">
        <v>668</v>
      </c>
      <c r="C459" t="s">
        <v>667</v>
      </c>
      <c r="D459">
        <v>20</v>
      </c>
      <c r="E459" t="s">
        <v>13</v>
      </c>
      <c r="F459" s="1">
        <v>44497</v>
      </c>
      <c r="G459" s="1">
        <v>46059</v>
      </c>
      <c r="H459" t="s">
        <v>14</v>
      </c>
      <c r="I459" t="s">
        <v>2778</v>
      </c>
      <c r="J459">
        <v>266325</v>
      </c>
      <c r="K459" t="s">
        <v>30</v>
      </c>
      <c r="L459" t="str">
        <f t="shared" si="21"/>
        <v>Available</v>
      </c>
      <c r="M459">
        <f t="shared" si="22"/>
        <v>0</v>
      </c>
      <c r="N459">
        <f t="shared" si="23"/>
        <v>1</v>
      </c>
    </row>
    <row r="460" spans="1:14" x14ac:dyDescent="0.35">
      <c r="A460" t="s">
        <v>2016</v>
      </c>
      <c r="B460" t="s">
        <v>27</v>
      </c>
      <c r="C460" t="s">
        <v>590</v>
      </c>
      <c r="D460">
        <v>0.125</v>
      </c>
      <c r="E460" t="s">
        <v>13</v>
      </c>
      <c r="F460" s="1">
        <v>44497</v>
      </c>
      <c r="G460" s="1">
        <v>46045</v>
      </c>
      <c r="H460" t="s">
        <v>14</v>
      </c>
      <c r="I460" t="s">
        <v>2778</v>
      </c>
      <c r="J460">
        <v>261573</v>
      </c>
      <c r="K460" t="s">
        <v>30</v>
      </c>
      <c r="L460" t="str">
        <f t="shared" si="21"/>
        <v>Available</v>
      </c>
      <c r="M460">
        <f t="shared" si="22"/>
        <v>0</v>
      </c>
      <c r="N460">
        <f t="shared" si="23"/>
        <v>1</v>
      </c>
    </row>
    <row r="461" spans="1:14" x14ac:dyDescent="0.35">
      <c r="A461" t="s">
        <v>2017</v>
      </c>
      <c r="B461" t="s">
        <v>23</v>
      </c>
      <c r="C461" t="s">
        <v>669</v>
      </c>
      <c r="F461" s="1">
        <v>44500</v>
      </c>
      <c r="G461" s="1">
        <v>45133</v>
      </c>
      <c r="H461" t="s">
        <v>14</v>
      </c>
      <c r="I461" t="s">
        <v>2778</v>
      </c>
      <c r="J461">
        <v>262047</v>
      </c>
      <c r="K461" t="s">
        <v>30</v>
      </c>
      <c r="L461" t="str">
        <f t="shared" si="21"/>
        <v>Available</v>
      </c>
      <c r="M461">
        <f t="shared" si="22"/>
        <v>0</v>
      </c>
      <c r="N461">
        <f t="shared" si="23"/>
        <v>1</v>
      </c>
    </row>
    <row r="462" spans="1:14" x14ac:dyDescent="0.35">
      <c r="A462" t="s">
        <v>2018</v>
      </c>
      <c r="C462" t="s">
        <v>670</v>
      </c>
      <c r="F462" s="1">
        <v>44502</v>
      </c>
      <c r="G462" s="1">
        <v>45088</v>
      </c>
      <c r="H462" t="s">
        <v>14</v>
      </c>
      <c r="I462" t="s">
        <v>2778</v>
      </c>
      <c r="J462">
        <v>261817</v>
      </c>
      <c r="K462" t="s">
        <v>30</v>
      </c>
      <c r="L462" t="str">
        <f t="shared" si="21"/>
        <v>Missing</v>
      </c>
      <c r="M462">
        <f t="shared" si="22"/>
        <v>0</v>
      </c>
      <c r="N462">
        <f t="shared" si="23"/>
        <v>0</v>
      </c>
    </row>
    <row r="463" spans="1:14" x14ac:dyDescent="0.35">
      <c r="A463" t="s">
        <v>2019</v>
      </c>
      <c r="B463" t="s">
        <v>527</v>
      </c>
      <c r="C463" t="s">
        <v>671</v>
      </c>
      <c r="D463">
        <v>24</v>
      </c>
      <c r="E463" t="s">
        <v>13</v>
      </c>
      <c r="F463" s="1">
        <v>44497</v>
      </c>
      <c r="G463" s="1">
        <v>46058</v>
      </c>
      <c r="H463" t="s">
        <v>14</v>
      </c>
      <c r="I463" s="2">
        <v>3242670</v>
      </c>
      <c r="J463">
        <v>262269</v>
      </c>
      <c r="K463" t="s">
        <v>15</v>
      </c>
      <c r="L463" t="str">
        <f t="shared" si="21"/>
        <v>Available</v>
      </c>
      <c r="M463">
        <f t="shared" si="22"/>
        <v>1</v>
      </c>
      <c r="N463">
        <f t="shared" si="23"/>
        <v>1</v>
      </c>
    </row>
    <row r="464" spans="1:14" x14ac:dyDescent="0.35">
      <c r="A464" t="s">
        <v>2020</v>
      </c>
      <c r="B464" t="s">
        <v>445</v>
      </c>
      <c r="C464" t="s">
        <v>672</v>
      </c>
      <c r="D464">
        <v>24</v>
      </c>
      <c r="E464" t="s">
        <v>13</v>
      </c>
      <c r="F464" s="1">
        <v>44497</v>
      </c>
      <c r="G464" s="1">
        <v>46059</v>
      </c>
      <c r="H464" t="s">
        <v>14</v>
      </c>
      <c r="I464" t="s">
        <v>2778</v>
      </c>
      <c r="J464">
        <v>261821</v>
      </c>
      <c r="K464" t="s">
        <v>30</v>
      </c>
      <c r="L464" t="str">
        <f t="shared" si="21"/>
        <v>Available</v>
      </c>
      <c r="M464">
        <f t="shared" si="22"/>
        <v>0</v>
      </c>
      <c r="N464">
        <f t="shared" si="23"/>
        <v>1</v>
      </c>
    </row>
    <row r="465" spans="1:14" x14ac:dyDescent="0.35">
      <c r="A465" t="s">
        <v>2021</v>
      </c>
      <c r="B465" t="s">
        <v>47</v>
      </c>
      <c r="C465" t="s">
        <v>673</v>
      </c>
      <c r="D465">
        <v>24</v>
      </c>
      <c r="E465" t="s">
        <v>13</v>
      </c>
      <c r="F465" s="1">
        <v>44497</v>
      </c>
      <c r="G465" s="1">
        <v>46059</v>
      </c>
      <c r="H465" t="s">
        <v>14</v>
      </c>
      <c r="I465" s="2">
        <v>1334137</v>
      </c>
      <c r="J465">
        <v>266284</v>
      </c>
      <c r="K465" t="s">
        <v>15</v>
      </c>
      <c r="L465" t="str">
        <f t="shared" si="21"/>
        <v>Available</v>
      </c>
      <c r="M465">
        <f t="shared" si="22"/>
        <v>1</v>
      </c>
      <c r="N465">
        <f t="shared" si="23"/>
        <v>1</v>
      </c>
    </row>
    <row r="466" spans="1:14" x14ac:dyDescent="0.35">
      <c r="A466" t="s">
        <v>2022</v>
      </c>
      <c r="B466" t="s">
        <v>322</v>
      </c>
      <c r="C466" t="s">
        <v>674</v>
      </c>
      <c r="D466">
        <v>21.978764999999999</v>
      </c>
      <c r="E466" t="s">
        <v>35</v>
      </c>
      <c r="F466" s="1">
        <v>44497</v>
      </c>
      <c r="G466" s="1">
        <v>45659</v>
      </c>
      <c r="H466" t="s">
        <v>14</v>
      </c>
      <c r="I466" t="s">
        <v>2778</v>
      </c>
      <c r="J466">
        <v>266844</v>
      </c>
      <c r="K466" t="s">
        <v>30</v>
      </c>
      <c r="L466" t="str">
        <f t="shared" si="21"/>
        <v>Available</v>
      </c>
      <c r="M466">
        <f t="shared" si="22"/>
        <v>0</v>
      </c>
      <c r="N466">
        <f t="shared" si="23"/>
        <v>1</v>
      </c>
    </row>
    <row r="467" spans="1:14" x14ac:dyDescent="0.35">
      <c r="A467" t="s">
        <v>2023</v>
      </c>
      <c r="B467" t="s">
        <v>348</v>
      </c>
      <c r="C467" t="s">
        <v>675</v>
      </c>
      <c r="D467">
        <v>24</v>
      </c>
      <c r="E467" t="s">
        <v>13</v>
      </c>
      <c r="F467" s="1">
        <v>44497</v>
      </c>
      <c r="G467" s="1">
        <v>46060</v>
      </c>
      <c r="H467" t="s">
        <v>14</v>
      </c>
      <c r="I467" s="2">
        <v>39332</v>
      </c>
      <c r="J467">
        <v>261866</v>
      </c>
      <c r="K467" t="s">
        <v>15</v>
      </c>
      <c r="L467" t="str">
        <f t="shared" si="21"/>
        <v>Available</v>
      </c>
      <c r="M467">
        <f t="shared" si="22"/>
        <v>1</v>
      </c>
      <c r="N467">
        <f t="shared" si="23"/>
        <v>1</v>
      </c>
    </row>
    <row r="468" spans="1:14" x14ac:dyDescent="0.35">
      <c r="A468" t="s">
        <v>2024</v>
      </c>
      <c r="B468" t="s">
        <v>60</v>
      </c>
      <c r="C468" t="s">
        <v>676</v>
      </c>
      <c r="D468">
        <v>25</v>
      </c>
      <c r="E468" t="s">
        <v>13</v>
      </c>
      <c r="F468" s="1">
        <v>44497</v>
      </c>
      <c r="G468" s="1">
        <v>46059</v>
      </c>
      <c r="H468" t="s">
        <v>14</v>
      </c>
      <c r="I468" s="2">
        <v>18689024</v>
      </c>
      <c r="J468">
        <v>266643</v>
      </c>
      <c r="K468" t="s">
        <v>15</v>
      </c>
      <c r="L468" t="str">
        <f t="shared" si="21"/>
        <v>Available</v>
      </c>
      <c r="M468">
        <f t="shared" si="22"/>
        <v>1</v>
      </c>
      <c r="N468">
        <f t="shared" si="23"/>
        <v>1</v>
      </c>
    </row>
    <row r="469" spans="1:14" x14ac:dyDescent="0.35">
      <c r="A469" t="s">
        <v>2025</v>
      </c>
      <c r="B469" t="s">
        <v>132</v>
      </c>
      <c r="C469" t="s">
        <v>677</v>
      </c>
      <c r="F469" s="1">
        <v>45009</v>
      </c>
      <c r="G469" s="1">
        <v>45099</v>
      </c>
      <c r="H469" t="s">
        <v>14</v>
      </c>
      <c r="I469" t="s">
        <v>2778</v>
      </c>
      <c r="J469">
        <v>262614</v>
      </c>
      <c r="K469" t="s">
        <v>30</v>
      </c>
      <c r="L469" t="str">
        <f t="shared" si="21"/>
        <v>Available</v>
      </c>
      <c r="M469">
        <f t="shared" si="22"/>
        <v>0</v>
      </c>
      <c r="N469">
        <f t="shared" si="23"/>
        <v>1</v>
      </c>
    </row>
    <row r="470" spans="1:14" x14ac:dyDescent="0.35">
      <c r="A470" t="s">
        <v>2026</v>
      </c>
      <c r="B470" t="s">
        <v>123</v>
      </c>
      <c r="C470" t="s">
        <v>678</v>
      </c>
      <c r="D470">
        <v>24</v>
      </c>
      <c r="E470" t="s">
        <v>13</v>
      </c>
      <c r="F470" s="1">
        <v>44607</v>
      </c>
      <c r="G470" s="1">
        <v>46059</v>
      </c>
      <c r="H470" t="s">
        <v>14</v>
      </c>
      <c r="I470" s="2">
        <v>27126603</v>
      </c>
      <c r="J470">
        <v>264351</v>
      </c>
      <c r="K470" t="s">
        <v>15</v>
      </c>
      <c r="L470" t="str">
        <f t="shared" si="21"/>
        <v>Available</v>
      </c>
      <c r="M470">
        <f t="shared" si="22"/>
        <v>1</v>
      </c>
      <c r="N470">
        <f t="shared" si="23"/>
        <v>1</v>
      </c>
    </row>
    <row r="471" spans="1:14" x14ac:dyDescent="0.35">
      <c r="A471" t="s">
        <v>2027</v>
      </c>
      <c r="B471" t="s">
        <v>139</v>
      </c>
      <c r="C471" t="s">
        <v>679</v>
      </c>
      <c r="D471">
        <v>24</v>
      </c>
      <c r="E471" t="s">
        <v>13</v>
      </c>
      <c r="F471" s="1">
        <v>44497</v>
      </c>
      <c r="G471" s="1">
        <v>46059</v>
      </c>
      <c r="H471" t="s">
        <v>14</v>
      </c>
      <c r="I471" s="2">
        <v>24933390</v>
      </c>
      <c r="J471">
        <v>266567</v>
      </c>
      <c r="K471" t="s">
        <v>15</v>
      </c>
      <c r="L471" t="str">
        <f t="shared" si="21"/>
        <v>Available</v>
      </c>
      <c r="M471">
        <f t="shared" si="22"/>
        <v>1</v>
      </c>
      <c r="N471">
        <f t="shared" si="23"/>
        <v>1</v>
      </c>
    </row>
    <row r="472" spans="1:14" x14ac:dyDescent="0.35">
      <c r="A472" t="s">
        <v>2028</v>
      </c>
      <c r="B472" t="s">
        <v>43</v>
      </c>
      <c r="C472" t="s">
        <v>680</v>
      </c>
      <c r="D472">
        <v>25</v>
      </c>
      <c r="E472" t="s">
        <v>13</v>
      </c>
      <c r="F472" s="1">
        <v>44497</v>
      </c>
      <c r="G472" s="1">
        <v>46059</v>
      </c>
      <c r="H472" t="s">
        <v>14</v>
      </c>
      <c r="I472" s="2">
        <v>2736390</v>
      </c>
      <c r="J472">
        <v>264535</v>
      </c>
      <c r="K472" t="s">
        <v>15</v>
      </c>
      <c r="L472" t="str">
        <f t="shared" si="21"/>
        <v>Available</v>
      </c>
      <c r="M472">
        <f t="shared" si="22"/>
        <v>1</v>
      </c>
      <c r="N472">
        <f t="shared" si="23"/>
        <v>1</v>
      </c>
    </row>
    <row r="473" spans="1:14" x14ac:dyDescent="0.35">
      <c r="A473" t="s">
        <v>2029</v>
      </c>
      <c r="B473" t="s">
        <v>682</v>
      </c>
      <c r="C473" t="s">
        <v>681</v>
      </c>
      <c r="D473">
        <v>24</v>
      </c>
      <c r="E473" t="s">
        <v>13</v>
      </c>
      <c r="F473" s="1">
        <v>44497</v>
      </c>
      <c r="G473" s="1">
        <v>46055</v>
      </c>
      <c r="H473" t="s">
        <v>14</v>
      </c>
      <c r="I473" s="2">
        <v>2798876</v>
      </c>
      <c r="J473">
        <v>264195</v>
      </c>
      <c r="K473" t="s">
        <v>15</v>
      </c>
      <c r="L473" t="str">
        <f t="shared" si="21"/>
        <v>Available</v>
      </c>
      <c r="M473">
        <f t="shared" si="22"/>
        <v>1</v>
      </c>
      <c r="N473">
        <f t="shared" si="23"/>
        <v>1</v>
      </c>
    </row>
    <row r="474" spans="1:14" x14ac:dyDescent="0.35">
      <c r="A474" t="s">
        <v>2030</v>
      </c>
      <c r="B474" t="s">
        <v>121</v>
      </c>
      <c r="C474" t="s">
        <v>683</v>
      </c>
      <c r="D474">
        <v>34.799999999999997</v>
      </c>
      <c r="E474" t="s">
        <v>13</v>
      </c>
      <c r="F474" s="1">
        <v>44501</v>
      </c>
      <c r="G474" s="1">
        <v>45966</v>
      </c>
      <c r="H474" t="s">
        <v>14</v>
      </c>
      <c r="I474" s="2">
        <v>25392844</v>
      </c>
      <c r="J474">
        <v>267049</v>
      </c>
      <c r="K474" t="s">
        <v>15</v>
      </c>
      <c r="L474" t="str">
        <f t="shared" si="21"/>
        <v>Available</v>
      </c>
      <c r="M474">
        <f t="shared" si="22"/>
        <v>1</v>
      </c>
      <c r="N474">
        <f t="shared" si="23"/>
        <v>1</v>
      </c>
    </row>
    <row r="475" spans="1:14" x14ac:dyDescent="0.35">
      <c r="A475" t="s">
        <v>2031</v>
      </c>
      <c r="B475" t="s">
        <v>544</v>
      </c>
      <c r="C475" t="s">
        <v>684</v>
      </c>
      <c r="D475">
        <v>25.5</v>
      </c>
      <c r="E475" t="s">
        <v>13</v>
      </c>
      <c r="F475" s="1">
        <v>44508</v>
      </c>
      <c r="G475" s="1">
        <v>45360</v>
      </c>
      <c r="H475" t="s">
        <v>14</v>
      </c>
      <c r="I475" t="s">
        <v>2778</v>
      </c>
      <c r="J475">
        <v>267059</v>
      </c>
      <c r="K475" t="s">
        <v>30</v>
      </c>
      <c r="L475" t="str">
        <f t="shared" si="21"/>
        <v>Available</v>
      </c>
      <c r="M475">
        <f t="shared" si="22"/>
        <v>0</v>
      </c>
      <c r="N475">
        <f t="shared" si="23"/>
        <v>1</v>
      </c>
    </row>
    <row r="476" spans="1:14" x14ac:dyDescent="0.35">
      <c r="A476" t="s">
        <v>2032</v>
      </c>
      <c r="B476" t="s">
        <v>686</v>
      </c>
      <c r="C476" t="s">
        <v>685</v>
      </c>
      <c r="D476">
        <v>24</v>
      </c>
      <c r="E476" t="s">
        <v>13</v>
      </c>
      <c r="F476" s="1">
        <v>45679</v>
      </c>
      <c r="G476" s="1">
        <v>46059</v>
      </c>
      <c r="H476" t="s">
        <v>14</v>
      </c>
      <c r="I476" s="2">
        <v>64419192</v>
      </c>
      <c r="J476">
        <v>264036</v>
      </c>
      <c r="K476" t="s">
        <v>15</v>
      </c>
      <c r="L476" t="str">
        <f t="shared" si="21"/>
        <v>Available</v>
      </c>
      <c r="M476">
        <f t="shared" si="22"/>
        <v>1</v>
      </c>
      <c r="N476">
        <f t="shared" si="23"/>
        <v>1</v>
      </c>
    </row>
    <row r="477" spans="1:14" x14ac:dyDescent="0.35">
      <c r="A477" t="s">
        <v>2033</v>
      </c>
      <c r="B477" t="s">
        <v>129</v>
      </c>
      <c r="C477" t="s">
        <v>687</v>
      </c>
      <c r="D477">
        <v>25</v>
      </c>
      <c r="E477" t="s">
        <v>13</v>
      </c>
      <c r="F477" s="1">
        <v>44497</v>
      </c>
      <c r="G477" s="1">
        <v>46056</v>
      </c>
      <c r="H477" t="s">
        <v>14</v>
      </c>
      <c r="I477" s="2">
        <v>2219444</v>
      </c>
      <c r="J477">
        <v>261685</v>
      </c>
      <c r="K477" t="s">
        <v>15</v>
      </c>
      <c r="L477" t="str">
        <f t="shared" si="21"/>
        <v>Available</v>
      </c>
      <c r="M477">
        <f t="shared" si="22"/>
        <v>1</v>
      </c>
      <c r="N477">
        <f t="shared" si="23"/>
        <v>1</v>
      </c>
    </row>
    <row r="478" spans="1:14" x14ac:dyDescent="0.35">
      <c r="A478" t="s">
        <v>2034</v>
      </c>
      <c r="B478" t="s">
        <v>171</v>
      </c>
      <c r="C478" t="s">
        <v>688</v>
      </c>
      <c r="D478">
        <v>24</v>
      </c>
      <c r="E478" t="s">
        <v>13</v>
      </c>
      <c r="F478" s="1">
        <v>45253</v>
      </c>
      <c r="G478" s="1">
        <v>46057</v>
      </c>
      <c r="H478" t="s">
        <v>14</v>
      </c>
      <c r="I478" s="2">
        <v>28129699</v>
      </c>
      <c r="J478">
        <v>261514</v>
      </c>
      <c r="K478" t="s">
        <v>15</v>
      </c>
      <c r="L478" t="str">
        <f t="shared" si="21"/>
        <v>Available</v>
      </c>
      <c r="M478">
        <f t="shared" si="22"/>
        <v>1</v>
      </c>
      <c r="N478">
        <f t="shared" si="23"/>
        <v>1</v>
      </c>
    </row>
    <row r="479" spans="1:14" x14ac:dyDescent="0.35">
      <c r="A479" t="s">
        <v>2035</v>
      </c>
      <c r="B479" t="s">
        <v>690</v>
      </c>
      <c r="C479" t="s">
        <v>689</v>
      </c>
      <c r="D479">
        <v>24</v>
      </c>
      <c r="E479" t="s">
        <v>13</v>
      </c>
      <c r="F479" s="1">
        <v>44497</v>
      </c>
      <c r="G479" s="1">
        <v>46059</v>
      </c>
      <c r="H479" t="s">
        <v>14</v>
      </c>
      <c r="I479" s="2">
        <v>18474772</v>
      </c>
      <c r="J479">
        <v>266319</v>
      </c>
      <c r="K479" t="s">
        <v>15</v>
      </c>
      <c r="L479" t="str">
        <f t="shared" si="21"/>
        <v>Available</v>
      </c>
      <c r="M479">
        <f t="shared" si="22"/>
        <v>1</v>
      </c>
      <c r="N479">
        <f t="shared" si="23"/>
        <v>1</v>
      </c>
    </row>
    <row r="480" spans="1:14" x14ac:dyDescent="0.35">
      <c r="A480" t="s">
        <v>2036</v>
      </c>
      <c r="B480" t="s">
        <v>58</v>
      </c>
      <c r="C480" t="s">
        <v>691</v>
      </c>
      <c r="D480">
        <v>20.288091000000001</v>
      </c>
      <c r="E480" t="s">
        <v>35</v>
      </c>
      <c r="F480" s="1">
        <v>45631</v>
      </c>
      <c r="G480" s="1">
        <v>46058</v>
      </c>
      <c r="H480" t="s">
        <v>14</v>
      </c>
      <c r="I480" t="s">
        <v>2778</v>
      </c>
      <c r="J480">
        <v>267032</v>
      </c>
      <c r="K480" t="s">
        <v>30</v>
      </c>
      <c r="L480" t="str">
        <f t="shared" si="21"/>
        <v>Available</v>
      </c>
      <c r="M480">
        <f t="shared" si="22"/>
        <v>0</v>
      </c>
      <c r="N480">
        <f t="shared" si="23"/>
        <v>1</v>
      </c>
    </row>
    <row r="481" spans="1:14" x14ac:dyDescent="0.35">
      <c r="A481" t="s">
        <v>2037</v>
      </c>
      <c r="C481" t="s">
        <v>692</v>
      </c>
      <c r="D481">
        <v>26</v>
      </c>
      <c r="E481" t="s">
        <v>13</v>
      </c>
      <c r="F481" s="1">
        <v>44503</v>
      </c>
      <c r="G481" s="1">
        <v>46057</v>
      </c>
      <c r="H481" t="s">
        <v>14</v>
      </c>
      <c r="I481" s="2">
        <v>19739876</v>
      </c>
      <c r="J481">
        <v>266934</v>
      </c>
      <c r="K481" t="s">
        <v>15</v>
      </c>
      <c r="L481" t="str">
        <f t="shared" si="21"/>
        <v>Missing</v>
      </c>
      <c r="M481">
        <f t="shared" si="22"/>
        <v>1</v>
      </c>
      <c r="N481">
        <f t="shared" si="23"/>
        <v>0</v>
      </c>
    </row>
    <row r="482" spans="1:14" x14ac:dyDescent="0.35">
      <c r="A482" t="s">
        <v>2038</v>
      </c>
      <c r="B482" t="s">
        <v>71</v>
      </c>
      <c r="C482" t="s">
        <v>693</v>
      </c>
      <c r="D482">
        <v>24</v>
      </c>
      <c r="E482" t="s">
        <v>13</v>
      </c>
      <c r="F482" s="1">
        <v>44497</v>
      </c>
      <c r="G482" s="1">
        <v>46060</v>
      </c>
      <c r="H482" t="s">
        <v>14</v>
      </c>
      <c r="I482" s="2">
        <v>43575</v>
      </c>
      <c r="J482">
        <v>264642</v>
      </c>
      <c r="K482" t="s">
        <v>15</v>
      </c>
      <c r="L482" t="str">
        <f t="shared" si="21"/>
        <v>Available</v>
      </c>
      <c r="M482">
        <f t="shared" si="22"/>
        <v>1</v>
      </c>
      <c r="N482">
        <f t="shared" si="23"/>
        <v>1</v>
      </c>
    </row>
    <row r="483" spans="1:14" x14ac:dyDescent="0.35">
      <c r="A483" t="s">
        <v>2039</v>
      </c>
      <c r="B483" t="s">
        <v>158</v>
      </c>
      <c r="C483" t="s">
        <v>694</v>
      </c>
      <c r="D483">
        <v>32</v>
      </c>
      <c r="E483" t="s">
        <v>13</v>
      </c>
      <c r="F483" s="1">
        <v>44497</v>
      </c>
      <c r="G483" s="1">
        <v>45983</v>
      </c>
      <c r="H483" t="s">
        <v>14</v>
      </c>
      <c r="I483" t="s">
        <v>2778</v>
      </c>
      <c r="J483">
        <v>262228</v>
      </c>
      <c r="K483" t="s">
        <v>30</v>
      </c>
      <c r="L483" t="str">
        <f t="shared" si="21"/>
        <v>Available</v>
      </c>
      <c r="M483">
        <f t="shared" si="22"/>
        <v>0</v>
      </c>
      <c r="N483">
        <f t="shared" si="23"/>
        <v>1</v>
      </c>
    </row>
    <row r="484" spans="1:14" x14ac:dyDescent="0.35">
      <c r="A484" t="s">
        <v>2040</v>
      </c>
      <c r="C484" t="s">
        <v>695</v>
      </c>
      <c r="D484">
        <v>26</v>
      </c>
      <c r="E484" t="s">
        <v>13</v>
      </c>
      <c r="F484" s="1">
        <v>44500</v>
      </c>
      <c r="G484" s="1">
        <v>46058</v>
      </c>
      <c r="H484" t="s">
        <v>14</v>
      </c>
      <c r="I484" s="2">
        <v>17507598</v>
      </c>
      <c r="J484">
        <v>264148</v>
      </c>
      <c r="K484" t="s">
        <v>15</v>
      </c>
      <c r="L484" t="str">
        <f t="shared" si="21"/>
        <v>Missing</v>
      </c>
      <c r="M484">
        <f t="shared" si="22"/>
        <v>1</v>
      </c>
      <c r="N484">
        <f t="shared" si="23"/>
        <v>0</v>
      </c>
    </row>
    <row r="485" spans="1:14" x14ac:dyDescent="0.35">
      <c r="A485" t="s">
        <v>2041</v>
      </c>
      <c r="B485" t="s">
        <v>445</v>
      </c>
      <c r="C485" t="s">
        <v>696</v>
      </c>
      <c r="D485">
        <v>10.5</v>
      </c>
      <c r="E485" t="s">
        <v>13</v>
      </c>
      <c r="F485" s="1">
        <v>44497</v>
      </c>
      <c r="G485" s="1">
        <v>46059</v>
      </c>
      <c r="H485" t="s">
        <v>14</v>
      </c>
      <c r="I485" t="s">
        <v>2778</v>
      </c>
      <c r="J485">
        <v>261684</v>
      </c>
      <c r="K485" t="s">
        <v>30</v>
      </c>
      <c r="L485" t="str">
        <f t="shared" si="21"/>
        <v>Available</v>
      </c>
      <c r="M485">
        <f t="shared" si="22"/>
        <v>0</v>
      </c>
      <c r="N485">
        <f t="shared" si="23"/>
        <v>1</v>
      </c>
    </row>
    <row r="486" spans="1:14" x14ac:dyDescent="0.35">
      <c r="A486" t="s">
        <v>2042</v>
      </c>
      <c r="B486" t="s">
        <v>205</v>
      </c>
      <c r="C486" t="s">
        <v>697</v>
      </c>
      <c r="D486">
        <v>24</v>
      </c>
      <c r="E486" t="s">
        <v>13</v>
      </c>
      <c r="F486" s="1">
        <v>44497</v>
      </c>
      <c r="G486" s="1">
        <v>46058</v>
      </c>
      <c r="H486" t="s">
        <v>14</v>
      </c>
      <c r="I486" s="2">
        <v>91497</v>
      </c>
      <c r="J486">
        <v>261555</v>
      </c>
      <c r="K486" t="s">
        <v>15</v>
      </c>
      <c r="L486" t="str">
        <f t="shared" si="21"/>
        <v>Available</v>
      </c>
      <c r="M486">
        <f t="shared" si="22"/>
        <v>1</v>
      </c>
      <c r="N486">
        <f t="shared" si="23"/>
        <v>1</v>
      </c>
    </row>
    <row r="487" spans="1:14" x14ac:dyDescent="0.35">
      <c r="A487" t="s">
        <v>2043</v>
      </c>
      <c r="B487" t="s">
        <v>210</v>
      </c>
      <c r="C487" t="s">
        <v>698</v>
      </c>
      <c r="D487">
        <v>15</v>
      </c>
      <c r="E487" t="s">
        <v>13</v>
      </c>
      <c r="F487" s="1">
        <v>45679</v>
      </c>
      <c r="G487" s="1">
        <v>46059</v>
      </c>
      <c r="H487" t="s">
        <v>14</v>
      </c>
      <c r="I487" s="2">
        <v>58194576</v>
      </c>
      <c r="J487">
        <v>261697</v>
      </c>
      <c r="K487" t="s">
        <v>15</v>
      </c>
      <c r="L487" t="str">
        <f t="shared" si="21"/>
        <v>Available</v>
      </c>
      <c r="M487">
        <f t="shared" si="22"/>
        <v>1</v>
      </c>
      <c r="N487">
        <f t="shared" si="23"/>
        <v>1</v>
      </c>
    </row>
    <row r="488" spans="1:14" x14ac:dyDescent="0.35">
      <c r="A488" t="s">
        <v>2044</v>
      </c>
      <c r="B488" t="s">
        <v>312</v>
      </c>
      <c r="C488" t="s">
        <v>699</v>
      </c>
      <c r="D488">
        <v>32</v>
      </c>
      <c r="E488" t="s">
        <v>13</v>
      </c>
      <c r="F488" s="1">
        <v>44497</v>
      </c>
      <c r="G488" s="1">
        <v>46059</v>
      </c>
      <c r="H488" t="s">
        <v>14</v>
      </c>
      <c r="I488" s="2">
        <v>98570</v>
      </c>
      <c r="J488">
        <v>264154</v>
      </c>
      <c r="K488" t="s">
        <v>15</v>
      </c>
      <c r="L488" t="str">
        <f t="shared" si="21"/>
        <v>Available</v>
      </c>
      <c r="M488">
        <f t="shared" si="22"/>
        <v>1</v>
      </c>
      <c r="N488">
        <f t="shared" si="23"/>
        <v>1</v>
      </c>
    </row>
    <row r="489" spans="1:14" x14ac:dyDescent="0.35">
      <c r="A489" t="s">
        <v>2045</v>
      </c>
      <c r="B489" t="s">
        <v>312</v>
      </c>
      <c r="C489" t="s">
        <v>700</v>
      </c>
      <c r="D489">
        <v>16</v>
      </c>
      <c r="E489" t="s">
        <v>13</v>
      </c>
      <c r="F489" s="1">
        <v>44972</v>
      </c>
      <c r="G489" s="1">
        <v>46059</v>
      </c>
      <c r="H489" t="s">
        <v>14</v>
      </c>
      <c r="I489" s="2">
        <v>19970603</v>
      </c>
      <c r="J489">
        <v>264637</v>
      </c>
      <c r="K489" t="s">
        <v>15</v>
      </c>
      <c r="L489" t="str">
        <f t="shared" si="21"/>
        <v>Available</v>
      </c>
      <c r="M489">
        <f t="shared" si="22"/>
        <v>1</v>
      </c>
      <c r="N489">
        <f t="shared" si="23"/>
        <v>1</v>
      </c>
    </row>
    <row r="490" spans="1:14" x14ac:dyDescent="0.35">
      <c r="A490" t="s">
        <v>2046</v>
      </c>
      <c r="B490" t="s">
        <v>583</v>
      </c>
      <c r="C490" t="s">
        <v>701</v>
      </c>
      <c r="D490">
        <v>10.5</v>
      </c>
      <c r="E490" t="s">
        <v>13</v>
      </c>
      <c r="F490" s="1">
        <v>44497</v>
      </c>
      <c r="G490" s="1">
        <v>46059</v>
      </c>
      <c r="H490" t="s">
        <v>14</v>
      </c>
      <c r="I490" s="2">
        <v>53305</v>
      </c>
      <c r="J490">
        <v>267053</v>
      </c>
      <c r="K490" t="s">
        <v>15</v>
      </c>
      <c r="L490" t="str">
        <f t="shared" si="21"/>
        <v>Available</v>
      </c>
      <c r="M490">
        <f t="shared" si="22"/>
        <v>1</v>
      </c>
      <c r="N490">
        <f t="shared" si="23"/>
        <v>1</v>
      </c>
    </row>
    <row r="491" spans="1:14" x14ac:dyDescent="0.35">
      <c r="A491" t="s">
        <v>2047</v>
      </c>
      <c r="B491" t="s">
        <v>196</v>
      </c>
      <c r="C491" t="s">
        <v>702</v>
      </c>
      <c r="D491">
        <v>25</v>
      </c>
      <c r="E491" t="s">
        <v>13</v>
      </c>
      <c r="F491" s="1">
        <v>44497</v>
      </c>
      <c r="G491" s="1">
        <v>46059</v>
      </c>
      <c r="H491" t="s">
        <v>14</v>
      </c>
      <c r="I491" s="2">
        <v>73918</v>
      </c>
      <c r="J491">
        <v>264155</v>
      </c>
      <c r="K491" t="s">
        <v>15</v>
      </c>
      <c r="L491" t="str">
        <f t="shared" si="21"/>
        <v>Available</v>
      </c>
      <c r="M491">
        <f t="shared" si="22"/>
        <v>1</v>
      </c>
      <c r="N491">
        <f t="shared" si="23"/>
        <v>1</v>
      </c>
    </row>
    <row r="492" spans="1:14" x14ac:dyDescent="0.35">
      <c r="A492" t="s">
        <v>2048</v>
      </c>
      <c r="C492" t="s">
        <v>703</v>
      </c>
      <c r="D492">
        <v>16</v>
      </c>
      <c r="E492" t="s">
        <v>13</v>
      </c>
      <c r="F492" s="1">
        <v>45043</v>
      </c>
      <c r="G492" s="1">
        <v>46058</v>
      </c>
      <c r="H492" t="s">
        <v>14</v>
      </c>
      <c r="I492" t="s">
        <v>2778</v>
      </c>
      <c r="J492">
        <v>261868</v>
      </c>
      <c r="K492" t="s">
        <v>30</v>
      </c>
      <c r="L492" t="str">
        <f t="shared" si="21"/>
        <v>Missing</v>
      </c>
      <c r="M492">
        <f t="shared" si="22"/>
        <v>0</v>
      </c>
      <c r="N492">
        <f t="shared" si="23"/>
        <v>0</v>
      </c>
    </row>
    <row r="493" spans="1:14" x14ac:dyDescent="0.35">
      <c r="A493" t="s">
        <v>2049</v>
      </c>
      <c r="B493" t="s">
        <v>242</v>
      </c>
      <c r="C493" t="s">
        <v>704</v>
      </c>
      <c r="D493">
        <v>32</v>
      </c>
      <c r="E493" t="s">
        <v>13</v>
      </c>
      <c r="F493" s="1">
        <v>44500</v>
      </c>
      <c r="G493" s="1">
        <v>46059</v>
      </c>
      <c r="H493" t="s">
        <v>14</v>
      </c>
      <c r="I493" s="2">
        <v>226655</v>
      </c>
      <c r="J493">
        <v>264324</v>
      </c>
      <c r="K493" t="s">
        <v>15</v>
      </c>
      <c r="L493" t="str">
        <f t="shared" si="21"/>
        <v>Available</v>
      </c>
      <c r="M493">
        <f t="shared" si="22"/>
        <v>1</v>
      </c>
      <c r="N493">
        <f t="shared" si="23"/>
        <v>1</v>
      </c>
    </row>
    <row r="494" spans="1:14" x14ac:dyDescent="0.35">
      <c r="A494" t="s">
        <v>2050</v>
      </c>
      <c r="B494" t="s">
        <v>706</v>
      </c>
      <c r="C494" t="s">
        <v>705</v>
      </c>
      <c r="D494">
        <v>12.5</v>
      </c>
      <c r="E494" t="s">
        <v>13</v>
      </c>
      <c r="F494" s="1">
        <v>44826</v>
      </c>
      <c r="G494" s="1">
        <v>46059</v>
      </c>
      <c r="H494" t="s">
        <v>14</v>
      </c>
      <c r="I494" s="2">
        <v>26648555</v>
      </c>
      <c r="J494">
        <v>262586</v>
      </c>
      <c r="K494" t="s">
        <v>15</v>
      </c>
      <c r="L494" t="str">
        <f t="shared" si="21"/>
        <v>Available</v>
      </c>
      <c r="M494">
        <f t="shared" si="22"/>
        <v>1</v>
      </c>
      <c r="N494">
        <f t="shared" si="23"/>
        <v>1</v>
      </c>
    </row>
    <row r="495" spans="1:14" x14ac:dyDescent="0.35">
      <c r="A495" t="s">
        <v>2051</v>
      </c>
      <c r="B495" t="s">
        <v>708</v>
      </c>
      <c r="C495" t="s">
        <v>707</v>
      </c>
      <c r="D495">
        <v>24</v>
      </c>
      <c r="E495" t="s">
        <v>13</v>
      </c>
      <c r="F495" s="1">
        <v>44507</v>
      </c>
      <c r="G495" s="1">
        <v>46059</v>
      </c>
      <c r="H495" t="s">
        <v>14</v>
      </c>
      <c r="I495" s="2">
        <v>20211748</v>
      </c>
      <c r="J495">
        <v>266549</v>
      </c>
      <c r="K495" t="s">
        <v>15</v>
      </c>
      <c r="L495" t="str">
        <f t="shared" si="21"/>
        <v>Available</v>
      </c>
      <c r="M495">
        <f t="shared" si="22"/>
        <v>1</v>
      </c>
      <c r="N495">
        <f t="shared" si="23"/>
        <v>1</v>
      </c>
    </row>
    <row r="496" spans="1:14" x14ac:dyDescent="0.35">
      <c r="A496" t="s">
        <v>2052</v>
      </c>
      <c r="C496" t="s">
        <v>709</v>
      </c>
      <c r="D496">
        <v>32</v>
      </c>
      <c r="E496" t="s">
        <v>35</v>
      </c>
      <c r="F496" s="1">
        <v>44500</v>
      </c>
      <c r="G496" s="1">
        <v>46058</v>
      </c>
      <c r="H496" t="s">
        <v>14</v>
      </c>
      <c r="I496" s="2">
        <v>17183197</v>
      </c>
      <c r="J496">
        <v>264134</v>
      </c>
      <c r="K496" t="s">
        <v>15</v>
      </c>
      <c r="L496" t="str">
        <f t="shared" si="21"/>
        <v>Missing</v>
      </c>
      <c r="M496">
        <f t="shared" si="22"/>
        <v>1</v>
      </c>
      <c r="N496">
        <f t="shared" si="23"/>
        <v>0</v>
      </c>
    </row>
    <row r="497" spans="1:14" x14ac:dyDescent="0.35">
      <c r="A497" t="s">
        <v>2053</v>
      </c>
      <c r="B497" t="s">
        <v>598</v>
      </c>
      <c r="C497" t="s">
        <v>710</v>
      </c>
      <c r="D497">
        <v>26</v>
      </c>
      <c r="E497" t="s">
        <v>13</v>
      </c>
      <c r="F497" s="1">
        <v>44497</v>
      </c>
      <c r="G497" s="1">
        <v>46059</v>
      </c>
      <c r="H497" t="s">
        <v>14</v>
      </c>
      <c r="I497" s="2">
        <v>19347471</v>
      </c>
      <c r="J497">
        <v>266416</v>
      </c>
      <c r="K497" t="s">
        <v>15</v>
      </c>
      <c r="L497" t="str">
        <f t="shared" si="21"/>
        <v>Available</v>
      </c>
      <c r="M497">
        <f t="shared" si="22"/>
        <v>1</v>
      </c>
      <c r="N497">
        <f t="shared" si="23"/>
        <v>1</v>
      </c>
    </row>
    <row r="498" spans="1:14" x14ac:dyDescent="0.35">
      <c r="A498" t="s">
        <v>2054</v>
      </c>
      <c r="B498" t="s">
        <v>712</v>
      </c>
      <c r="C498" t="s">
        <v>711</v>
      </c>
      <c r="D498">
        <v>24</v>
      </c>
      <c r="E498" t="s">
        <v>13</v>
      </c>
      <c r="F498" s="1">
        <v>44497</v>
      </c>
      <c r="G498" s="1">
        <v>46059</v>
      </c>
      <c r="H498" t="s">
        <v>14</v>
      </c>
      <c r="I498" s="2">
        <v>98568</v>
      </c>
      <c r="J498">
        <v>261714</v>
      </c>
      <c r="K498" t="s">
        <v>15</v>
      </c>
      <c r="L498" t="str">
        <f t="shared" si="21"/>
        <v>Available</v>
      </c>
      <c r="M498">
        <f t="shared" si="22"/>
        <v>1</v>
      </c>
      <c r="N498">
        <f t="shared" si="23"/>
        <v>1</v>
      </c>
    </row>
    <row r="499" spans="1:14" x14ac:dyDescent="0.35">
      <c r="A499" t="s">
        <v>2055</v>
      </c>
      <c r="B499" t="s">
        <v>385</v>
      </c>
      <c r="C499" t="s">
        <v>713</v>
      </c>
      <c r="D499">
        <v>16</v>
      </c>
      <c r="E499" t="s">
        <v>13</v>
      </c>
      <c r="F499" s="1">
        <v>44497</v>
      </c>
      <c r="G499" s="1">
        <v>46058</v>
      </c>
      <c r="H499" t="s">
        <v>14</v>
      </c>
      <c r="I499" s="2">
        <v>263105</v>
      </c>
      <c r="J499">
        <v>261497</v>
      </c>
      <c r="K499" t="s">
        <v>15</v>
      </c>
      <c r="L499" t="str">
        <f t="shared" si="21"/>
        <v>Available</v>
      </c>
      <c r="M499">
        <f t="shared" si="22"/>
        <v>1</v>
      </c>
      <c r="N499">
        <f t="shared" si="23"/>
        <v>1</v>
      </c>
    </row>
    <row r="500" spans="1:14" x14ac:dyDescent="0.35">
      <c r="A500" t="s">
        <v>2056</v>
      </c>
      <c r="B500" t="s">
        <v>690</v>
      </c>
      <c r="C500" t="s">
        <v>714</v>
      </c>
      <c r="D500">
        <v>24</v>
      </c>
      <c r="E500" t="s">
        <v>13</v>
      </c>
      <c r="F500" s="1">
        <v>44497</v>
      </c>
      <c r="G500" s="1">
        <v>46059</v>
      </c>
      <c r="H500" t="s">
        <v>14</v>
      </c>
      <c r="I500" s="2">
        <v>18474765</v>
      </c>
      <c r="J500">
        <v>264069</v>
      </c>
      <c r="K500" t="s">
        <v>15</v>
      </c>
      <c r="L500" t="str">
        <f t="shared" si="21"/>
        <v>Available</v>
      </c>
      <c r="M500">
        <f t="shared" si="22"/>
        <v>1</v>
      </c>
      <c r="N500">
        <f t="shared" si="23"/>
        <v>1</v>
      </c>
    </row>
    <row r="501" spans="1:14" x14ac:dyDescent="0.35">
      <c r="A501" t="s">
        <v>2057</v>
      </c>
      <c r="B501" t="s">
        <v>400</v>
      </c>
      <c r="C501" t="s">
        <v>715</v>
      </c>
      <c r="D501">
        <v>25</v>
      </c>
      <c r="E501" t="s">
        <v>13</v>
      </c>
      <c r="F501" s="1">
        <v>45893</v>
      </c>
      <c r="G501" s="1">
        <v>46033</v>
      </c>
      <c r="H501" t="s">
        <v>14</v>
      </c>
      <c r="I501" s="2">
        <v>81312901</v>
      </c>
      <c r="J501">
        <v>266331</v>
      </c>
      <c r="K501" t="s">
        <v>15</v>
      </c>
      <c r="L501" t="str">
        <f t="shared" si="21"/>
        <v>Available</v>
      </c>
      <c r="M501">
        <f t="shared" si="22"/>
        <v>1</v>
      </c>
      <c r="N501">
        <f t="shared" si="23"/>
        <v>1</v>
      </c>
    </row>
    <row r="502" spans="1:14" x14ac:dyDescent="0.35">
      <c r="A502" t="s">
        <v>2058</v>
      </c>
      <c r="B502" t="s">
        <v>451</v>
      </c>
      <c r="C502" t="s">
        <v>716</v>
      </c>
      <c r="D502">
        <v>24</v>
      </c>
      <c r="E502" t="s">
        <v>13</v>
      </c>
      <c r="F502" s="1">
        <v>44500</v>
      </c>
      <c r="G502" s="1">
        <v>46059</v>
      </c>
      <c r="H502" t="s">
        <v>14</v>
      </c>
      <c r="I502" s="2">
        <v>23003558</v>
      </c>
      <c r="J502">
        <v>266429</v>
      </c>
      <c r="K502" t="s">
        <v>15</v>
      </c>
      <c r="L502" t="str">
        <f t="shared" si="21"/>
        <v>Available</v>
      </c>
      <c r="M502">
        <f t="shared" si="22"/>
        <v>1</v>
      </c>
      <c r="N502">
        <f t="shared" si="23"/>
        <v>1</v>
      </c>
    </row>
    <row r="503" spans="1:14" x14ac:dyDescent="0.35">
      <c r="A503" t="s">
        <v>2059</v>
      </c>
      <c r="B503" t="s">
        <v>718</v>
      </c>
      <c r="C503" t="s">
        <v>717</v>
      </c>
      <c r="D503">
        <v>24</v>
      </c>
      <c r="E503" t="s">
        <v>13</v>
      </c>
      <c r="F503" s="1">
        <v>44500</v>
      </c>
      <c r="G503" s="1">
        <v>45392</v>
      </c>
      <c r="H503" t="s">
        <v>14</v>
      </c>
      <c r="I503" t="s">
        <v>2778</v>
      </c>
      <c r="J503">
        <v>264244</v>
      </c>
      <c r="K503" t="s">
        <v>30</v>
      </c>
      <c r="L503" t="str">
        <f t="shared" si="21"/>
        <v>Available</v>
      </c>
      <c r="M503">
        <f t="shared" si="22"/>
        <v>0</v>
      </c>
      <c r="N503">
        <f t="shared" si="23"/>
        <v>1</v>
      </c>
    </row>
    <row r="504" spans="1:14" x14ac:dyDescent="0.35">
      <c r="A504" t="s">
        <v>2060</v>
      </c>
      <c r="B504" t="s">
        <v>720</v>
      </c>
      <c r="C504" t="s">
        <v>719</v>
      </c>
      <c r="D504">
        <v>16</v>
      </c>
      <c r="E504" t="s">
        <v>13</v>
      </c>
      <c r="F504" s="1">
        <v>45198</v>
      </c>
      <c r="G504" s="1">
        <v>45709</v>
      </c>
      <c r="H504" t="s">
        <v>14</v>
      </c>
      <c r="I504" t="s">
        <v>2778</v>
      </c>
      <c r="J504">
        <v>262601</v>
      </c>
      <c r="K504" t="s">
        <v>30</v>
      </c>
      <c r="L504" t="str">
        <f t="shared" si="21"/>
        <v>Available</v>
      </c>
      <c r="M504">
        <f t="shared" si="22"/>
        <v>0</v>
      </c>
      <c r="N504">
        <f t="shared" si="23"/>
        <v>1</v>
      </c>
    </row>
    <row r="505" spans="1:14" x14ac:dyDescent="0.35">
      <c r="A505" t="s">
        <v>2061</v>
      </c>
      <c r="B505" t="s">
        <v>58</v>
      </c>
      <c r="C505" t="s">
        <v>721</v>
      </c>
      <c r="D505">
        <v>24</v>
      </c>
      <c r="E505" t="s">
        <v>13</v>
      </c>
      <c r="F505" s="1">
        <v>44497</v>
      </c>
      <c r="G505" s="1">
        <v>46060</v>
      </c>
      <c r="H505" t="s">
        <v>14</v>
      </c>
      <c r="I505" t="s">
        <v>2783</v>
      </c>
      <c r="J505" t="s">
        <v>722</v>
      </c>
      <c r="K505" t="s">
        <v>15</v>
      </c>
      <c r="L505" t="str">
        <f t="shared" si="21"/>
        <v>Available</v>
      </c>
      <c r="M505">
        <f t="shared" si="22"/>
        <v>1</v>
      </c>
      <c r="N505">
        <f t="shared" si="23"/>
        <v>1</v>
      </c>
    </row>
    <row r="506" spans="1:14" x14ac:dyDescent="0.35">
      <c r="A506" t="s">
        <v>2062</v>
      </c>
      <c r="B506" t="s">
        <v>105</v>
      </c>
      <c r="C506" t="s">
        <v>723</v>
      </c>
      <c r="D506">
        <v>23.162237000000001</v>
      </c>
      <c r="E506" t="s">
        <v>35</v>
      </c>
      <c r="F506" s="1">
        <v>44497</v>
      </c>
      <c r="G506" s="1">
        <v>45355</v>
      </c>
      <c r="H506" t="s">
        <v>14</v>
      </c>
      <c r="I506" t="s">
        <v>2778</v>
      </c>
      <c r="J506">
        <v>266339</v>
      </c>
      <c r="K506" t="s">
        <v>30</v>
      </c>
      <c r="L506" t="str">
        <f t="shared" si="21"/>
        <v>Available</v>
      </c>
      <c r="M506">
        <f t="shared" si="22"/>
        <v>0</v>
      </c>
      <c r="N506">
        <f t="shared" si="23"/>
        <v>1</v>
      </c>
    </row>
    <row r="507" spans="1:14" x14ac:dyDescent="0.35">
      <c r="A507" t="s">
        <v>2063</v>
      </c>
      <c r="B507" t="s">
        <v>25</v>
      </c>
      <c r="C507" t="s">
        <v>724</v>
      </c>
      <c r="D507">
        <v>24</v>
      </c>
      <c r="E507" t="s">
        <v>13</v>
      </c>
      <c r="F507" s="1">
        <v>44497</v>
      </c>
      <c r="G507" s="1">
        <v>46059</v>
      </c>
      <c r="H507" t="s">
        <v>14</v>
      </c>
      <c r="I507" s="2">
        <v>77089</v>
      </c>
      <c r="J507">
        <v>264721</v>
      </c>
      <c r="K507" t="s">
        <v>15</v>
      </c>
      <c r="L507" t="str">
        <f t="shared" si="21"/>
        <v>Available</v>
      </c>
      <c r="M507">
        <f t="shared" si="22"/>
        <v>1</v>
      </c>
      <c r="N507">
        <f t="shared" si="23"/>
        <v>1</v>
      </c>
    </row>
    <row r="508" spans="1:14" x14ac:dyDescent="0.35">
      <c r="A508" t="s">
        <v>2064</v>
      </c>
      <c r="B508" t="s">
        <v>726</v>
      </c>
      <c r="C508" t="s">
        <v>725</v>
      </c>
      <c r="D508">
        <v>25</v>
      </c>
      <c r="E508" t="s">
        <v>13</v>
      </c>
      <c r="F508" s="1">
        <v>45357</v>
      </c>
      <c r="G508" s="1">
        <v>46059</v>
      </c>
      <c r="H508" t="s">
        <v>14</v>
      </c>
      <c r="I508" s="2">
        <v>41163783</v>
      </c>
      <c r="J508">
        <v>264128</v>
      </c>
      <c r="K508" t="s">
        <v>15</v>
      </c>
      <c r="L508" t="str">
        <f t="shared" si="21"/>
        <v>Available</v>
      </c>
      <c r="M508">
        <f t="shared" si="22"/>
        <v>1</v>
      </c>
      <c r="N508">
        <f t="shared" si="23"/>
        <v>1</v>
      </c>
    </row>
    <row r="509" spans="1:14" x14ac:dyDescent="0.35">
      <c r="A509" t="s">
        <v>2065</v>
      </c>
      <c r="B509" t="s">
        <v>152</v>
      </c>
      <c r="C509" t="s">
        <v>727</v>
      </c>
      <c r="D509">
        <v>25</v>
      </c>
      <c r="E509" t="s">
        <v>13</v>
      </c>
      <c r="F509" s="1">
        <v>45442</v>
      </c>
      <c r="G509" s="1">
        <v>46057</v>
      </c>
      <c r="H509" t="s">
        <v>14</v>
      </c>
      <c r="I509" t="s">
        <v>2778</v>
      </c>
      <c r="J509">
        <v>266930</v>
      </c>
      <c r="K509" t="s">
        <v>30</v>
      </c>
      <c r="L509" t="str">
        <f t="shared" si="21"/>
        <v>Available</v>
      </c>
      <c r="M509">
        <f t="shared" si="22"/>
        <v>0</v>
      </c>
      <c r="N509">
        <f t="shared" si="23"/>
        <v>1</v>
      </c>
    </row>
    <row r="510" spans="1:14" x14ac:dyDescent="0.35">
      <c r="A510" t="s">
        <v>2066</v>
      </c>
      <c r="B510" t="s">
        <v>729</v>
      </c>
      <c r="C510" t="s">
        <v>728</v>
      </c>
      <c r="D510">
        <v>7.5</v>
      </c>
      <c r="E510" t="s">
        <v>13</v>
      </c>
      <c r="F510" s="1">
        <v>45909</v>
      </c>
      <c r="G510" s="1">
        <v>46057</v>
      </c>
      <c r="H510" t="s">
        <v>14</v>
      </c>
      <c r="I510" t="s">
        <v>2778</v>
      </c>
      <c r="J510">
        <v>261590</v>
      </c>
      <c r="K510" t="s">
        <v>30</v>
      </c>
      <c r="L510" t="str">
        <f t="shared" si="21"/>
        <v>Available</v>
      </c>
      <c r="M510">
        <f t="shared" si="22"/>
        <v>0</v>
      </c>
      <c r="N510">
        <f t="shared" si="23"/>
        <v>1</v>
      </c>
    </row>
    <row r="511" spans="1:14" x14ac:dyDescent="0.35">
      <c r="A511" t="s">
        <v>2067</v>
      </c>
      <c r="B511" t="s">
        <v>615</v>
      </c>
      <c r="C511" t="s">
        <v>730</v>
      </c>
      <c r="D511">
        <v>24</v>
      </c>
      <c r="E511" t="s">
        <v>13</v>
      </c>
      <c r="F511" s="1">
        <v>44500</v>
      </c>
      <c r="G511" s="1">
        <v>46059</v>
      </c>
      <c r="H511" t="s">
        <v>14</v>
      </c>
      <c r="I511" s="2">
        <v>19645810</v>
      </c>
      <c r="J511">
        <v>264057</v>
      </c>
      <c r="K511" t="s">
        <v>15</v>
      </c>
      <c r="L511" t="str">
        <f t="shared" si="21"/>
        <v>Available</v>
      </c>
      <c r="M511">
        <f t="shared" si="22"/>
        <v>1</v>
      </c>
      <c r="N511">
        <f t="shared" si="23"/>
        <v>1</v>
      </c>
    </row>
    <row r="512" spans="1:14" x14ac:dyDescent="0.35">
      <c r="A512" t="s">
        <v>2068</v>
      </c>
      <c r="B512" t="s">
        <v>12</v>
      </c>
      <c r="C512" t="s">
        <v>731</v>
      </c>
      <c r="D512">
        <v>24</v>
      </c>
      <c r="E512" t="s">
        <v>13</v>
      </c>
      <c r="F512" s="1">
        <v>44497</v>
      </c>
      <c r="G512" s="1">
        <v>46059</v>
      </c>
      <c r="H512" t="s">
        <v>14</v>
      </c>
      <c r="I512" s="2">
        <v>73925</v>
      </c>
      <c r="J512">
        <v>264542</v>
      </c>
      <c r="K512" t="s">
        <v>15</v>
      </c>
      <c r="L512" t="str">
        <f t="shared" si="21"/>
        <v>Available</v>
      </c>
      <c r="M512">
        <f t="shared" si="22"/>
        <v>1</v>
      </c>
      <c r="N512">
        <f t="shared" si="23"/>
        <v>1</v>
      </c>
    </row>
    <row r="513" spans="1:14" x14ac:dyDescent="0.35">
      <c r="A513" t="s">
        <v>2069</v>
      </c>
      <c r="B513" t="s">
        <v>112</v>
      </c>
      <c r="C513" t="s">
        <v>732</v>
      </c>
      <c r="D513">
        <v>25.5</v>
      </c>
      <c r="E513" t="s">
        <v>13</v>
      </c>
      <c r="F513" s="1">
        <v>44497</v>
      </c>
      <c r="G513" s="1">
        <v>46059</v>
      </c>
      <c r="H513" t="s">
        <v>14</v>
      </c>
      <c r="I513" s="2">
        <v>24835</v>
      </c>
      <c r="J513">
        <v>264716</v>
      </c>
      <c r="K513" t="s">
        <v>15</v>
      </c>
      <c r="L513" t="str">
        <f t="shared" si="21"/>
        <v>Available</v>
      </c>
      <c r="M513">
        <f t="shared" si="22"/>
        <v>1</v>
      </c>
      <c r="N513">
        <f t="shared" si="23"/>
        <v>1</v>
      </c>
    </row>
    <row r="514" spans="1:14" x14ac:dyDescent="0.35">
      <c r="A514" t="s">
        <v>2070</v>
      </c>
      <c r="B514" t="s">
        <v>310</v>
      </c>
      <c r="C514" t="s">
        <v>733</v>
      </c>
      <c r="F514" s="1">
        <v>44501</v>
      </c>
      <c r="G514" s="1">
        <v>46059</v>
      </c>
      <c r="H514" t="s">
        <v>14</v>
      </c>
      <c r="I514" t="s">
        <v>2778</v>
      </c>
      <c r="J514">
        <v>264686</v>
      </c>
      <c r="K514" t="s">
        <v>30</v>
      </c>
      <c r="L514" t="str">
        <f t="shared" si="21"/>
        <v>Available</v>
      </c>
      <c r="M514">
        <f t="shared" si="22"/>
        <v>0</v>
      </c>
      <c r="N514">
        <f t="shared" si="23"/>
        <v>1</v>
      </c>
    </row>
    <row r="515" spans="1:14" x14ac:dyDescent="0.35">
      <c r="A515" t="s">
        <v>2071</v>
      </c>
      <c r="B515" t="s">
        <v>735</v>
      </c>
      <c r="C515" t="s">
        <v>734</v>
      </c>
      <c r="D515">
        <v>25</v>
      </c>
      <c r="E515" t="s">
        <v>13</v>
      </c>
      <c r="F515" s="1">
        <v>44497</v>
      </c>
      <c r="G515" s="1">
        <v>46059</v>
      </c>
      <c r="H515" t="s">
        <v>14</v>
      </c>
      <c r="I515" s="2">
        <v>3240105</v>
      </c>
      <c r="J515">
        <v>262210</v>
      </c>
      <c r="K515" t="s">
        <v>15</v>
      </c>
      <c r="L515" t="str">
        <f t="shared" ref="L515:L578" si="24">IF(OR(B515="",ISBLANK(B515)),"Missing","Available")</f>
        <v>Available</v>
      </c>
      <c r="M515">
        <f t="shared" ref="M515:M578" si="25">IF(K515="Mapped",1,0)</f>
        <v>1</v>
      </c>
      <c r="N515">
        <f t="shared" ref="N515:N578" si="26">IF(AND(B515&lt;&gt;"",A515&lt;&gt;""),1,0)</f>
        <v>1</v>
      </c>
    </row>
    <row r="516" spans="1:14" x14ac:dyDescent="0.35">
      <c r="A516" t="s">
        <v>2072</v>
      </c>
      <c r="B516" t="s">
        <v>737</v>
      </c>
      <c r="C516" t="s">
        <v>736</v>
      </c>
      <c r="D516">
        <v>24</v>
      </c>
      <c r="E516" t="s">
        <v>13</v>
      </c>
      <c r="F516" s="1">
        <v>45389</v>
      </c>
      <c r="G516" s="1">
        <v>46005</v>
      </c>
      <c r="H516" t="s">
        <v>14</v>
      </c>
      <c r="I516" t="s">
        <v>2778</v>
      </c>
      <c r="J516">
        <v>266573</v>
      </c>
      <c r="K516" t="s">
        <v>30</v>
      </c>
      <c r="L516" t="str">
        <f t="shared" si="24"/>
        <v>Available</v>
      </c>
      <c r="M516">
        <f t="shared" si="25"/>
        <v>0</v>
      </c>
      <c r="N516">
        <f t="shared" si="26"/>
        <v>1</v>
      </c>
    </row>
    <row r="517" spans="1:14" x14ac:dyDescent="0.35">
      <c r="A517" t="s">
        <v>2073</v>
      </c>
      <c r="C517" t="s">
        <v>738</v>
      </c>
      <c r="D517">
        <v>24</v>
      </c>
      <c r="E517" t="s">
        <v>13</v>
      </c>
      <c r="F517" s="1">
        <v>45277</v>
      </c>
      <c r="G517" s="1">
        <v>46054</v>
      </c>
      <c r="H517" t="s">
        <v>14</v>
      </c>
      <c r="I517" s="2">
        <v>36513289</v>
      </c>
      <c r="J517">
        <v>264141</v>
      </c>
      <c r="K517" t="s">
        <v>15</v>
      </c>
      <c r="L517" t="str">
        <f t="shared" si="24"/>
        <v>Missing</v>
      </c>
      <c r="M517">
        <f t="shared" si="25"/>
        <v>1</v>
      </c>
      <c r="N517">
        <f t="shared" si="26"/>
        <v>0</v>
      </c>
    </row>
    <row r="518" spans="1:14" x14ac:dyDescent="0.35">
      <c r="A518" t="s">
        <v>2074</v>
      </c>
      <c r="B518" t="s">
        <v>740</v>
      </c>
      <c r="C518" t="s">
        <v>739</v>
      </c>
      <c r="D518">
        <v>16</v>
      </c>
      <c r="E518" t="s">
        <v>13</v>
      </c>
      <c r="F518" s="1">
        <v>44500</v>
      </c>
      <c r="G518" s="1">
        <v>45295</v>
      </c>
      <c r="H518" t="s">
        <v>14</v>
      </c>
      <c r="I518" t="s">
        <v>2778</v>
      </c>
      <c r="J518">
        <v>264434</v>
      </c>
      <c r="K518" t="s">
        <v>30</v>
      </c>
      <c r="L518" t="str">
        <f t="shared" si="24"/>
        <v>Available</v>
      </c>
      <c r="M518">
        <f t="shared" si="25"/>
        <v>0</v>
      </c>
      <c r="N518">
        <f t="shared" si="26"/>
        <v>1</v>
      </c>
    </row>
    <row r="519" spans="1:14" x14ac:dyDescent="0.35">
      <c r="A519" t="s">
        <v>2075</v>
      </c>
      <c r="B519" t="s">
        <v>27</v>
      </c>
      <c r="C519" t="s">
        <v>741</v>
      </c>
      <c r="D519">
        <v>24</v>
      </c>
      <c r="E519" t="s">
        <v>13</v>
      </c>
      <c r="F519" s="1">
        <v>44497</v>
      </c>
      <c r="G519" s="1">
        <v>46060</v>
      </c>
      <c r="H519" t="s">
        <v>14</v>
      </c>
      <c r="I519" s="2">
        <v>21428144</v>
      </c>
      <c r="J519">
        <v>264290</v>
      </c>
      <c r="K519" t="s">
        <v>15</v>
      </c>
      <c r="L519" t="str">
        <f t="shared" si="24"/>
        <v>Available</v>
      </c>
      <c r="M519">
        <f t="shared" si="25"/>
        <v>1</v>
      </c>
      <c r="N519">
        <f t="shared" si="26"/>
        <v>1</v>
      </c>
    </row>
    <row r="520" spans="1:14" x14ac:dyDescent="0.35">
      <c r="A520" t="s">
        <v>2076</v>
      </c>
      <c r="B520" t="s">
        <v>668</v>
      </c>
      <c r="C520" t="s">
        <v>742</v>
      </c>
      <c r="D520">
        <v>24</v>
      </c>
      <c r="E520" t="s">
        <v>13</v>
      </c>
      <c r="F520" s="1">
        <v>44497</v>
      </c>
      <c r="G520" s="1">
        <v>46059</v>
      </c>
      <c r="H520" t="s">
        <v>14</v>
      </c>
      <c r="I520" s="2">
        <v>98533</v>
      </c>
      <c r="J520">
        <v>264032</v>
      </c>
      <c r="K520" t="s">
        <v>15</v>
      </c>
      <c r="L520" t="str">
        <f t="shared" si="24"/>
        <v>Available</v>
      </c>
      <c r="M520">
        <f t="shared" si="25"/>
        <v>1</v>
      </c>
      <c r="N520">
        <f t="shared" si="26"/>
        <v>1</v>
      </c>
    </row>
    <row r="521" spans="1:14" x14ac:dyDescent="0.35">
      <c r="A521" t="s">
        <v>2077</v>
      </c>
      <c r="B521" t="s">
        <v>186</v>
      </c>
      <c r="C521" t="s">
        <v>743</v>
      </c>
      <c r="D521">
        <v>40</v>
      </c>
      <c r="E521" t="s">
        <v>13</v>
      </c>
      <c r="F521" s="1">
        <v>44499</v>
      </c>
      <c r="G521" s="1">
        <v>46059</v>
      </c>
      <c r="H521" t="s">
        <v>14</v>
      </c>
      <c r="I521" s="2">
        <v>541891</v>
      </c>
      <c r="J521">
        <v>266387</v>
      </c>
      <c r="K521" t="s">
        <v>15</v>
      </c>
      <c r="L521" t="str">
        <f t="shared" si="24"/>
        <v>Available</v>
      </c>
      <c r="M521">
        <f t="shared" si="25"/>
        <v>1</v>
      </c>
      <c r="N521">
        <f t="shared" si="26"/>
        <v>1</v>
      </c>
    </row>
    <row r="522" spans="1:14" x14ac:dyDescent="0.35">
      <c r="A522" t="s">
        <v>2078</v>
      </c>
      <c r="B522" t="s">
        <v>132</v>
      </c>
      <c r="C522" t="s">
        <v>744</v>
      </c>
      <c r="D522">
        <v>24</v>
      </c>
      <c r="E522" t="s">
        <v>13</v>
      </c>
      <c r="F522" s="1">
        <v>44497</v>
      </c>
      <c r="G522" s="1">
        <v>46059</v>
      </c>
      <c r="H522" t="s">
        <v>14</v>
      </c>
      <c r="I522" t="s">
        <v>2778</v>
      </c>
      <c r="J522">
        <v>262122</v>
      </c>
      <c r="K522" t="s">
        <v>30</v>
      </c>
      <c r="L522" t="str">
        <f t="shared" si="24"/>
        <v>Available</v>
      </c>
      <c r="M522">
        <f t="shared" si="25"/>
        <v>0</v>
      </c>
      <c r="N522">
        <f t="shared" si="26"/>
        <v>1</v>
      </c>
    </row>
    <row r="523" spans="1:14" x14ac:dyDescent="0.35">
      <c r="A523" t="s">
        <v>2079</v>
      </c>
      <c r="B523" t="s">
        <v>746</v>
      </c>
      <c r="C523" t="s">
        <v>745</v>
      </c>
      <c r="D523">
        <v>32</v>
      </c>
      <c r="E523" t="s">
        <v>13</v>
      </c>
      <c r="F523" s="1">
        <v>44497</v>
      </c>
      <c r="G523" s="1">
        <v>46059</v>
      </c>
      <c r="H523" t="s">
        <v>14</v>
      </c>
      <c r="I523" t="s">
        <v>2778</v>
      </c>
      <c r="J523">
        <v>266491</v>
      </c>
      <c r="K523" t="s">
        <v>30</v>
      </c>
      <c r="L523" t="str">
        <f t="shared" si="24"/>
        <v>Available</v>
      </c>
      <c r="M523">
        <f t="shared" si="25"/>
        <v>0</v>
      </c>
      <c r="N523">
        <f t="shared" si="26"/>
        <v>1</v>
      </c>
    </row>
    <row r="524" spans="1:14" x14ac:dyDescent="0.35">
      <c r="A524" t="s">
        <v>2080</v>
      </c>
      <c r="B524" t="s">
        <v>147</v>
      </c>
      <c r="C524" t="s">
        <v>747</v>
      </c>
      <c r="D524">
        <v>25</v>
      </c>
      <c r="E524" t="s">
        <v>13</v>
      </c>
      <c r="F524" s="1">
        <v>44497</v>
      </c>
      <c r="G524" s="1">
        <v>46060</v>
      </c>
      <c r="H524" t="s">
        <v>14</v>
      </c>
      <c r="I524" s="2">
        <v>10008</v>
      </c>
      <c r="J524">
        <v>264555</v>
      </c>
      <c r="K524" t="s">
        <v>15</v>
      </c>
      <c r="L524" t="str">
        <f t="shared" si="24"/>
        <v>Available</v>
      </c>
      <c r="M524">
        <f t="shared" si="25"/>
        <v>1</v>
      </c>
      <c r="N524">
        <f t="shared" si="26"/>
        <v>1</v>
      </c>
    </row>
    <row r="525" spans="1:14" x14ac:dyDescent="0.35">
      <c r="A525" t="s">
        <v>2081</v>
      </c>
      <c r="B525" t="s">
        <v>609</v>
      </c>
      <c r="C525" t="s">
        <v>748</v>
      </c>
      <c r="D525">
        <v>24</v>
      </c>
      <c r="E525" t="s">
        <v>13</v>
      </c>
      <c r="F525" s="1">
        <v>44497</v>
      </c>
      <c r="G525" s="1">
        <v>46059</v>
      </c>
      <c r="H525" t="s">
        <v>14</v>
      </c>
      <c r="I525" s="2">
        <v>16970032</v>
      </c>
      <c r="J525">
        <v>262627</v>
      </c>
      <c r="K525" t="s">
        <v>15</v>
      </c>
      <c r="L525" t="str">
        <f t="shared" si="24"/>
        <v>Available</v>
      </c>
      <c r="M525">
        <f t="shared" si="25"/>
        <v>1</v>
      </c>
      <c r="N525">
        <f t="shared" si="26"/>
        <v>1</v>
      </c>
    </row>
    <row r="526" spans="1:14" x14ac:dyDescent="0.35">
      <c r="A526" t="s">
        <v>2082</v>
      </c>
      <c r="B526" t="s">
        <v>750</v>
      </c>
      <c r="C526" t="s">
        <v>749</v>
      </c>
      <c r="D526">
        <v>25</v>
      </c>
      <c r="E526" t="s">
        <v>13</v>
      </c>
      <c r="F526" s="1">
        <v>44498</v>
      </c>
      <c r="G526" s="1">
        <v>46058</v>
      </c>
      <c r="H526" t="s">
        <v>14</v>
      </c>
      <c r="I526" t="s">
        <v>2778</v>
      </c>
      <c r="J526">
        <v>261844</v>
      </c>
      <c r="K526" t="s">
        <v>30</v>
      </c>
      <c r="L526" t="str">
        <f t="shared" si="24"/>
        <v>Available</v>
      </c>
      <c r="M526">
        <f t="shared" si="25"/>
        <v>0</v>
      </c>
      <c r="N526">
        <f t="shared" si="26"/>
        <v>1</v>
      </c>
    </row>
    <row r="527" spans="1:14" x14ac:dyDescent="0.35">
      <c r="A527" t="s">
        <v>2083</v>
      </c>
      <c r="B527" t="s">
        <v>261</v>
      </c>
      <c r="C527" t="s">
        <v>751</v>
      </c>
      <c r="D527">
        <v>22.993169999999999</v>
      </c>
      <c r="E527" t="s">
        <v>35</v>
      </c>
      <c r="F527" s="1">
        <v>45233</v>
      </c>
      <c r="G527" s="1">
        <v>45995</v>
      </c>
      <c r="H527" t="s">
        <v>14</v>
      </c>
      <c r="I527" t="s">
        <v>2778</v>
      </c>
      <c r="J527">
        <v>267015</v>
      </c>
      <c r="K527" t="s">
        <v>30</v>
      </c>
      <c r="L527" t="str">
        <f t="shared" si="24"/>
        <v>Available</v>
      </c>
      <c r="M527">
        <f t="shared" si="25"/>
        <v>0</v>
      </c>
      <c r="N527">
        <f t="shared" si="26"/>
        <v>1</v>
      </c>
    </row>
    <row r="528" spans="1:14" x14ac:dyDescent="0.35">
      <c r="A528" t="s">
        <v>2084</v>
      </c>
      <c r="B528" t="s">
        <v>322</v>
      </c>
      <c r="C528" t="s">
        <v>752</v>
      </c>
      <c r="D528">
        <v>21.978764999999999</v>
      </c>
      <c r="E528" t="s">
        <v>35</v>
      </c>
      <c r="F528" s="1">
        <v>44497</v>
      </c>
      <c r="G528" s="1">
        <v>45613</v>
      </c>
      <c r="H528" t="s">
        <v>14</v>
      </c>
      <c r="I528" t="s">
        <v>2778</v>
      </c>
      <c r="J528">
        <v>264430</v>
      </c>
      <c r="K528" t="s">
        <v>30</v>
      </c>
      <c r="L528" t="str">
        <f t="shared" si="24"/>
        <v>Available</v>
      </c>
      <c r="M528">
        <f t="shared" si="25"/>
        <v>0</v>
      </c>
      <c r="N528">
        <f t="shared" si="26"/>
        <v>1</v>
      </c>
    </row>
    <row r="529" spans="1:14" x14ac:dyDescent="0.35">
      <c r="A529" t="s">
        <v>2085</v>
      </c>
      <c r="B529" t="s">
        <v>47</v>
      </c>
      <c r="C529" t="s">
        <v>753</v>
      </c>
      <c r="D529">
        <v>6.6667000000000004E-2</v>
      </c>
      <c r="E529" t="s">
        <v>13</v>
      </c>
      <c r="F529" s="1">
        <v>44497</v>
      </c>
      <c r="G529" s="1">
        <v>46045</v>
      </c>
      <c r="H529" t="s">
        <v>14</v>
      </c>
      <c r="I529" t="s">
        <v>2778</v>
      </c>
      <c r="J529">
        <v>264055</v>
      </c>
      <c r="K529" t="s">
        <v>30</v>
      </c>
      <c r="L529" t="str">
        <f t="shared" si="24"/>
        <v>Available</v>
      </c>
      <c r="M529">
        <f t="shared" si="25"/>
        <v>0</v>
      </c>
      <c r="N529">
        <f t="shared" si="26"/>
        <v>1</v>
      </c>
    </row>
    <row r="530" spans="1:14" x14ac:dyDescent="0.35">
      <c r="A530" t="s">
        <v>2086</v>
      </c>
      <c r="B530" t="s">
        <v>112</v>
      </c>
      <c r="C530" t="s">
        <v>754</v>
      </c>
      <c r="D530">
        <v>23.5</v>
      </c>
      <c r="E530" t="s">
        <v>13</v>
      </c>
      <c r="F530" s="1">
        <v>44497</v>
      </c>
      <c r="G530" s="1">
        <v>46059</v>
      </c>
      <c r="H530" t="s">
        <v>14</v>
      </c>
      <c r="I530" s="2">
        <v>27747421</v>
      </c>
      <c r="J530">
        <v>261587</v>
      </c>
      <c r="K530" t="s">
        <v>15</v>
      </c>
      <c r="L530" t="str">
        <f t="shared" si="24"/>
        <v>Available</v>
      </c>
      <c r="M530">
        <f t="shared" si="25"/>
        <v>1</v>
      </c>
      <c r="N530">
        <f t="shared" si="26"/>
        <v>1</v>
      </c>
    </row>
    <row r="531" spans="1:14" x14ac:dyDescent="0.35">
      <c r="A531" t="s">
        <v>2087</v>
      </c>
      <c r="B531" t="s">
        <v>756</v>
      </c>
      <c r="C531" t="s">
        <v>755</v>
      </c>
      <c r="D531">
        <v>15.5</v>
      </c>
      <c r="E531" t="s">
        <v>13</v>
      </c>
      <c r="F531" s="1">
        <v>44497</v>
      </c>
      <c r="G531" s="1">
        <v>45983</v>
      </c>
      <c r="H531" t="s">
        <v>14</v>
      </c>
      <c r="I531" t="s">
        <v>2778</v>
      </c>
      <c r="J531">
        <v>262156</v>
      </c>
      <c r="K531" t="s">
        <v>30</v>
      </c>
      <c r="L531" t="str">
        <f t="shared" si="24"/>
        <v>Available</v>
      </c>
      <c r="M531">
        <f t="shared" si="25"/>
        <v>0</v>
      </c>
      <c r="N531">
        <f t="shared" si="26"/>
        <v>1</v>
      </c>
    </row>
    <row r="532" spans="1:14" x14ac:dyDescent="0.35">
      <c r="A532" t="s">
        <v>2088</v>
      </c>
      <c r="B532" t="s">
        <v>47</v>
      </c>
      <c r="C532" t="s">
        <v>757</v>
      </c>
      <c r="D532">
        <v>23.9</v>
      </c>
      <c r="E532" t="s">
        <v>13</v>
      </c>
      <c r="F532" s="1">
        <v>44497</v>
      </c>
      <c r="G532" s="1">
        <v>46059</v>
      </c>
      <c r="H532" t="s">
        <v>14</v>
      </c>
      <c r="I532" s="2">
        <v>143296</v>
      </c>
      <c r="J532">
        <v>261624</v>
      </c>
      <c r="K532" t="s">
        <v>15</v>
      </c>
      <c r="L532" t="str">
        <f t="shared" si="24"/>
        <v>Available</v>
      </c>
      <c r="M532">
        <f t="shared" si="25"/>
        <v>1</v>
      </c>
      <c r="N532">
        <f t="shared" si="26"/>
        <v>1</v>
      </c>
    </row>
    <row r="533" spans="1:14" x14ac:dyDescent="0.35">
      <c r="A533" t="s">
        <v>2089</v>
      </c>
      <c r="B533" t="s">
        <v>420</v>
      </c>
      <c r="C533" t="s">
        <v>758</v>
      </c>
      <c r="F533" s="1">
        <v>44866</v>
      </c>
      <c r="G533" s="1">
        <v>45099</v>
      </c>
      <c r="H533" t="s">
        <v>14</v>
      </c>
      <c r="I533" t="s">
        <v>2778</v>
      </c>
      <c r="J533">
        <v>262039</v>
      </c>
      <c r="K533" t="s">
        <v>30</v>
      </c>
      <c r="L533" t="str">
        <f t="shared" si="24"/>
        <v>Available</v>
      </c>
      <c r="M533">
        <f t="shared" si="25"/>
        <v>0</v>
      </c>
      <c r="N533">
        <f t="shared" si="26"/>
        <v>1</v>
      </c>
    </row>
    <row r="534" spans="1:14" x14ac:dyDescent="0.35">
      <c r="A534" t="s">
        <v>2090</v>
      </c>
      <c r="B534" t="s">
        <v>12</v>
      </c>
      <c r="C534" t="s">
        <v>759</v>
      </c>
      <c r="D534">
        <v>45</v>
      </c>
      <c r="E534" t="s">
        <v>13</v>
      </c>
      <c r="F534" s="1">
        <v>44497</v>
      </c>
      <c r="G534" s="1">
        <v>46059</v>
      </c>
      <c r="H534" t="s">
        <v>14</v>
      </c>
      <c r="I534" s="2">
        <v>333922</v>
      </c>
      <c r="J534">
        <v>264550</v>
      </c>
      <c r="K534" t="s">
        <v>15</v>
      </c>
      <c r="L534" t="str">
        <f t="shared" si="24"/>
        <v>Available</v>
      </c>
      <c r="M534">
        <f t="shared" si="25"/>
        <v>1</v>
      </c>
      <c r="N534">
        <f t="shared" si="26"/>
        <v>1</v>
      </c>
    </row>
    <row r="535" spans="1:14" x14ac:dyDescent="0.35">
      <c r="A535" t="s">
        <v>2091</v>
      </c>
      <c r="B535" t="s">
        <v>37</v>
      </c>
      <c r="C535" t="s">
        <v>760</v>
      </c>
      <c r="D535">
        <v>24</v>
      </c>
      <c r="E535" t="s">
        <v>13</v>
      </c>
      <c r="F535" s="1">
        <v>44499</v>
      </c>
      <c r="G535" s="1">
        <v>46059</v>
      </c>
      <c r="H535" t="s">
        <v>14</v>
      </c>
      <c r="I535" t="s">
        <v>2778</v>
      </c>
      <c r="J535">
        <v>264594</v>
      </c>
      <c r="K535" t="s">
        <v>30</v>
      </c>
      <c r="L535" t="str">
        <f t="shared" si="24"/>
        <v>Available</v>
      </c>
      <c r="M535">
        <f t="shared" si="25"/>
        <v>0</v>
      </c>
      <c r="N535">
        <f t="shared" si="26"/>
        <v>1</v>
      </c>
    </row>
    <row r="536" spans="1:14" x14ac:dyDescent="0.35">
      <c r="A536" t="s">
        <v>2092</v>
      </c>
      <c r="B536" t="s">
        <v>240</v>
      </c>
      <c r="C536" t="s">
        <v>761</v>
      </c>
      <c r="D536">
        <v>16</v>
      </c>
      <c r="E536" t="s">
        <v>13</v>
      </c>
      <c r="F536" s="1">
        <v>44500</v>
      </c>
      <c r="G536" s="1">
        <v>46057</v>
      </c>
      <c r="H536" t="s">
        <v>14</v>
      </c>
      <c r="I536" t="s">
        <v>2778</v>
      </c>
      <c r="J536">
        <v>264306</v>
      </c>
      <c r="K536" t="s">
        <v>30</v>
      </c>
      <c r="L536" t="str">
        <f t="shared" si="24"/>
        <v>Available</v>
      </c>
      <c r="M536">
        <f t="shared" si="25"/>
        <v>0</v>
      </c>
      <c r="N536">
        <f t="shared" si="26"/>
        <v>1</v>
      </c>
    </row>
    <row r="537" spans="1:14" x14ac:dyDescent="0.35">
      <c r="A537" t="s">
        <v>2093</v>
      </c>
      <c r="B537" t="s">
        <v>763</v>
      </c>
      <c r="C537" t="s">
        <v>762</v>
      </c>
      <c r="D537">
        <v>24</v>
      </c>
      <c r="E537" t="s">
        <v>13</v>
      </c>
      <c r="F537" s="1">
        <v>44498</v>
      </c>
      <c r="G537" s="1">
        <v>45952</v>
      </c>
      <c r="H537" t="s">
        <v>14</v>
      </c>
      <c r="I537" t="s">
        <v>2778</v>
      </c>
      <c r="J537">
        <v>266442</v>
      </c>
      <c r="K537" t="s">
        <v>30</v>
      </c>
      <c r="L537" t="str">
        <f t="shared" si="24"/>
        <v>Available</v>
      </c>
      <c r="M537">
        <f t="shared" si="25"/>
        <v>0</v>
      </c>
      <c r="N537">
        <f t="shared" si="26"/>
        <v>1</v>
      </c>
    </row>
    <row r="538" spans="1:14" x14ac:dyDescent="0.35">
      <c r="A538" t="s">
        <v>2094</v>
      </c>
      <c r="B538" t="s">
        <v>765</v>
      </c>
      <c r="C538" t="s">
        <v>764</v>
      </c>
      <c r="D538">
        <v>24</v>
      </c>
      <c r="E538" t="s">
        <v>13</v>
      </c>
      <c r="F538" s="1">
        <v>45679</v>
      </c>
      <c r="G538" s="1">
        <v>46057</v>
      </c>
      <c r="H538" t="s">
        <v>14</v>
      </c>
      <c r="I538" s="2">
        <v>54972709</v>
      </c>
      <c r="J538">
        <v>262260</v>
      </c>
      <c r="K538" t="s">
        <v>15</v>
      </c>
      <c r="L538" t="str">
        <f t="shared" si="24"/>
        <v>Available</v>
      </c>
      <c r="M538">
        <f t="shared" si="25"/>
        <v>1</v>
      </c>
      <c r="N538">
        <f t="shared" si="26"/>
        <v>1</v>
      </c>
    </row>
    <row r="539" spans="1:14" x14ac:dyDescent="0.35">
      <c r="A539" t="s">
        <v>2095</v>
      </c>
      <c r="B539" t="s">
        <v>575</v>
      </c>
      <c r="C539" t="s">
        <v>766</v>
      </c>
      <c r="D539">
        <v>25</v>
      </c>
      <c r="E539" t="s">
        <v>13</v>
      </c>
      <c r="F539" s="1">
        <v>44500</v>
      </c>
      <c r="G539" s="1">
        <v>46059</v>
      </c>
      <c r="H539" t="s">
        <v>14</v>
      </c>
      <c r="I539" s="2">
        <v>463048</v>
      </c>
      <c r="J539">
        <v>264737</v>
      </c>
      <c r="K539" t="s">
        <v>15</v>
      </c>
      <c r="L539" t="str">
        <f t="shared" si="24"/>
        <v>Available</v>
      </c>
      <c r="M539">
        <f t="shared" si="25"/>
        <v>1</v>
      </c>
      <c r="N539">
        <f t="shared" si="26"/>
        <v>1</v>
      </c>
    </row>
    <row r="540" spans="1:14" x14ac:dyDescent="0.35">
      <c r="A540" t="s">
        <v>2096</v>
      </c>
      <c r="B540" t="s">
        <v>768</v>
      </c>
      <c r="C540" t="s">
        <v>767</v>
      </c>
      <c r="D540">
        <v>25</v>
      </c>
      <c r="E540" t="s">
        <v>13</v>
      </c>
      <c r="F540" s="1">
        <v>44497</v>
      </c>
      <c r="G540" s="1">
        <v>46059</v>
      </c>
      <c r="H540" t="s">
        <v>14</v>
      </c>
      <c r="I540" s="2">
        <v>73921</v>
      </c>
      <c r="J540">
        <v>266817</v>
      </c>
      <c r="K540" t="s">
        <v>15</v>
      </c>
      <c r="L540" t="str">
        <f t="shared" si="24"/>
        <v>Available</v>
      </c>
      <c r="M540">
        <f t="shared" si="25"/>
        <v>1</v>
      </c>
      <c r="N540">
        <f t="shared" si="26"/>
        <v>1</v>
      </c>
    </row>
    <row r="541" spans="1:14" x14ac:dyDescent="0.35">
      <c r="A541" t="s">
        <v>2097</v>
      </c>
      <c r="B541" t="s">
        <v>43</v>
      </c>
      <c r="C541" t="s">
        <v>769</v>
      </c>
      <c r="D541">
        <v>40</v>
      </c>
      <c r="E541" t="s">
        <v>13</v>
      </c>
      <c r="F541" s="1">
        <v>44498</v>
      </c>
      <c r="G541" s="1">
        <v>46058</v>
      </c>
      <c r="H541" t="s">
        <v>14</v>
      </c>
      <c r="I541" s="2">
        <v>19734542</v>
      </c>
      <c r="J541">
        <v>264037</v>
      </c>
      <c r="K541" t="s">
        <v>15</v>
      </c>
      <c r="L541" t="str">
        <f t="shared" si="24"/>
        <v>Available</v>
      </c>
      <c r="M541">
        <f t="shared" si="25"/>
        <v>1</v>
      </c>
      <c r="N541">
        <f t="shared" si="26"/>
        <v>1</v>
      </c>
    </row>
    <row r="542" spans="1:14" x14ac:dyDescent="0.35">
      <c r="A542" t="s">
        <v>2098</v>
      </c>
      <c r="B542" t="s">
        <v>771</v>
      </c>
      <c r="C542" t="s">
        <v>770</v>
      </c>
      <c r="D542">
        <v>24</v>
      </c>
      <c r="E542" t="s">
        <v>13</v>
      </c>
      <c r="F542" s="1">
        <v>44497</v>
      </c>
      <c r="G542" s="1">
        <v>46059</v>
      </c>
      <c r="H542" t="s">
        <v>14</v>
      </c>
      <c r="I542" t="s">
        <v>2778</v>
      </c>
      <c r="J542">
        <v>261623</v>
      </c>
      <c r="K542" t="s">
        <v>30</v>
      </c>
      <c r="L542" t="str">
        <f t="shared" si="24"/>
        <v>Available</v>
      </c>
      <c r="M542">
        <f t="shared" si="25"/>
        <v>0</v>
      </c>
      <c r="N542">
        <f t="shared" si="26"/>
        <v>1</v>
      </c>
    </row>
    <row r="543" spans="1:14" x14ac:dyDescent="0.35">
      <c r="A543" t="s">
        <v>2099</v>
      </c>
      <c r="B543" t="s">
        <v>43</v>
      </c>
      <c r="C543" t="s">
        <v>772</v>
      </c>
      <c r="D543">
        <v>25</v>
      </c>
      <c r="E543" t="s">
        <v>13</v>
      </c>
      <c r="F543" s="1">
        <v>44498</v>
      </c>
      <c r="G543" s="1">
        <v>46059</v>
      </c>
      <c r="H543" t="s">
        <v>14</v>
      </c>
      <c r="I543" s="2">
        <v>16240882</v>
      </c>
      <c r="J543">
        <v>262543</v>
      </c>
      <c r="K543" t="s">
        <v>15</v>
      </c>
      <c r="L543" t="str">
        <f t="shared" si="24"/>
        <v>Available</v>
      </c>
      <c r="M543">
        <f t="shared" si="25"/>
        <v>1</v>
      </c>
      <c r="N543">
        <f t="shared" si="26"/>
        <v>1</v>
      </c>
    </row>
    <row r="544" spans="1:14" x14ac:dyDescent="0.35">
      <c r="A544" t="s">
        <v>2100</v>
      </c>
      <c r="B544" t="s">
        <v>238</v>
      </c>
      <c r="C544" t="s">
        <v>773</v>
      </c>
      <c r="D544">
        <v>26</v>
      </c>
      <c r="E544" t="s">
        <v>13</v>
      </c>
      <c r="F544" s="1">
        <v>44497</v>
      </c>
      <c r="G544" s="1">
        <v>46059</v>
      </c>
      <c r="H544" t="s">
        <v>14</v>
      </c>
      <c r="I544" s="2">
        <v>95026</v>
      </c>
      <c r="J544">
        <v>266545</v>
      </c>
      <c r="K544" t="s">
        <v>15</v>
      </c>
      <c r="L544" t="str">
        <f t="shared" si="24"/>
        <v>Available</v>
      </c>
      <c r="M544">
        <f t="shared" si="25"/>
        <v>1</v>
      </c>
      <c r="N544">
        <f t="shared" si="26"/>
        <v>1</v>
      </c>
    </row>
    <row r="545" spans="1:14" x14ac:dyDescent="0.35">
      <c r="A545" t="s">
        <v>2101</v>
      </c>
      <c r="B545" t="s">
        <v>445</v>
      </c>
      <c r="C545" t="s">
        <v>774</v>
      </c>
      <c r="D545">
        <v>16</v>
      </c>
      <c r="E545" t="s">
        <v>13</v>
      </c>
      <c r="F545" s="1">
        <v>44969</v>
      </c>
      <c r="G545" s="1">
        <v>46058</v>
      </c>
      <c r="H545" t="s">
        <v>14</v>
      </c>
      <c r="I545" s="2">
        <v>27910528</v>
      </c>
      <c r="J545">
        <v>264053</v>
      </c>
      <c r="K545" t="s">
        <v>15</v>
      </c>
      <c r="L545" t="str">
        <f t="shared" si="24"/>
        <v>Available</v>
      </c>
      <c r="M545">
        <f t="shared" si="25"/>
        <v>1</v>
      </c>
      <c r="N545">
        <f t="shared" si="26"/>
        <v>1</v>
      </c>
    </row>
    <row r="546" spans="1:14" x14ac:dyDescent="0.35">
      <c r="A546" t="s">
        <v>2102</v>
      </c>
      <c r="C546" t="s">
        <v>775</v>
      </c>
      <c r="D546">
        <v>32</v>
      </c>
      <c r="E546" t="s">
        <v>13</v>
      </c>
      <c r="F546" s="1">
        <v>44497</v>
      </c>
      <c r="G546" s="1">
        <v>46059</v>
      </c>
      <c r="H546" t="s">
        <v>14</v>
      </c>
      <c r="I546" s="2">
        <v>98575</v>
      </c>
      <c r="J546">
        <v>261511</v>
      </c>
      <c r="K546" t="s">
        <v>15</v>
      </c>
      <c r="L546" t="str">
        <f t="shared" si="24"/>
        <v>Missing</v>
      </c>
      <c r="M546">
        <f t="shared" si="25"/>
        <v>1</v>
      </c>
      <c r="N546">
        <f t="shared" si="26"/>
        <v>0</v>
      </c>
    </row>
    <row r="547" spans="1:14" x14ac:dyDescent="0.35">
      <c r="A547" t="s">
        <v>2103</v>
      </c>
      <c r="B547" t="s">
        <v>615</v>
      </c>
      <c r="C547" t="s">
        <v>776</v>
      </c>
      <c r="D547">
        <v>24</v>
      </c>
      <c r="E547" t="s">
        <v>13</v>
      </c>
      <c r="F547" s="1">
        <v>45165</v>
      </c>
      <c r="G547" s="1">
        <v>46058</v>
      </c>
      <c r="H547" t="s">
        <v>14</v>
      </c>
      <c r="I547" s="2">
        <v>19403194</v>
      </c>
      <c r="J547">
        <v>266978</v>
      </c>
      <c r="K547" t="s">
        <v>15</v>
      </c>
      <c r="L547" t="str">
        <f t="shared" si="24"/>
        <v>Available</v>
      </c>
      <c r="M547">
        <f t="shared" si="25"/>
        <v>1</v>
      </c>
      <c r="N547">
        <f t="shared" si="26"/>
        <v>1</v>
      </c>
    </row>
    <row r="548" spans="1:14" x14ac:dyDescent="0.35">
      <c r="A548" t="s">
        <v>2104</v>
      </c>
      <c r="C548" t="s">
        <v>777</v>
      </c>
      <c r="D548">
        <v>24</v>
      </c>
      <c r="E548" t="s">
        <v>13</v>
      </c>
      <c r="F548" s="1">
        <v>44596</v>
      </c>
      <c r="G548" s="1">
        <v>45524</v>
      </c>
      <c r="H548" t="s">
        <v>14</v>
      </c>
      <c r="I548" t="s">
        <v>2778</v>
      </c>
      <c r="J548">
        <v>266444</v>
      </c>
      <c r="K548" t="s">
        <v>30</v>
      </c>
      <c r="L548" t="str">
        <f t="shared" si="24"/>
        <v>Missing</v>
      </c>
      <c r="M548">
        <f t="shared" si="25"/>
        <v>0</v>
      </c>
      <c r="N548">
        <f t="shared" si="26"/>
        <v>0</v>
      </c>
    </row>
    <row r="549" spans="1:14" x14ac:dyDescent="0.35">
      <c r="A549" t="s">
        <v>2105</v>
      </c>
      <c r="B549" t="s">
        <v>779</v>
      </c>
      <c r="C549" t="s">
        <v>778</v>
      </c>
      <c r="D549">
        <v>26</v>
      </c>
      <c r="E549" t="s">
        <v>13</v>
      </c>
      <c r="F549" s="1">
        <v>44497</v>
      </c>
      <c r="G549" s="1">
        <v>46058</v>
      </c>
      <c r="H549" t="s">
        <v>14</v>
      </c>
      <c r="I549" s="2">
        <v>232484</v>
      </c>
      <c r="J549">
        <v>261902</v>
      </c>
      <c r="K549" t="s">
        <v>15</v>
      </c>
      <c r="L549" t="str">
        <f t="shared" si="24"/>
        <v>Available</v>
      </c>
      <c r="M549">
        <f t="shared" si="25"/>
        <v>1</v>
      </c>
      <c r="N549">
        <f t="shared" si="26"/>
        <v>1</v>
      </c>
    </row>
    <row r="550" spans="1:14" x14ac:dyDescent="0.35">
      <c r="A550" t="s">
        <v>2106</v>
      </c>
      <c r="B550" t="s">
        <v>123</v>
      </c>
      <c r="C550" t="s">
        <v>780</v>
      </c>
      <c r="D550">
        <v>23.75</v>
      </c>
      <c r="E550" t="s">
        <v>13</v>
      </c>
      <c r="F550" s="1">
        <v>45728</v>
      </c>
      <c r="G550" s="1">
        <v>46060</v>
      </c>
      <c r="H550" t="s">
        <v>14</v>
      </c>
      <c r="I550" s="2">
        <v>64453314</v>
      </c>
      <c r="J550">
        <v>261851</v>
      </c>
      <c r="K550" t="s">
        <v>15</v>
      </c>
      <c r="L550" t="str">
        <f t="shared" si="24"/>
        <v>Available</v>
      </c>
      <c r="M550">
        <f t="shared" si="25"/>
        <v>1</v>
      </c>
      <c r="N550">
        <f t="shared" si="26"/>
        <v>1</v>
      </c>
    </row>
    <row r="551" spans="1:14" x14ac:dyDescent="0.35">
      <c r="A551" t="s">
        <v>2107</v>
      </c>
      <c r="B551" t="s">
        <v>58</v>
      </c>
      <c r="C551" t="s">
        <v>781</v>
      </c>
      <c r="D551">
        <v>24</v>
      </c>
      <c r="E551" t="s">
        <v>13</v>
      </c>
      <c r="F551" s="1">
        <v>44497</v>
      </c>
      <c r="G551" s="1">
        <v>46059</v>
      </c>
      <c r="H551" t="s">
        <v>14</v>
      </c>
      <c r="I551" s="2">
        <v>98534</v>
      </c>
      <c r="J551">
        <v>266358</v>
      </c>
      <c r="K551" t="s">
        <v>15</v>
      </c>
      <c r="L551" t="str">
        <f t="shared" si="24"/>
        <v>Available</v>
      </c>
      <c r="M551">
        <f t="shared" si="25"/>
        <v>1</v>
      </c>
      <c r="N551">
        <f t="shared" si="26"/>
        <v>1</v>
      </c>
    </row>
    <row r="552" spans="1:14" x14ac:dyDescent="0.35">
      <c r="A552" t="s">
        <v>2108</v>
      </c>
      <c r="C552" t="s">
        <v>782</v>
      </c>
      <c r="D552">
        <v>24</v>
      </c>
      <c r="E552" t="s">
        <v>13</v>
      </c>
      <c r="F552" s="1">
        <v>44500</v>
      </c>
      <c r="G552" s="1">
        <v>46058</v>
      </c>
      <c r="H552" t="s">
        <v>14</v>
      </c>
      <c r="I552" s="2">
        <v>270500</v>
      </c>
      <c r="J552">
        <v>261891</v>
      </c>
      <c r="K552" t="s">
        <v>15</v>
      </c>
      <c r="L552" t="str">
        <f t="shared" si="24"/>
        <v>Missing</v>
      </c>
      <c r="M552">
        <f t="shared" si="25"/>
        <v>1</v>
      </c>
      <c r="N552">
        <f t="shared" si="26"/>
        <v>0</v>
      </c>
    </row>
    <row r="553" spans="1:14" x14ac:dyDescent="0.35">
      <c r="A553" t="s">
        <v>2109</v>
      </c>
      <c r="B553" t="s">
        <v>58</v>
      </c>
      <c r="C553" t="s">
        <v>783</v>
      </c>
      <c r="D553">
        <v>20.288091000000001</v>
      </c>
      <c r="E553" t="s">
        <v>35</v>
      </c>
      <c r="F553" s="1">
        <v>45631</v>
      </c>
      <c r="G553" s="1">
        <v>46058</v>
      </c>
      <c r="H553" t="s">
        <v>14</v>
      </c>
      <c r="I553" t="s">
        <v>2778</v>
      </c>
      <c r="J553">
        <v>261676</v>
      </c>
      <c r="K553" t="s">
        <v>30</v>
      </c>
      <c r="L553" t="str">
        <f t="shared" si="24"/>
        <v>Available</v>
      </c>
      <c r="M553">
        <f t="shared" si="25"/>
        <v>0</v>
      </c>
      <c r="N553">
        <f t="shared" si="26"/>
        <v>1</v>
      </c>
    </row>
    <row r="554" spans="1:14" x14ac:dyDescent="0.35">
      <c r="A554" t="s">
        <v>2110</v>
      </c>
      <c r="B554" t="s">
        <v>785</v>
      </c>
      <c r="C554" t="s">
        <v>784</v>
      </c>
      <c r="D554">
        <v>28</v>
      </c>
      <c r="E554" t="s">
        <v>13</v>
      </c>
      <c r="F554" s="1">
        <v>44497</v>
      </c>
      <c r="G554" s="1">
        <v>46059</v>
      </c>
      <c r="H554" t="s">
        <v>14</v>
      </c>
      <c r="I554" s="2">
        <v>29624621</v>
      </c>
      <c r="J554">
        <v>264147</v>
      </c>
      <c r="K554" t="s">
        <v>15</v>
      </c>
      <c r="L554" t="str">
        <f t="shared" si="24"/>
        <v>Available</v>
      </c>
      <c r="M554">
        <f t="shared" si="25"/>
        <v>1</v>
      </c>
      <c r="N554">
        <f t="shared" si="26"/>
        <v>1</v>
      </c>
    </row>
    <row r="555" spans="1:14" x14ac:dyDescent="0.35">
      <c r="A555" t="s">
        <v>2111</v>
      </c>
      <c r="B555" t="s">
        <v>186</v>
      </c>
      <c r="C555" t="s">
        <v>786</v>
      </c>
      <c r="D555">
        <v>24</v>
      </c>
      <c r="E555" t="s">
        <v>13</v>
      </c>
      <c r="F555" s="1">
        <v>44500</v>
      </c>
      <c r="G555" s="1">
        <v>46059</v>
      </c>
      <c r="H555" t="s">
        <v>14</v>
      </c>
      <c r="I555" s="2">
        <v>91464</v>
      </c>
      <c r="J555">
        <v>264752</v>
      </c>
      <c r="K555" t="s">
        <v>15</v>
      </c>
      <c r="L555" t="str">
        <f t="shared" si="24"/>
        <v>Available</v>
      </c>
      <c r="M555">
        <f t="shared" si="25"/>
        <v>1</v>
      </c>
      <c r="N555">
        <f t="shared" si="26"/>
        <v>1</v>
      </c>
    </row>
    <row r="556" spans="1:14" x14ac:dyDescent="0.35">
      <c r="A556" t="s">
        <v>2112</v>
      </c>
      <c r="B556" t="s">
        <v>156</v>
      </c>
      <c r="C556" t="s">
        <v>787</v>
      </c>
      <c r="D556">
        <v>24</v>
      </c>
      <c r="E556" t="s">
        <v>13</v>
      </c>
      <c r="F556" s="1">
        <v>44497</v>
      </c>
      <c r="G556" s="1">
        <v>46059</v>
      </c>
      <c r="H556" t="s">
        <v>14</v>
      </c>
      <c r="I556" s="2">
        <v>24598554</v>
      </c>
      <c r="J556">
        <v>264717</v>
      </c>
      <c r="K556" t="s">
        <v>15</v>
      </c>
      <c r="L556" t="str">
        <f t="shared" si="24"/>
        <v>Available</v>
      </c>
      <c r="M556">
        <f t="shared" si="25"/>
        <v>1</v>
      </c>
      <c r="N556">
        <f t="shared" si="26"/>
        <v>1</v>
      </c>
    </row>
    <row r="557" spans="1:14" x14ac:dyDescent="0.35">
      <c r="A557" t="s">
        <v>2113</v>
      </c>
      <c r="B557" t="s">
        <v>302</v>
      </c>
      <c r="C557" t="s">
        <v>788</v>
      </c>
      <c r="D557">
        <v>24</v>
      </c>
      <c r="E557" t="s">
        <v>13</v>
      </c>
      <c r="F557" s="1">
        <v>44500</v>
      </c>
      <c r="G557" s="1">
        <v>46059</v>
      </c>
      <c r="H557" t="s">
        <v>14</v>
      </c>
      <c r="I557" s="2">
        <v>18074854</v>
      </c>
      <c r="J557">
        <v>264552</v>
      </c>
      <c r="K557" t="s">
        <v>15</v>
      </c>
      <c r="L557" t="str">
        <f t="shared" si="24"/>
        <v>Available</v>
      </c>
      <c r="M557">
        <f t="shared" si="25"/>
        <v>1</v>
      </c>
      <c r="N557">
        <f t="shared" si="26"/>
        <v>1</v>
      </c>
    </row>
    <row r="558" spans="1:14" x14ac:dyDescent="0.35">
      <c r="A558" t="s">
        <v>2114</v>
      </c>
      <c r="B558" t="s">
        <v>790</v>
      </c>
      <c r="C558" t="s">
        <v>789</v>
      </c>
      <c r="D558">
        <v>24</v>
      </c>
      <c r="E558" t="s">
        <v>13</v>
      </c>
      <c r="F558" s="1">
        <v>44497</v>
      </c>
      <c r="G558" s="1">
        <v>46059</v>
      </c>
      <c r="H558" t="s">
        <v>14</v>
      </c>
      <c r="I558" s="2">
        <v>53391</v>
      </c>
      <c r="J558">
        <v>266898</v>
      </c>
      <c r="K558" t="s">
        <v>15</v>
      </c>
      <c r="L558" t="str">
        <f t="shared" si="24"/>
        <v>Available</v>
      </c>
      <c r="M558">
        <f t="shared" si="25"/>
        <v>1</v>
      </c>
      <c r="N558">
        <f t="shared" si="26"/>
        <v>1</v>
      </c>
    </row>
    <row r="559" spans="1:14" x14ac:dyDescent="0.35">
      <c r="A559" t="s">
        <v>2115</v>
      </c>
      <c r="B559" t="s">
        <v>771</v>
      </c>
      <c r="C559" t="s">
        <v>791</v>
      </c>
      <c r="D559">
        <v>24</v>
      </c>
      <c r="E559" t="s">
        <v>13</v>
      </c>
      <c r="F559" s="1">
        <v>44497</v>
      </c>
      <c r="G559" s="1">
        <v>46057</v>
      </c>
      <c r="H559" t="s">
        <v>14</v>
      </c>
      <c r="I559" s="2">
        <v>3132090</v>
      </c>
      <c r="J559">
        <v>266404</v>
      </c>
      <c r="K559" t="s">
        <v>15</v>
      </c>
      <c r="L559" t="str">
        <f t="shared" si="24"/>
        <v>Available</v>
      </c>
      <c r="M559">
        <f t="shared" si="25"/>
        <v>1</v>
      </c>
      <c r="N559">
        <f t="shared" si="26"/>
        <v>1</v>
      </c>
    </row>
    <row r="560" spans="1:14" x14ac:dyDescent="0.35">
      <c r="A560" t="s">
        <v>2116</v>
      </c>
      <c r="B560" t="s">
        <v>472</v>
      </c>
      <c r="C560" t="s">
        <v>792</v>
      </c>
      <c r="D560">
        <v>24</v>
      </c>
      <c r="E560" t="s">
        <v>13</v>
      </c>
      <c r="F560" s="1">
        <v>44497</v>
      </c>
      <c r="G560" s="1">
        <v>46059</v>
      </c>
      <c r="H560" t="s">
        <v>14</v>
      </c>
      <c r="I560" s="2">
        <v>252569</v>
      </c>
      <c r="J560">
        <v>266379</v>
      </c>
      <c r="K560" t="s">
        <v>15</v>
      </c>
      <c r="L560" t="str">
        <f t="shared" si="24"/>
        <v>Available</v>
      </c>
      <c r="M560">
        <f t="shared" si="25"/>
        <v>1</v>
      </c>
      <c r="N560">
        <f t="shared" si="26"/>
        <v>1</v>
      </c>
    </row>
    <row r="561" spans="1:14" x14ac:dyDescent="0.35">
      <c r="A561" t="s">
        <v>2117</v>
      </c>
      <c r="B561" t="s">
        <v>644</v>
      </c>
      <c r="C561" t="s">
        <v>793</v>
      </c>
      <c r="D561">
        <v>25</v>
      </c>
      <c r="E561" t="s">
        <v>13</v>
      </c>
      <c r="F561" s="1">
        <v>44497</v>
      </c>
      <c r="G561" s="1">
        <v>46057</v>
      </c>
      <c r="H561" t="s">
        <v>14</v>
      </c>
      <c r="I561" s="2">
        <v>18520748</v>
      </c>
      <c r="J561">
        <v>261761</v>
      </c>
      <c r="K561" t="s">
        <v>15</v>
      </c>
      <c r="L561" t="str">
        <f t="shared" si="24"/>
        <v>Available</v>
      </c>
      <c r="M561">
        <f t="shared" si="25"/>
        <v>1</v>
      </c>
      <c r="N561">
        <f t="shared" si="26"/>
        <v>1</v>
      </c>
    </row>
    <row r="562" spans="1:14" x14ac:dyDescent="0.35">
      <c r="A562" t="s">
        <v>2118</v>
      </c>
      <c r="B562" t="s">
        <v>186</v>
      </c>
      <c r="C562" t="s">
        <v>794</v>
      </c>
      <c r="D562">
        <v>24</v>
      </c>
      <c r="E562" t="s">
        <v>13</v>
      </c>
      <c r="F562" s="1">
        <v>45231</v>
      </c>
      <c r="G562" s="1">
        <v>46059</v>
      </c>
      <c r="H562" t="s">
        <v>14</v>
      </c>
      <c r="I562" s="2">
        <v>98567</v>
      </c>
      <c r="J562">
        <v>267029</v>
      </c>
      <c r="K562" t="s">
        <v>15</v>
      </c>
      <c r="L562" t="str">
        <f t="shared" si="24"/>
        <v>Available</v>
      </c>
      <c r="M562">
        <f t="shared" si="25"/>
        <v>1</v>
      </c>
      <c r="N562">
        <f t="shared" si="26"/>
        <v>1</v>
      </c>
    </row>
    <row r="563" spans="1:14" x14ac:dyDescent="0.35">
      <c r="A563" t="s">
        <v>2119</v>
      </c>
      <c r="B563" t="s">
        <v>322</v>
      </c>
      <c r="C563" t="s">
        <v>795</v>
      </c>
      <c r="D563">
        <v>24</v>
      </c>
      <c r="E563" t="s">
        <v>13</v>
      </c>
      <c r="F563" s="1">
        <v>44497</v>
      </c>
      <c r="G563" s="1">
        <v>46060</v>
      </c>
      <c r="H563" t="s">
        <v>14</v>
      </c>
      <c r="I563" s="2">
        <v>73914</v>
      </c>
      <c r="J563">
        <v>266348</v>
      </c>
      <c r="K563" t="s">
        <v>15</v>
      </c>
      <c r="L563" t="str">
        <f t="shared" si="24"/>
        <v>Available</v>
      </c>
      <c r="M563">
        <f t="shared" si="25"/>
        <v>1</v>
      </c>
      <c r="N563">
        <f t="shared" si="26"/>
        <v>1</v>
      </c>
    </row>
    <row r="564" spans="1:14" x14ac:dyDescent="0.35">
      <c r="A564" t="s">
        <v>2120</v>
      </c>
      <c r="B564" t="s">
        <v>238</v>
      </c>
      <c r="C564" t="s">
        <v>796</v>
      </c>
      <c r="D564">
        <v>26</v>
      </c>
      <c r="E564" t="s">
        <v>13</v>
      </c>
      <c r="F564" s="1">
        <v>44497</v>
      </c>
      <c r="G564" s="1">
        <v>46058</v>
      </c>
      <c r="H564" t="s">
        <v>14</v>
      </c>
      <c r="I564" s="2">
        <v>135700</v>
      </c>
      <c r="J564">
        <v>261896</v>
      </c>
      <c r="K564" t="s">
        <v>15</v>
      </c>
      <c r="L564" t="str">
        <f t="shared" si="24"/>
        <v>Available</v>
      </c>
      <c r="M564">
        <f t="shared" si="25"/>
        <v>1</v>
      </c>
      <c r="N564">
        <f t="shared" si="26"/>
        <v>1</v>
      </c>
    </row>
    <row r="565" spans="1:14" x14ac:dyDescent="0.35">
      <c r="A565" t="s">
        <v>2121</v>
      </c>
      <c r="B565" t="s">
        <v>121</v>
      </c>
      <c r="C565" t="s">
        <v>797</v>
      </c>
      <c r="D565">
        <v>24</v>
      </c>
      <c r="E565" t="s">
        <v>13</v>
      </c>
      <c r="F565" s="1">
        <v>44497</v>
      </c>
      <c r="G565" s="1">
        <v>46059</v>
      </c>
      <c r="H565" t="s">
        <v>14</v>
      </c>
      <c r="I565" s="2">
        <v>24826872</v>
      </c>
      <c r="J565">
        <v>266399</v>
      </c>
      <c r="K565" t="s">
        <v>15</v>
      </c>
      <c r="L565" t="str">
        <f t="shared" si="24"/>
        <v>Available</v>
      </c>
      <c r="M565">
        <f t="shared" si="25"/>
        <v>1</v>
      </c>
      <c r="N565">
        <f t="shared" si="26"/>
        <v>1</v>
      </c>
    </row>
    <row r="566" spans="1:14" x14ac:dyDescent="0.35">
      <c r="A566" t="s">
        <v>2122</v>
      </c>
      <c r="C566" t="s">
        <v>798</v>
      </c>
      <c r="D566">
        <v>24</v>
      </c>
      <c r="E566" t="s">
        <v>13</v>
      </c>
      <c r="F566" s="1">
        <v>44501</v>
      </c>
      <c r="G566" s="1">
        <v>46056</v>
      </c>
      <c r="H566" t="s">
        <v>14</v>
      </c>
      <c r="I566" s="2">
        <v>91481</v>
      </c>
      <c r="J566">
        <v>266369</v>
      </c>
      <c r="K566" t="s">
        <v>15</v>
      </c>
      <c r="L566" t="str">
        <f t="shared" si="24"/>
        <v>Missing</v>
      </c>
      <c r="M566">
        <f t="shared" si="25"/>
        <v>1</v>
      </c>
      <c r="N566">
        <f t="shared" si="26"/>
        <v>0</v>
      </c>
    </row>
    <row r="567" spans="1:14" x14ac:dyDescent="0.35">
      <c r="A567" t="s">
        <v>2123</v>
      </c>
      <c r="B567" t="s">
        <v>768</v>
      </c>
      <c r="C567" t="s">
        <v>799</v>
      </c>
      <c r="D567">
        <v>25</v>
      </c>
      <c r="E567" t="s">
        <v>13</v>
      </c>
      <c r="F567" s="1">
        <v>44497</v>
      </c>
      <c r="G567" s="1">
        <v>46059</v>
      </c>
      <c r="H567" t="s">
        <v>14</v>
      </c>
      <c r="I567" s="2">
        <v>73919</v>
      </c>
      <c r="J567">
        <v>262261</v>
      </c>
      <c r="K567" t="s">
        <v>15</v>
      </c>
      <c r="L567" t="str">
        <f t="shared" si="24"/>
        <v>Available</v>
      </c>
      <c r="M567">
        <f t="shared" si="25"/>
        <v>1</v>
      </c>
      <c r="N567">
        <f t="shared" si="26"/>
        <v>1</v>
      </c>
    </row>
    <row r="568" spans="1:14" x14ac:dyDescent="0.35">
      <c r="A568" t="s">
        <v>2124</v>
      </c>
      <c r="B568" t="s">
        <v>91</v>
      </c>
      <c r="C568" t="s">
        <v>800</v>
      </c>
      <c r="D568">
        <v>28</v>
      </c>
      <c r="E568" t="s">
        <v>13</v>
      </c>
      <c r="F568" s="1">
        <v>45026</v>
      </c>
      <c r="G568" s="1">
        <v>46059</v>
      </c>
      <c r="H568" t="s">
        <v>14</v>
      </c>
      <c r="I568" s="2">
        <v>29624460</v>
      </c>
      <c r="J568">
        <v>264216</v>
      </c>
      <c r="K568" t="s">
        <v>15</v>
      </c>
      <c r="L568" t="str">
        <f t="shared" si="24"/>
        <v>Available</v>
      </c>
      <c r="M568">
        <f t="shared" si="25"/>
        <v>1</v>
      </c>
      <c r="N568">
        <f t="shared" si="26"/>
        <v>1</v>
      </c>
    </row>
    <row r="569" spans="1:14" x14ac:dyDescent="0.35">
      <c r="A569" t="s">
        <v>2125</v>
      </c>
      <c r="B569" t="s">
        <v>130</v>
      </c>
      <c r="C569" t="s">
        <v>801</v>
      </c>
      <c r="D569">
        <v>25</v>
      </c>
      <c r="E569" t="s">
        <v>13</v>
      </c>
      <c r="F569" s="1">
        <v>44770</v>
      </c>
      <c r="G569" s="1">
        <v>46059</v>
      </c>
      <c r="H569" t="s">
        <v>14</v>
      </c>
      <c r="I569" s="2">
        <v>27804061</v>
      </c>
      <c r="J569">
        <v>264137</v>
      </c>
      <c r="K569" t="s">
        <v>15</v>
      </c>
      <c r="L569" t="str">
        <f t="shared" si="24"/>
        <v>Available</v>
      </c>
      <c r="M569">
        <f t="shared" si="25"/>
        <v>1</v>
      </c>
      <c r="N569">
        <f t="shared" si="26"/>
        <v>1</v>
      </c>
    </row>
    <row r="570" spans="1:14" x14ac:dyDescent="0.35">
      <c r="A570" t="s">
        <v>2126</v>
      </c>
      <c r="B570" t="s">
        <v>186</v>
      </c>
      <c r="C570" t="s">
        <v>802</v>
      </c>
      <c r="D570">
        <v>24</v>
      </c>
      <c r="E570" t="s">
        <v>13</v>
      </c>
      <c r="F570" s="1">
        <v>44497</v>
      </c>
      <c r="G570" s="1">
        <v>46059</v>
      </c>
      <c r="H570" t="s">
        <v>14</v>
      </c>
      <c r="I570" s="2">
        <v>91464</v>
      </c>
      <c r="J570">
        <v>261744</v>
      </c>
      <c r="K570" t="s">
        <v>15</v>
      </c>
      <c r="L570" t="str">
        <f t="shared" si="24"/>
        <v>Available</v>
      </c>
      <c r="M570">
        <f t="shared" si="25"/>
        <v>1</v>
      </c>
      <c r="N570">
        <f t="shared" si="26"/>
        <v>1</v>
      </c>
    </row>
    <row r="571" spans="1:14" x14ac:dyDescent="0.35">
      <c r="A571" t="s">
        <v>2127</v>
      </c>
      <c r="C571" t="s">
        <v>803</v>
      </c>
      <c r="D571">
        <v>26</v>
      </c>
      <c r="E571" t="s">
        <v>13</v>
      </c>
      <c r="F571" s="1">
        <v>44927</v>
      </c>
      <c r="G571" s="1">
        <v>46058</v>
      </c>
      <c r="H571" t="s">
        <v>14</v>
      </c>
      <c r="I571" s="2">
        <v>29142063</v>
      </c>
      <c r="J571">
        <v>264111</v>
      </c>
      <c r="K571" t="s">
        <v>15</v>
      </c>
      <c r="L571" t="str">
        <f t="shared" si="24"/>
        <v>Missing</v>
      </c>
      <c r="M571">
        <f t="shared" si="25"/>
        <v>1</v>
      </c>
      <c r="N571">
        <f t="shared" si="26"/>
        <v>0</v>
      </c>
    </row>
    <row r="572" spans="1:14" x14ac:dyDescent="0.35">
      <c r="A572" t="s">
        <v>2128</v>
      </c>
      <c r="B572" t="s">
        <v>463</v>
      </c>
      <c r="C572" t="s">
        <v>804</v>
      </c>
      <c r="D572">
        <v>16.906742000000001</v>
      </c>
      <c r="E572" t="s">
        <v>35</v>
      </c>
      <c r="F572" s="1">
        <v>44903</v>
      </c>
      <c r="G572" s="1">
        <v>46058</v>
      </c>
      <c r="H572" t="s">
        <v>14</v>
      </c>
      <c r="I572" t="s">
        <v>2778</v>
      </c>
      <c r="J572">
        <v>262026</v>
      </c>
      <c r="K572" t="s">
        <v>30</v>
      </c>
      <c r="L572" t="str">
        <f t="shared" si="24"/>
        <v>Available</v>
      </c>
      <c r="M572">
        <f t="shared" si="25"/>
        <v>0</v>
      </c>
      <c r="N572">
        <f t="shared" si="26"/>
        <v>1</v>
      </c>
    </row>
    <row r="573" spans="1:14" x14ac:dyDescent="0.35">
      <c r="A573" t="s">
        <v>2129</v>
      </c>
      <c r="B573" t="s">
        <v>123</v>
      </c>
      <c r="C573" t="s">
        <v>805</v>
      </c>
      <c r="D573">
        <v>67</v>
      </c>
      <c r="E573" t="s">
        <v>13</v>
      </c>
      <c r="F573" s="1">
        <v>44497</v>
      </c>
      <c r="G573" s="1">
        <v>46060</v>
      </c>
      <c r="H573" t="s">
        <v>14</v>
      </c>
      <c r="I573" s="2">
        <v>91494</v>
      </c>
      <c r="J573">
        <v>264564</v>
      </c>
      <c r="K573" t="s">
        <v>15</v>
      </c>
      <c r="L573" t="str">
        <f t="shared" si="24"/>
        <v>Available</v>
      </c>
      <c r="M573">
        <f t="shared" si="25"/>
        <v>1</v>
      </c>
      <c r="N573">
        <f t="shared" si="26"/>
        <v>1</v>
      </c>
    </row>
    <row r="574" spans="1:14" x14ac:dyDescent="0.35">
      <c r="A574" t="s">
        <v>2130</v>
      </c>
      <c r="B574" t="s">
        <v>807</v>
      </c>
      <c r="C574" t="s">
        <v>806</v>
      </c>
      <c r="D574">
        <v>24</v>
      </c>
      <c r="E574" t="s">
        <v>13</v>
      </c>
      <c r="F574" s="1">
        <v>44497</v>
      </c>
      <c r="G574" s="1">
        <v>46059</v>
      </c>
      <c r="H574" t="s">
        <v>14</v>
      </c>
      <c r="I574" t="s">
        <v>2778</v>
      </c>
      <c r="J574">
        <v>261905</v>
      </c>
      <c r="K574" t="s">
        <v>30</v>
      </c>
      <c r="L574" t="str">
        <f t="shared" si="24"/>
        <v>Available</v>
      </c>
      <c r="M574">
        <f t="shared" si="25"/>
        <v>0</v>
      </c>
      <c r="N574">
        <f t="shared" si="26"/>
        <v>1</v>
      </c>
    </row>
    <row r="575" spans="1:14" x14ac:dyDescent="0.35">
      <c r="A575" t="s">
        <v>2131</v>
      </c>
      <c r="B575" t="s">
        <v>453</v>
      </c>
      <c r="C575" t="s">
        <v>808</v>
      </c>
      <c r="D575">
        <v>25</v>
      </c>
      <c r="E575" t="s">
        <v>13</v>
      </c>
      <c r="F575" s="1">
        <v>44497</v>
      </c>
      <c r="G575" s="1">
        <v>46059</v>
      </c>
      <c r="H575" t="s">
        <v>14</v>
      </c>
      <c r="I575" s="2">
        <v>98546</v>
      </c>
      <c r="J575">
        <v>266647</v>
      </c>
      <c r="K575" t="s">
        <v>15</v>
      </c>
      <c r="L575" t="str">
        <f t="shared" si="24"/>
        <v>Available</v>
      </c>
      <c r="M575">
        <f t="shared" si="25"/>
        <v>1</v>
      </c>
      <c r="N575">
        <f t="shared" si="26"/>
        <v>1</v>
      </c>
    </row>
    <row r="576" spans="1:14" x14ac:dyDescent="0.35">
      <c r="A576" t="s">
        <v>2132</v>
      </c>
      <c r="B576" t="s">
        <v>62</v>
      </c>
      <c r="C576" t="s">
        <v>809</v>
      </c>
      <c r="D576">
        <v>24</v>
      </c>
      <c r="E576" t="s">
        <v>13</v>
      </c>
      <c r="F576" s="1">
        <v>44497</v>
      </c>
      <c r="G576" s="1">
        <v>46059</v>
      </c>
      <c r="H576" t="s">
        <v>14</v>
      </c>
      <c r="I576" s="2">
        <v>18283098</v>
      </c>
      <c r="J576">
        <v>266616</v>
      </c>
      <c r="K576" t="s">
        <v>15</v>
      </c>
      <c r="L576" t="str">
        <f t="shared" si="24"/>
        <v>Available</v>
      </c>
      <c r="M576">
        <f t="shared" si="25"/>
        <v>1</v>
      </c>
      <c r="N576">
        <f t="shared" si="26"/>
        <v>1</v>
      </c>
    </row>
    <row r="577" spans="1:14" x14ac:dyDescent="0.35">
      <c r="A577" t="s">
        <v>2133</v>
      </c>
      <c r="B577" t="s">
        <v>811</v>
      </c>
      <c r="C577" t="s">
        <v>810</v>
      </c>
      <c r="D577">
        <v>24</v>
      </c>
      <c r="E577" t="s">
        <v>13</v>
      </c>
      <c r="F577" s="1">
        <v>44497</v>
      </c>
      <c r="G577" s="1">
        <v>46059</v>
      </c>
      <c r="H577" t="s">
        <v>14</v>
      </c>
      <c r="I577" s="2">
        <v>1838145</v>
      </c>
      <c r="J577">
        <v>261909</v>
      </c>
      <c r="K577" t="s">
        <v>15</v>
      </c>
      <c r="L577" t="str">
        <f t="shared" si="24"/>
        <v>Available</v>
      </c>
      <c r="M577">
        <f t="shared" si="25"/>
        <v>1</v>
      </c>
      <c r="N577">
        <f t="shared" si="26"/>
        <v>1</v>
      </c>
    </row>
    <row r="578" spans="1:14" x14ac:dyDescent="0.35">
      <c r="A578" t="s">
        <v>2134</v>
      </c>
      <c r="B578" t="s">
        <v>570</v>
      </c>
      <c r="C578" t="s">
        <v>812</v>
      </c>
      <c r="D578">
        <v>24</v>
      </c>
      <c r="E578" t="s">
        <v>13</v>
      </c>
      <c r="F578" s="1">
        <v>45532</v>
      </c>
      <c r="G578" s="1">
        <v>46057</v>
      </c>
      <c r="H578" t="s">
        <v>14</v>
      </c>
      <c r="I578" s="2">
        <v>25812890</v>
      </c>
      <c r="J578">
        <v>262607</v>
      </c>
      <c r="K578" t="s">
        <v>15</v>
      </c>
      <c r="L578" t="str">
        <f t="shared" si="24"/>
        <v>Available</v>
      </c>
      <c r="M578">
        <f t="shared" si="25"/>
        <v>1</v>
      </c>
      <c r="N578">
        <f t="shared" si="26"/>
        <v>1</v>
      </c>
    </row>
    <row r="579" spans="1:14" x14ac:dyDescent="0.35">
      <c r="A579" t="s">
        <v>2135</v>
      </c>
      <c r="B579" t="s">
        <v>814</v>
      </c>
      <c r="C579" t="s">
        <v>813</v>
      </c>
      <c r="D579">
        <v>24</v>
      </c>
      <c r="E579" t="s">
        <v>13</v>
      </c>
      <c r="F579" s="1">
        <v>45347</v>
      </c>
      <c r="G579" s="1">
        <v>46060</v>
      </c>
      <c r="H579" t="s">
        <v>14</v>
      </c>
      <c r="I579" s="2">
        <v>43727644</v>
      </c>
      <c r="J579">
        <v>264276</v>
      </c>
      <c r="K579" t="s">
        <v>15</v>
      </c>
      <c r="L579" t="str">
        <f t="shared" ref="L579:L642" si="27">IF(OR(B579="",ISBLANK(B579)),"Missing","Available")</f>
        <v>Available</v>
      </c>
      <c r="M579">
        <f t="shared" ref="M579:M642" si="28">IF(K579="Mapped",1,0)</f>
        <v>1</v>
      </c>
      <c r="N579">
        <f t="shared" ref="N579:N642" si="29">IF(AND(B579&lt;&gt;"",A579&lt;&gt;""),1,0)</f>
        <v>1</v>
      </c>
    </row>
    <row r="580" spans="1:14" x14ac:dyDescent="0.35">
      <c r="A580" t="s">
        <v>2136</v>
      </c>
      <c r="B580" t="s">
        <v>152</v>
      </c>
      <c r="C580" t="s">
        <v>815</v>
      </c>
      <c r="D580">
        <v>24</v>
      </c>
      <c r="E580" t="s">
        <v>13</v>
      </c>
      <c r="F580" s="1">
        <v>44497</v>
      </c>
      <c r="G580" s="1">
        <v>46057</v>
      </c>
      <c r="H580" t="s">
        <v>14</v>
      </c>
      <c r="I580" t="s">
        <v>2778</v>
      </c>
      <c r="J580">
        <v>261663</v>
      </c>
      <c r="K580" t="s">
        <v>30</v>
      </c>
      <c r="L580" t="str">
        <f t="shared" si="27"/>
        <v>Available</v>
      </c>
      <c r="M580">
        <f t="shared" si="28"/>
        <v>0</v>
      </c>
      <c r="N580">
        <f t="shared" si="29"/>
        <v>1</v>
      </c>
    </row>
    <row r="581" spans="1:14" x14ac:dyDescent="0.35">
      <c r="A581" t="s">
        <v>2137</v>
      </c>
      <c r="B581" t="s">
        <v>811</v>
      </c>
      <c r="C581" t="s">
        <v>816</v>
      </c>
      <c r="D581">
        <v>24</v>
      </c>
      <c r="E581" t="s">
        <v>13</v>
      </c>
      <c r="F581" s="1">
        <v>44497</v>
      </c>
      <c r="G581" s="1">
        <v>46059</v>
      </c>
      <c r="H581" t="s">
        <v>14</v>
      </c>
      <c r="I581" s="2">
        <v>287068</v>
      </c>
      <c r="J581">
        <v>264370</v>
      </c>
      <c r="K581" t="s">
        <v>15</v>
      </c>
      <c r="L581" t="str">
        <f t="shared" si="27"/>
        <v>Available</v>
      </c>
      <c r="M581">
        <f t="shared" si="28"/>
        <v>1</v>
      </c>
      <c r="N581">
        <f t="shared" si="29"/>
        <v>1</v>
      </c>
    </row>
    <row r="582" spans="1:14" x14ac:dyDescent="0.35">
      <c r="A582" t="s">
        <v>2138</v>
      </c>
      <c r="B582" t="s">
        <v>818</v>
      </c>
      <c r="C582" t="s">
        <v>817</v>
      </c>
      <c r="D582">
        <v>24</v>
      </c>
      <c r="E582" t="s">
        <v>13</v>
      </c>
      <c r="F582" s="1">
        <v>44500</v>
      </c>
      <c r="G582" s="1">
        <v>46059</v>
      </c>
      <c r="H582" t="s">
        <v>14</v>
      </c>
      <c r="I582" t="s">
        <v>2778</v>
      </c>
      <c r="J582">
        <v>264251</v>
      </c>
      <c r="K582" t="s">
        <v>30</v>
      </c>
      <c r="L582" t="str">
        <f t="shared" si="27"/>
        <v>Available</v>
      </c>
      <c r="M582">
        <f t="shared" si="28"/>
        <v>0</v>
      </c>
      <c r="N582">
        <f t="shared" si="29"/>
        <v>1</v>
      </c>
    </row>
    <row r="583" spans="1:14" x14ac:dyDescent="0.35">
      <c r="A583" t="s">
        <v>2139</v>
      </c>
      <c r="C583" t="s">
        <v>819</v>
      </c>
      <c r="D583">
        <v>25</v>
      </c>
      <c r="E583" t="s">
        <v>13</v>
      </c>
      <c r="F583" s="1">
        <v>45392</v>
      </c>
      <c r="G583" s="1">
        <v>45396</v>
      </c>
      <c r="H583" t="s">
        <v>14</v>
      </c>
      <c r="I583" t="s">
        <v>2778</v>
      </c>
      <c r="J583">
        <v>264242</v>
      </c>
      <c r="K583" t="s">
        <v>30</v>
      </c>
      <c r="L583" t="str">
        <f t="shared" si="27"/>
        <v>Missing</v>
      </c>
      <c r="M583">
        <f t="shared" si="28"/>
        <v>0</v>
      </c>
      <c r="N583">
        <f t="shared" si="29"/>
        <v>0</v>
      </c>
    </row>
    <row r="584" spans="1:14" x14ac:dyDescent="0.35">
      <c r="A584" t="s">
        <v>2140</v>
      </c>
      <c r="B584" t="s">
        <v>821</v>
      </c>
      <c r="C584" t="s">
        <v>820</v>
      </c>
      <c r="D584">
        <v>25</v>
      </c>
      <c r="E584" t="s">
        <v>13</v>
      </c>
      <c r="F584" s="1">
        <v>44497</v>
      </c>
      <c r="G584" s="1">
        <v>46059</v>
      </c>
      <c r="H584" t="s">
        <v>14</v>
      </c>
      <c r="I584" s="2">
        <v>98561</v>
      </c>
      <c r="J584">
        <v>267055</v>
      </c>
      <c r="K584" t="s">
        <v>15</v>
      </c>
      <c r="L584" t="str">
        <f t="shared" si="27"/>
        <v>Available</v>
      </c>
      <c r="M584">
        <f t="shared" si="28"/>
        <v>1</v>
      </c>
      <c r="N584">
        <f t="shared" si="29"/>
        <v>1</v>
      </c>
    </row>
    <row r="585" spans="1:14" x14ac:dyDescent="0.35">
      <c r="A585" t="s">
        <v>2141</v>
      </c>
      <c r="B585" t="s">
        <v>823</v>
      </c>
      <c r="C585" t="s">
        <v>822</v>
      </c>
      <c r="D585">
        <v>16</v>
      </c>
      <c r="E585" t="s">
        <v>13</v>
      </c>
      <c r="F585" s="1">
        <v>44500</v>
      </c>
      <c r="G585" s="1">
        <v>45983</v>
      </c>
      <c r="H585" t="s">
        <v>14</v>
      </c>
      <c r="I585" t="s">
        <v>2778</v>
      </c>
      <c r="J585">
        <v>266427</v>
      </c>
      <c r="K585" t="s">
        <v>30</v>
      </c>
      <c r="L585" t="str">
        <f t="shared" si="27"/>
        <v>Available</v>
      </c>
      <c r="M585">
        <f t="shared" si="28"/>
        <v>0</v>
      </c>
      <c r="N585">
        <f t="shared" si="29"/>
        <v>1</v>
      </c>
    </row>
    <row r="586" spans="1:14" x14ac:dyDescent="0.35">
      <c r="A586" t="s">
        <v>2142</v>
      </c>
      <c r="B586" t="s">
        <v>373</v>
      </c>
      <c r="C586" t="s">
        <v>824</v>
      </c>
      <c r="D586">
        <v>17.921147000000001</v>
      </c>
      <c r="E586" t="s">
        <v>35</v>
      </c>
      <c r="F586" s="1">
        <v>44497</v>
      </c>
      <c r="G586" s="1">
        <v>46047</v>
      </c>
      <c r="H586" t="s">
        <v>14</v>
      </c>
      <c r="I586" t="s">
        <v>2778</v>
      </c>
      <c r="J586">
        <v>261858</v>
      </c>
      <c r="K586" t="s">
        <v>30</v>
      </c>
      <c r="L586" t="str">
        <f t="shared" si="27"/>
        <v>Available</v>
      </c>
      <c r="M586">
        <f t="shared" si="28"/>
        <v>0</v>
      </c>
      <c r="N586">
        <f t="shared" si="29"/>
        <v>1</v>
      </c>
    </row>
    <row r="587" spans="1:14" x14ac:dyDescent="0.35">
      <c r="A587" t="s">
        <v>2143</v>
      </c>
      <c r="B587" t="s">
        <v>135</v>
      </c>
      <c r="C587" t="s">
        <v>825</v>
      </c>
      <c r="D587">
        <v>19</v>
      </c>
      <c r="E587" t="s">
        <v>13</v>
      </c>
      <c r="F587" s="1">
        <v>44899</v>
      </c>
      <c r="G587" s="1">
        <v>46059</v>
      </c>
      <c r="H587" t="s">
        <v>14</v>
      </c>
      <c r="I587" s="2">
        <v>28954638</v>
      </c>
      <c r="J587">
        <v>262384</v>
      </c>
      <c r="K587" t="s">
        <v>15</v>
      </c>
      <c r="L587" t="str">
        <f t="shared" si="27"/>
        <v>Available</v>
      </c>
      <c r="M587">
        <f t="shared" si="28"/>
        <v>1</v>
      </c>
      <c r="N587">
        <f t="shared" si="29"/>
        <v>1</v>
      </c>
    </row>
    <row r="588" spans="1:14" x14ac:dyDescent="0.35">
      <c r="A588" t="s">
        <v>2144</v>
      </c>
      <c r="C588" t="s">
        <v>826</v>
      </c>
      <c r="D588">
        <v>24</v>
      </c>
      <c r="E588" t="s">
        <v>13</v>
      </c>
      <c r="F588" s="1">
        <v>45911</v>
      </c>
      <c r="G588" s="1">
        <v>46058</v>
      </c>
      <c r="H588" t="s">
        <v>14</v>
      </c>
      <c r="I588" s="2">
        <v>86860435</v>
      </c>
      <c r="J588">
        <v>264713</v>
      </c>
      <c r="K588" t="s">
        <v>15</v>
      </c>
      <c r="L588" t="str">
        <f t="shared" si="27"/>
        <v>Missing</v>
      </c>
      <c r="M588">
        <f t="shared" si="28"/>
        <v>1</v>
      </c>
      <c r="N588">
        <f t="shared" si="29"/>
        <v>0</v>
      </c>
    </row>
    <row r="589" spans="1:14" x14ac:dyDescent="0.35">
      <c r="A589" t="s">
        <v>2145</v>
      </c>
      <c r="B589" t="s">
        <v>828</v>
      </c>
      <c r="C589" t="s">
        <v>827</v>
      </c>
      <c r="D589">
        <v>24</v>
      </c>
      <c r="E589" t="s">
        <v>13</v>
      </c>
      <c r="F589" s="1">
        <v>44498</v>
      </c>
      <c r="G589" s="1">
        <v>45952</v>
      </c>
      <c r="H589" t="s">
        <v>14</v>
      </c>
      <c r="I589" t="s">
        <v>2778</v>
      </c>
      <c r="J589">
        <v>264240</v>
      </c>
      <c r="K589" t="s">
        <v>30</v>
      </c>
      <c r="L589" t="str">
        <f t="shared" si="27"/>
        <v>Available</v>
      </c>
      <c r="M589">
        <f t="shared" si="28"/>
        <v>0</v>
      </c>
      <c r="N589">
        <f t="shared" si="29"/>
        <v>1</v>
      </c>
    </row>
    <row r="590" spans="1:14" x14ac:dyDescent="0.35">
      <c r="A590" t="s">
        <v>2146</v>
      </c>
      <c r="B590" t="s">
        <v>628</v>
      </c>
      <c r="C590" t="s">
        <v>829</v>
      </c>
      <c r="D590">
        <v>24</v>
      </c>
      <c r="E590" t="s">
        <v>13</v>
      </c>
      <c r="F590" s="1">
        <v>44952</v>
      </c>
      <c r="G590" s="1">
        <v>46059</v>
      </c>
      <c r="H590" t="s">
        <v>14</v>
      </c>
      <c r="I590" s="2">
        <v>19964459</v>
      </c>
      <c r="J590">
        <v>266597</v>
      </c>
      <c r="K590" t="s">
        <v>15</v>
      </c>
      <c r="L590" t="str">
        <f t="shared" si="27"/>
        <v>Available</v>
      </c>
      <c r="M590">
        <f t="shared" si="28"/>
        <v>1</v>
      </c>
      <c r="N590">
        <f t="shared" si="29"/>
        <v>1</v>
      </c>
    </row>
    <row r="591" spans="1:14" x14ac:dyDescent="0.35">
      <c r="A591" t="s">
        <v>2147</v>
      </c>
      <c r="B591" t="s">
        <v>439</v>
      </c>
      <c r="C591" t="s">
        <v>830</v>
      </c>
      <c r="D591">
        <v>24</v>
      </c>
      <c r="E591" t="s">
        <v>13</v>
      </c>
      <c r="F591" s="1">
        <v>44497</v>
      </c>
      <c r="G591" s="1">
        <v>46059</v>
      </c>
      <c r="H591" t="s">
        <v>14</v>
      </c>
      <c r="I591" s="2">
        <v>3364122</v>
      </c>
      <c r="J591">
        <v>264760</v>
      </c>
      <c r="K591" t="s">
        <v>15</v>
      </c>
      <c r="L591" t="str">
        <f t="shared" si="27"/>
        <v>Available</v>
      </c>
      <c r="M591">
        <f t="shared" si="28"/>
        <v>1</v>
      </c>
      <c r="N591">
        <f t="shared" si="29"/>
        <v>1</v>
      </c>
    </row>
    <row r="592" spans="1:14" x14ac:dyDescent="0.35">
      <c r="A592" t="s">
        <v>2148</v>
      </c>
      <c r="B592" t="s">
        <v>690</v>
      </c>
      <c r="C592" t="s">
        <v>831</v>
      </c>
      <c r="D592">
        <v>24</v>
      </c>
      <c r="E592" t="s">
        <v>13</v>
      </c>
      <c r="F592" s="1">
        <v>44497</v>
      </c>
      <c r="G592" s="1">
        <v>46059</v>
      </c>
      <c r="H592" t="s">
        <v>14</v>
      </c>
      <c r="I592" s="2">
        <v>21669849</v>
      </c>
      <c r="J592">
        <v>267104</v>
      </c>
      <c r="K592" t="s">
        <v>15</v>
      </c>
      <c r="L592" t="str">
        <f t="shared" si="27"/>
        <v>Available</v>
      </c>
      <c r="M592">
        <f t="shared" si="28"/>
        <v>1</v>
      </c>
      <c r="N592">
        <f t="shared" si="29"/>
        <v>1</v>
      </c>
    </row>
    <row r="593" spans="1:14" x14ac:dyDescent="0.35">
      <c r="A593" t="s">
        <v>2149</v>
      </c>
      <c r="B593" t="s">
        <v>481</v>
      </c>
      <c r="C593" t="s">
        <v>832</v>
      </c>
      <c r="D593">
        <v>25</v>
      </c>
      <c r="E593" t="s">
        <v>13</v>
      </c>
      <c r="F593" s="1">
        <v>44497</v>
      </c>
      <c r="G593" s="1">
        <v>46058</v>
      </c>
      <c r="H593" t="s">
        <v>14</v>
      </c>
      <c r="I593" s="2">
        <v>23517386</v>
      </c>
      <c r="J593">
        <v>261883</v>
      </c>
      <c r="K593" t="s">
        <v>15</v>
      </c>
      <c r="L593" t="str">
        <f t="shared" si="27"/>
        <v>Available</v>
      </c>
      <c r="M593">
        <f t="shared" si="28"/>
        <v>1</v>
      </c>
      <c r="N593">
        <f t="shared" si="29"/>
        <v>1</v>
      </c>
    </row>
    <row r="594" spans="1:14" x14ac:dyDescent="0.35">
      <c r="A594" t="s">
        <v>2150</v>
      </c>
      <c r="B594" t="s">
        <v>205</v>
      </c>
      <c r="C594" t="s">
        <v>833</v>
      </c>
      <c r="D594">
        <v>24</v>
      </c>
      <c r="E594" t="s">
        <v>13</v>
      </c>
      <c r="F594" s="1">
        <v>44497</v>
      </c>
      <c r="G594" s="1">
        <v>46058</v>
      </c>
      <c r="H594" t="s">
        <v>14</v>
      </c>
      <c r="I594" s="2">
        <v>91498</v>
      </c>
      <c r="J594">
        <v>266866</v>
      </c>
      <c r="K594" t="s">
        <v>15</v>
      </c>
      <c r="L594" t="str">
        <f t="shared" si="27"/>
        <v>Available</v>
      </c>
      <c r="M594">
        <f t="shared" si="28"/>
        <v>1</v>
      </c>
      <c r="N594">
        <f t="shared" si="29"/>
        <v>1</v>
      </c>
    </row>
    <row r="595" spans="1:14" x14ac:dyDescent="0.35">
      <c r="A595" t="s">
        <v>2151</v>
      </c>
      <c r="B595" t="s">
        <v>147</v>
      </c>
      <c r="C595" t="s">
        <v>834</v>
      </c>
      <c r="D595">
        <v>24</v>
      </c>
      <c r="E595" t="s">
        <v>13</v>
      </c>
      <c r="F595" s="1">
        <v>44497</v>
      </c>
      <c r="G595" s="1">
        <v>46059</v>
      </c>
      <c r="H595" t="s">
        <v>14</v>
      </c>
      <c r="I595" s="2">
        <v>23897848</v>
      </c>
      <c r="J595">
        <v>266321</v>
      </c>
      <c r="K595" t="s">
        <v>15</v>
      </c>
      <c r="L595" t="str">
        <f t="shared" si="27"/>
        <v>Available</v>
      </c>
      <c r="M595">
        <f t="shared" si="28"/>
        <v>1</v>
      </c>
      <c r="N595">
        <f t="shared" si="29"/>
        <v>1</v>
      </c>
    </row>
    <row r="596" spans="1:14" x14ac:dyDescent="0.35">
      <c r="A596" t="s">
        <v>2152</v>
      </c>
      <c r="B596" t="s">
        <v>312</v>
      </c>
      <c r="C596" t="s">
        <v>835</v>
      </c>
      <c r="D596">
        <v>32</v>
      </c>
      <c r="E596" t="s">
        <v>13</v>
      </c>
      <c r="F596" s="1">
        <v>44497</v>
      </c>
      <c r="G596" s="1">
        <v>46059</v>
      </c>
      <c r="H596" t="s">
        <v>14</v>
      </c>
      <c r="I596" t="s">
        <v>2778</v>
      </c>
      <c r="J596">
        <v>261725</v>
      </c>
      <c r="K596" t="s">
        <v>30</v>
      </c>
      <c r="L596" t="str">
        <f t="shared" si="27"/>
        <v>Available</v>
      </c>
      <c r="M596">
        <f t="shared" si="28"/>
        <v>0</v>
      </c>
      <c r="N596">
        <f t="shared" si="29"/>
        <v>1</v>
      </c>
    </row>
    <row r="597" spans="1:14" x14ac:dyDescent="0.35">
      <c r="A597" t="s">
        <v>2153</v>
      </c>
      <c r="B597" t="s">
        <v>837</v>
      </c>
      <c r="C597" t="s">
        <v>836</v>
      </c>
      <c r="D597">
        <v>15.3</v>
      </c>
      <c r="E597" t="s">
        <v>13</v>
      </c>
      <c r="F597" s="1">
        <v>44497</v>
      </c>
      <c r="G597" s="1">
        <v>46059</v>
      </c>
      <c r="H597" t="s">
        <v>14</v>
      </c>
      <c r="I597" t="s">
        <v>2778</v>
      </c>
      <c r="J597">
        <v>266943</v>
      </c>
      <c r="K597" t="s">
        <v>30</v>
      </c>
      <c r="L597" t="str">
        <f t="shared" si="27"/>
        <v>Available</v>
      </c>
      <c r="M597">
        <f t="shared" si="28"/>
        <v>0</v>
      </c>
      <c r="N597">
        <f t="shared" si="29"/>
        <v>1</v>
      </c>
    </row>
    <row r="598" spans="1:14" x14ac:dyDescent="0.35">
      <c r="A598" t="s">
        <v>2154</v>
      </c>
      <c r="C598" t="s">
        <v>838</v>
      </c>
      <c r="D598">
        <v>24</v>
      </c>
      <c r="E598" t="s">
        <v>13</v>
      </c>
      <c r="F598" s="1">
        <v>44497</v>
      </c>
      <c r="G598" s="1">
        <v>46059</v>
      </c>
      <c r="H598" t="s">
        <v>14</v>
      </c>
      <c r="I598" t="s">
        <v>2778</v>
      </c>
      <c r="J598">
        <v>266414</v>
      </c>
      <c r="K598" t="s">
        <v>30</v>
      </c>
      <c r="L598" t="str">
        <f t="shared" si="27"/>
        <v>Missing</v>
      </c>
      <c r="M598">
        <f t="shared" si="28"/>
        <v>0</v>
      </c>
      <c r="N598">
        <f t="shared" si="29"/>
        <v>0</v>
      </c>
    </row>
    <row r="599" spans="1:14" x14ac:dyDescent="0.35">
      <c r="A599" t="s">
        <v>2155</v>
      </c>
      <c r="B599" t="s">
        <v>132</v>
      </c>
      <c r="C599" t="s">
        <v>839</v>
      </c>
      <c r="D599">
        <v>24</v>
      </c>
      <c r="E599" t="s">
        <v>13</v>
      </c>
      <c r="F599" s="1">
        <v>44500</v>
      </c>
      <c r="G599" s="1">
        <v>46059</v>
      </c>
      <c r="H599" t="s">
        <v>14</v>
      </c>
      <c r="I599" s="2">
        <v>16403040</v>
      </c>
      <c r="J599">
        <v>267075</v>
      </c>
      <c r="K599" t="s">
        <v>15</v>
      </c>
      <c r="L599" t="str">
        <f t="shared" si="27"/>
        <v>Available</v>
      </c>
      <c r="M599">
        <f t="shared" si="28"/>
        <v>1</v>
      </c>
      <c r="N599">
        <f t="shared" si="29"/>
        <v>1</v>
      </c>
    </row>
    <row r="600" spans="1:14" x14ac:dyDescent="0.35">
      <c r="A600" t="s">
        <v>2156</v>
      </c>
      <c r="C600" t="s">
        <v>840</v>
      </c>
      <c r="D600">
        <v>26</v>
      </c>
      <c r="E600" t="s">
        <v>13</v>
      </c>
      <c r="F600" s="1">
        <v>44500</v>
      </c>
      <c r="G600" s="1">
        <v>46058</v>
      </c>
      <c r="H600" t="s">
        <v>14</v>
      </c>
      <c r="I600" s="2">
        <v>266092</v>
      </c>
      <c r="J600">
        <v>262285</v>
      </c>
      <c r="K600" t="s">
        <v>15</v>
      </c>
      <c r="L600" t="str">
        <f t="shared" si="27"/>
        <v>Missing</v>
      </c>
      <c r="M600">
        <f t="shared" si="28"/>
        <v>1</v>
      </c>
      <c r="N600">
        <f t="shared" si="29"/>
        <v>0</v>
      </c>
    </row>
    <row r="601" spans="1:14" x14ac:dyDescent="0.35">
      <c r="A601" t="s">
        <v>2157</v>
      </c>
      <c r="B601" t="s">
        <v>842</v>
      </c>
      <c r="C601" t="s">
        <v>841</v>
      </c>
      <c r="D601">
        <v>24</v>
      </c>
      <c r="E601" t="s">
        <v>13</v>
      </c>
      <c r="F601" s="1">
        <v>44497</v>
      </c>
      <c r="G601" s="1">
        <v>46059</v>
      </c>
      <c r="H601" t="s">
        <v>14</v>
      </c>
      <c r="I601" s="2">
        <v>1860223</v>
      </c>
      <c r="J601">
        <v>264287</v>
      </c>
      <c r="K601" t="s">
        <v>15</v>
      </c>
      <c r="L601" t="str">
        <f t="shared" si="27"/>
        <v>Available</v>
      </c>
      <c r="M601">
        <f t="shared" si="28"/>
        <v>1</v>
      </c>
      <c r="N601">
        <f t="shared" si="29"/>
        <v>1</v>
      </c>
    </row>
    <row r="602" spans="1:14" x14ac:dyDescent="0.35">
      <c r="A602" t="s">
        <v>2158</v>
      </c>
      <c r="B602" t="s">
        <v>844</v>
      </c>
      <c r="C602" t="s">
        <v>843</v>
      </c>
      <c r="D602">
        <v>24</v>
      </c>
      <c r="E602" t="s">
        <v>13</v>
      </c>
      <c r="F602" s="1">
        <v>44497</v>
      </c>
      <c r="G602" s="1">
        <v>46058</v>
      </c>
      <c r="H602" t="s">
        <v>14</v>
      </c>
      <c r="I602" s="2">
        <v>170939</v>
      </c>
      <c r="J602">
        <v>264208</v>
      </c>
      <c r="K602" t="s">
        <v>15</v>
      </c>
      <c r="L602" t="str">
        <f t="shared" si="27"/>
        <v>Available</v>
      </c>
      <c r="M602">
        <f t="shared" si="28"/>
        <v>1</v>
      </c>
      <c r="N602">
        <f t="shared" si="29"/>
        <v>1</v>
      </c>
    </row>
    <row r="603" spans="1:14" x14ac:dyDescent="0.35">
      <c r="A603" t="s">
        <v>2159</v>
      </c>
      <c r="B603" t="s">
        <v>53</v>
      </c>
      <c r="C603" t="s">
        <v>845</v>
      </c>
      <c r="D603">
        <v>25</v>
      </c>
      <c r="E603" t="s">
        <v>13</v>
      </c>
      <c r="F603" s="1">
        <v>44502</v>
      </c>
      <c r="G603" s="1">
        <v>46057</v>
      </c>
      <c r="H603" t="s">
        <v>14</v>
      </c>
      <c r="I603" s="2">
        <v>17996170</v>
      </c>
      <c r="J603">
        <v>264253</v>
      </c>
      <c r="K603" t="s">
        <v>15</v>
      </c>
      <c r="L603" t="str">
        <f t="shared" si="27"/>
        <v>Available</v>
      </c>
      <c r="M603">
        <f t="shared" si="28"/>
        <v>1</v>
      </c>
      <c r="N603">
        <f t="shared" si="29"/>
        <v>1</v>
      </c>
    </row>
    <row r="604" spans="1:14" x14ac:dyDescent="0.35">
      <c r="A604" t="s">
        <v>2160</v>
      </c>
      <c r="B604" t="s">
        <v>388</v>
      </c>
      <c r="C604" t="s">
        <v>846</v>
      </c>
      <c r="D604">
        <v>24</v>
      </c>
      <c r="E604" t="s">
        <v>13</v>
      </c>
      <c r="F604" s="1">
        <v>44500</v>
      </c>
      <c r="G604" s="1">
        <v>46030</v>
      </c>
      <c r="H604" t="s">
        <v>14</v>
      </c>
      <c r="I604" t="s">
        <v>2778</v>
      </c>
      <c r="J604">
        <v>266878</v>
      </c>
      <c r="K604" t="s">
        <v>30</v>
      </c>
      <c r="L604" t="str">
        <f t="shared" si="27"/>
        <v>Available</v>
      </c>
      <c r="M604">
        <f t="shared" si="28"/>
        <v>0</v>
      </c>
      <c r="N604">
        <f t="shared" si="29"/>
        <v>1</v>
      </c>
    </row>
    <row r="605" spans="1:14" x14ac:dyDescent="0.35">
      <c r="A605" t="s">
        <v>2161</v>
      </c>
      <c r="B605" t="s">
        <v>848</v>
      </c>
      <c r="C605" t="s">
        <v>847</v>
      </c>
      <c r="D605">
        <v>24</v>
      </c>
      <c r="E605" t="s">
        <v>13</v>
      </c>
      <c r="F605" s="1">
        <v>45013</v>
      </c>
      <c r="G605" s="1">
        <v>46059</v>
      </c>
      <c r="H605" t="s">
        <v>14</v>
      </c>
      <c r="I605" s="2">
        <v>34792996</v>
      </c>
      <c r="J605">
        <v>264724</v>
      </c>
      <c r="K605" t="s">
        <v>15</v>
      </c>
      <c r="L605" t="str">
        <f t="shared" si="27"/>
        <v>Available</v>
      </c>
      <c r="M605">
        <f t="shared" si="28"/>
        <v>1</v>
      </c>
      <c r="N605">
        <f t="shared" si="29"/>
        <v>1</v>
      </c>
    </row>
    <row r="606" spans="1:14" x14ac:dyDescent="0.35">
      <c r="A606" t="s">
        <v>2162</v>
      </c>
      <c r="B606" t="s">
        <v>156</v>
      </c>
      <c r="C606" t="s">
        <v>849</v>
      </c>
      <c r="D606">
        <v>24</v>
      </c>
      <c r="E606" t="s">
        <v>13</v>
      </c>
      <c r="F606" s="1">
        <v>45585</v>
      </c>
      <c r="G606" s="1">
        <v>46059</v>
      </c>
      <c r="H606" t="s">
        <v>14</v>
      </c>
      <c r="I606" s="2">
        <v>61861382</v>
      </c>
      <c r="J606">
        <v>262630</v>
      </c>
      <c r="K606" t="s">
        <v>15</v>
      </c>
      <c r="L606" t="str">
        <f t="shared" si="27"/>
        <v>Available</v>
      </c>
      <c r="M606">
        <f t="shared" si="28"/>
        <v>1</v>
      </c>
      <c r="N606">
        <f t="shared" si="29"/>
        <v>1</v>
      </c>
    </row>
    <row r="607" spans="1:14" x14ac:dyDescent="0.35">
      <c r="A607" t="s">
        <v>2163</v>
      </c>
      <c r="B607" t="s">
        <v>41</v>
      </c>
      <c r="C607" t="s">
        <v>850</v>
      </c>
      <c r="D607">
        <v>24.3</v>
      </c>
      <c r="E607" t="s">
        <v>13</v>
      </c>
      <c r="F607" s="1">
        <v>44497</v>
      </c>
      <c r="G607" s="1">
        <v>46023</v>
      </c>
      <c r="H607" t="s">
        <v>14</v>
      </c>
      <c r="I607" t="s">
        <v>2778</v>
      </c>
      <c r="J607">
        <v>262383</v>
      </c>
      <c r="K607" t="s">
        <v>30</v>
      </c>
      <c r="L607" t="str">
        <f t="shared" si="27"/>
        <v>Available</v>
      </c>
      <c r="M607">
        <f t="shared" si="28"/>
        <v>0</v>
      </c>
      <c r="N607">
        <f t="shared" si="29"/>
        <v>1</v>
      </c>
    </row>
    <row r="608" spans="1:14" x14ac:dyDescent="0.35">
      <c r="A608" t="s">
        <v>2164</v>
      </c>
      <c r="B608" t="s">
        <v>852</v>
      </c>
      <c r="C608" t="s">
        <v>851</v>
      </c>
      <c r="D608">
        <v>24</v>
      </c>
      <c r="E608" t="s">
        <v>13</v>
      </c>
      <c r="F608" s="1">
        <v>45578</v>
      </c>
      <c r="G608" s="1">
        <v>46059</v>
      </c>
      <c r="H608" t="s">
        <v>14</v>
      </c>
      <c r="I608" t="s">
        <v>2778</v>
      </c>
      <c r="J608">
        <v>266292</v>
      </c>
      <c r="K608" t="s">
        <v>30</v>
      </c>
      <c r="L608" t="str">
        <f t="shared" si="27"/>
        <v>Available</v>
      </c>
      <c r="M608">
        <f t="shared" si="28"/>
        <v>0</v>
      </c>
      <c r="N608">
        <f t="shared" si="29"/>
        <v>1</v>
      </c>
    </row>
    <row r="609" spans="1:14" x14ac:dyDescent="0.35">
      <c r="A609" t="s">
        <v>2165</v>
      </c>
      <c r="B609" t="s">
        <v>156</v>
      </c>
      <c r="C609" t="s">
        <v>853</v>
      </c>
      <c r="D609">
        <v>44</v>
      </c>
      <c r="E609" t="s">
        <v>13</v>
      </c>
      <c r="F609" s="1">
        <v>45751</v>
      </c>
      <c r="G609" s="1">
        <v>46058</v>
      </c>
      <c r="H609" t="s">
        <v>14</v>
      </c>
      <c r="I609" t="s">
        <v>2778</v>
      </c>
      <c r="J609">
        <v>264316</v>
      </c>
      <c r="K609" t="s">
        <v>30</v>
      </c>
      <c r="L609" t="str">
        <f t="shared" si="27"/>
        <v>Available</v>
      </c>
      <c r="M609">
        <f t="shared" si="28"/>
        <v>0</v>
      </c>
      <c r="N609">
        <f t="shared" si="29"/>
        <v>1</v>
      </c>
    </row>
    <row r="610" spans="1:14" x14ac:dyDescent="0.35">
      <c r="A610" t="s">
        <v>2166</v>
      </c>
      <c r="B610" t="s">
        <v>130</v>
      </c>
      <c r="C610" t="s">
        <v>854</v>
      </c>
      <c r="D610">
        <v>24.5</v>
      </c>
      <c r="E610" t="s">
        <v>13</v>
      </c>
      <c r="F610" s="1">
        <v>45859</v>
      </c>
      <c r="G610" s="1">
        <v>46059</v>
      </c>
      <c r="H610" t="s">
        <v>14</v>
      </c>
      <c r="I610" s="2">
        <v>76603192</v>
      </c>
      <c r="J610">
        <v>264571</v>
      </c>
      <c r="K610" t="s">
        <v>15</v>
      </c>
      <c r="L610" t="str">
        <f t="shared" si="27"/>
        <v>Available</v>
      </c>
      <c r="M610">
        <f t="shared" si="28"/>
        <v>1</v>
      </c>
      <c r="N610">
        <f t="shared" si="29"/>
        <v>1</v>
      </c>
    </row>
    <row r="611" spans="1:14" x14ac:dyDescent="0.35">
      <c r="A611" t="s">
        <v>2167</v>
      </c>
      <c r="B611" t="s">
        <v>856</v>
      </c>
      <c r="C611" t="s">
        <v>855</v>
      </c>
      <c r="D611">
        <v>24</v>
      </c>
      <c r="E611" t="s">
        <v>13</v>
      </c>
      <c r="F611" s="1">
        <v>45337</v>
      </c>
      <c r="G611" s="1">
        <v>46055</v>
      </c>
      <c r="H611" t="s">
        <v>14</v>
      </c>
      <c r="I611" s="2">
        <v>35042765</v>
      </c>
      <c r="J611">
        <v>266359</v>
      </c>
      <c r="K611" t="s">
        <v>15</v>
      </c>
      <c r="L611" t="str">
        <f t="shared" si="27"/>
        <v>Available</v>
      </c>
      <c r="M611">
        <f t="shared" si="28"/>
        <v>1</v>
      </c>
      <c r="N611">
        <f t="shared" si="29"/>
        <v>1</v>
      </c>
    </row>
    <row r="612" spans="1:14" x14ac:dyDescent="0.35">
      <c r="A612" t="s">
        <v>2168</v>
      </c>
      <c r="B612" t="s">
        <v>58</v>
      </c>
      <c r="C612" t="s">
        <v>857</v>
      </c>
      <c r="D612">
        <v>20.288091000000001</v>
      </c>
      <c r="E612" t="s">
        <v>35</v>
      </c>
      <c r="F612" s="1">
        <v>45562</v>
      </c>
      <c r="G612" s="1">
        <v>46058</v>
      </c>
      <c r="H612" t="s">
        <v>14</v>
      </c>
      <c r="I612" t="s">
        <v>2778</v>
      </c>
      <c r="J612">
        <v>261893</v>
      </c>
      <c r="K612" t="s">
        <v>30</v>
      </c>
      <c r="L612" t="str">
        <f t="shared" si="27"/>
        <v>Available</v>
      </c>
      <c r="M612">
        <f t="shared" si="28"/>
        <v>0</v>
      </c>
      <c r="N612">
        <f t="shared" si="29"/>
        <v>1</v>
      </c>
    </row>
    <row r="613" spans="1:14" x14ac:dyDescent="0.35">
      <c r="A613" t="s">
        <v>2169</v>
      </c>
      <c r="C613" t="s">
        <v>858</v>
      </c>
      <c r="D613">
        <v>20</v>
      </c>
      <c r="E613" t="s">
        <v>13</v>
      </c>
      <c r="F613" s="1">
        <v>44497</v>
      </c>
      <c r="G613" s="1">
        <v>46059</v>
      </c>
      <c r="H613" t="s">
        <v>14</v>
      </c>
      <c r="I613" t="s">
        <v>2778</v>
      </c>
      <c r="J613">
        <v>264261</v>
      </c>
      <c r="K613" t="s">
        <v>30</v>
      </c>
      <c r="L613" t="str">
        <f t="shared" si="27"/>
        <v>Missing</v>
      </c>
      <c r="M613">
        <f t="shared" si="28"/>
        <v>0</v>
      </c>
      <c r="N613">
        <f t="shared" si="29"/>
        <v>0</v>
      </c>
    </row>
    <row r="614" spans="1:14" x14ac:dyDescent="0.35">
      <c r="A614" t="s">
        <v>2170</v>
      </c>
      <c r="B614" t="s">
        <v>860</v>
      </c>
      <c r="C614" t="s">
        <v>859</v>
      </c>
      <c r="D614">
        <v>26</v>
      </c>
      <c r="E614" t="s">
        <v>13</v>
      </c>
      <c r="F614" s="1">
        <v>44497</v>
      </c>
      <c r="G614" s="1">
        <v>46055</v>
      </c>
      <c r="H614" t="s">
        <v>14</v>
      </c>
      <c r="I614" s="2">
        <v>2812517</v>
      </c>
      <c r="J614">
        <v>264579</v>
      </c>
      <c r="K614" t="s">
        <v>15</v>
      </c>
      <c r="L614" t="str">
        <f t="shared" si="27"/>
        <v>Available</v>
      </c>
      <c r="M614">
        <f t="shared" si="28"/>
        <v>1</v>
      </c>
      <c r="N614">
        <f t="shared" si="29"/>
        <v>1</v>
      </c>
    </row>
    <row r="615" spans="1:14" x14ac:dyDescent="0.35">
      <c r="A615" t="s">
        <v>2171</v>
      </c>
      <c r="B615" t="s">
        <v>91</v>
      </c>
      <c r="C615" t="s">
        <v>861</v>
      </c>
      <c r="D615">
        <v>28</v>
      </c>
      <c r="E615" t="s">
        <v>13</v>
      </c>
      <c r="F615" s="1">
        <v>44497</v>
      </c>
      <c r="G615" s="1">
        <v>46059</v>
      </c>
      <c r="H615" t="s">
        <v>14</v>
      </c>
      <c r="I615" s="2">
        <v>29373236</v>
      </c>
      <c r="J615">
        <v>266579</v>
      </c>
      <c r="K615" t="s">
        <v>15</v>
      </c>
      <c r="L615" t="str">
        <f t="shared" si="27"/>
        <v>Available</v>
      </c>
      <c r="M615">
        <f t="shared" si="28"/>
        <v>1</v>
      </c>
      <c r="N615">
        <f t="shared" si="29"/>
        <v>1</v>
      </c>
    </row>
    <row r="616" spans="1:14" x14ac:dyDescent="0.35">
      <c r="A616" t="s">
        <v>2172</v>
      </c>
      <c r="B616" t="s">
        <v>75</v>
      </c>
      <c r="C616" t="s">
        <v>862</v>
      </c>
      <c r="D616">
        <v>136</v>
      </c>
      <c r="E616" t="s">
        <v>13</v>
      </c>
      <c r="F616" s="1">
        <v>44497</v>
      </c>
      <c r="G616" s="1">
        <v>46060</v>
      </c>
      <c r="H616" t="s">
        <v>14</v>
      </c>
      <c r="I616" s="2">
        <v>16983138</v>
      </c>
      <c r="J616">
        <v>266405</v>
      </c>
      <c r="K616" t="s">
        <v>15</v>
      </c>
      <c r="L616" t="str">
        <f t="shared" si="27"/>
        <v>Available</v>
      </c>
      <c r="M616">
        <f t="shared" si="28"/>
        <v>1</v>
      </c>
      <c r="N616">
        <f t="shared" si="29"/>
        <v>1</v>
      </c>
    </row>
    <row r="617" spans="1:14" x14ac:dyDescent="0.35">
      <c r="A617" t="s">
        <v>2173</v>
      </c>
      <c r="B617" t="s">
        <v>156</v>
      </c>
      <c r="C617" t="s">
        <v>863</v>
      </c>
      <c r="D617">
        <v>24</v>
      </c>
      <c r="E617" t="s">
        <v>13</v>
      </c>
      <c r="F617" s="1">
        <v>45434</v>
      </c>
      <c r="G617" s="1">
        <v>46059</v>
      </c>
      <c r="H617" t="s">
        <v>14</v>
      </c>
      <c r="I617" s="2">
        <v>45274659</v>
      </c>
      <c r="J617">
        <v>264567</v>
      </c>
      <c r="K617" t="s">
        <v>15</v>
      </c>
      <c r="L617" t="str">
        <f t="shared" si="27"/>
        <v>Available</v>
      </c>
      <c r="M617">
        <f t="shared" si="28"/>
        <v>1</v>
      </c>
      <c r="N617">
        <f t="shared" si="29"/>
        <v>1</v>
      </c>
    </row>
    <row r="618" spans="1:14" x14ac:dyDescent="0.35">
      <c r="A618" t="s">
        <v>2174</v>
      </c>
      <c r="B618" t="s">
        <v>25</v>
      </c>
      <c r="C618" t="s">
        <v>864</v>
      </c>
      <c r="D618">
        <v>135</v>
      </c>
      <c r="E618" t="s">
        <v>13</v>
      </c>
      <c r="F618" s="1">
        <v>44497</v>
      </c>
      <c r="G618" s="1">
        <v>46058</v>
      </c>
      <c r="H618" t="s">
        <v>14</v>
      </c>
      <c r="I618" t="s">
        <v>2778</v>
      </c>
      <c r="J618">
        <v>266561</v>
      </c>
      <c r="K618" t="s">
        <v>30</v>
      </c>
      <c r="L618" t="str">
        <f t="shared" si="27"/>
        <v>Available</v>
      </c>
      <c r="M618">
        <f t="shared" si="28"/>
        <v>0</v>
      </c>
      <c r="N618">
        <f t="shared" si="29"/>
        <v>1</v>
      </c>
    </row>
    <row r="619" spans="1:14" x14ac:dyDescent="0.35">
      <c r="A619" t="s">
        <v>2175</v>
      </c>
      <c r="B619" t="s">
        <v>19</v>
      </c>
      <c r="C619" t="s">
        <v>865</v>
      </c>
      <c r="D619">
        <v>24</v>
      </c>
      <c r="E619" t="s">
        <v>13</v>
      </c>
      <c r="F619" s="1">
        <v>44497</v>
      </c>
      <c r="G619" s="1">
        <v>46060</v>
      </c>
      <c r="H619" t="s">
        <v>14</v>
      </c>
      <c r="I619" s="2">
        <v>91465</v>
      </c>
      <c r="J619">
        <v>264280</v>
      </c>
      <c r="K619" t="s">
        <v>15</v>
      </c>
      <c r="L619" t="str">
        <f t="shared" si="27"/>
        <v>Available</v>
      </c>
      <c r="M619">
        <f t="shared" si="28"/>
        <v>1</v>
      </c>
      <c r="N619">
        <f t="shared" si="29"/>
        <v>1</v>
      </c>
    </row>
    <row r="620" spans="1:14" x14ac:dyDescent="0.35">
      <c r="A620" t="s">
        <v>2176</v>
      </c>
      <c r="B620" t="s">
        <v>481</v>
      </c>
      <c r="C620" t="s">
        <v>866</v>
      </c>
      <c r="D620">
        <v>25</v>
      </c>
      <c r="E620" t="s">
        <v>13</v>
      </c>
      <c r="F620" s="1">
        <v>44497</v>
      </c>
      <c r="G620" s="1">
        <v>46058</v>
      </c>
      <c r="H620" t="s">
        <v>14</v>
      </c>
      <c r="I620" s="2">
        <v>23525761</v>
      </c>
      <c r="J620">
        <v>261739</v>
      </c>
      <c r="K620" t="s">
        <v>15</v>
      </c>
      <c r="L620" t="str">
        <f t="shared" si="27"/>
        <v>Available</v>
      </c>
      <c r="M620">
        <f t="shared" si="28"/>
        <v>1</v>
      </c>
      <c r="N620">
        <f t="shared" si="29"/>
        <v>1</v>
      </c>
    </row>
    <row r="621" spans="1:14" x14ac:dyDescent="0.35">
      <c r="A621" t="s">
        <v>2177</v>
      </c>
      <c r="B621" t="s">
        <v>91</v>
      </c>
      <c r="C621" t="s">
        <v>861</v>
      </c>
      <c r="D621">
        <v>32</v>
      </c>
      <c r="E621" t="s">
        <v>13</v>
      </c>
      <c r="F621" s="1">
        <v>44497</v>
      </c>
      <c r="G621" s="1">
        <v>46057</v>
      </c>
      <c r="H621" t="s">
        <v>14</v>
      </c>
      <c r="I621" s="2">
        <v>29373236</v>
      </c>
      <c r="J621">
        <v>264226</v>
      </c>
      <c r="K621" t="s">
        <v>15</v>
      </c>
      <c r="L621" t="str">
        <f t="shared" si="27"/>
        <v>Available</v>
      </c>
      <c r="M621">
        <f t="shared" si="28"/>
        <v>1</v>
      </c>
      <c r="N621">
        <f t="shared" si="29"/>
        <v>1</v>
      </c>
    </row>
    <row r="622" spans="1:14" x14ac:dyDescent="0.35">
      <c r="A622" t="s">
        <v>2178</v>
      </c>
      <c r="B622" t="s">
        <v>628</v>
      </c>
      <c r="C622" t="s">
        <v>867</v>
      </c>
      <c r="D622">
        <v>24</v>
      </c>
      <c r="E622" t="s">
        <v>13</v>
      </c>
      <c r="F622" s="1">
        <v>44937</v>
      </c>
      <c r="G622" s="1">
        <v>46055</v>
      </c>
      <c r="H622" t="s">
        <v>14</v>
      </c>
      <c r="I622" t="s">
        <v>2778</v>
      </c>
      <c r="J622">
        <v>261483</v>
      </c>
      <c r="K622" t="s">
        <v>30</v>
      </c>
      <c r="L622" t="str">
        <f t="shared" si="27"/>
        <v>Available</v>
      </c>
      <c r="M622">
        <f t="shared" si="28"/>
        <v>0</v>
      </c>
      <c r="N622">
        <f t="shared" si="29"/>
        <v>1</v>
      </c>
    </row>
    <row r="623" spans="1:14" x14ac:dyDescent="0.35">
      <c r="A623" t="s">
        <v>2179</v>
      </c>
      <c r="B623" t="s">
        <v>278</v>
      </c>
      <c r="C623" t="s">
        <v>868</v>
      </c>
      <c r="D623">
        <v>25.5</v>
      </c>
      <c r="E623" t="s">
        <v>13</v>
      </c>
      <c r="F623" s="1">
        <v>44497</v>
      </c>
      <c r="G623" s="1">
        <v>46059</v>
      </c>
      <c r="H623" t="s">
        <v>14</v>
      </c>
      <c r="I623" s="2">
        <v>24830</v>
      </c>
      <c r="J623">
        <v>264207</v>
      </c>
      <c r="K623" t="s">
        <v>15</v>
      </c>
      <c r="L623" t="str">
        <f t="shared" si="27"/>
        <v>Available</v>
      </c>
      <c r="M623">
        <f t="shared" si="28"/>
        <v>1</v>
      </c>
      <c r="N623">
        <f t="shared" si="29"/>
        <v>1</v>
      </c>
    </row>
    <row r="624" spans="1:14" x14ac:dyDescent="0.35">
      <c r="A624" t="s">
        <v>2180</v>
      </c>
      <c r="B624" t="s">
        <v>870</v>
      </c>
      <c r="C624" t="s">
        <v>869</v>
      </c>
      <c r="D624">
        <v>24</v>
      </c>
      <c r="E624" t="s">
        <v>13</v>
      </c>
      <c r="F624" s="1">
        <v>44497</v>
      </c>
      <c r="G624" s="1">
        <v>45785</v>
      </c>
      <c r="H624" t="s">
        <v>14</v>
      </c>
      <c r="I624" t="s">
        <v>2778</v>
      </c>
      <c r="J624">
        <v>262044</v>
      </c>
      <c r="K624" t="s">
        <v>30</v>
      </c>
      <c r="L624" t="str">
        <f t="shared" si="27"/>
        <v>Available</v>
      </c>
      <c r="M624">
        <f t="shared" si="28"/>
        <v>0</v>
      </c>
      <c r="N624">
        <f t="shared" si="29"/>
        <v>1</v>
      </c>
    </row>
    <row r="625" spans="1:14" x14ac:dyDescent="0.35">
      <c r="A625" t="s">
        <v>2181</v>
      </c>
      <c r="B625" t="s">
        <v>84</v>
      </c>
      <c r="C625" t="s">
        <v>871</v>
      </c>
      <c r="D625">
        <v>24</v>
      </c>
      <c r="E625" t="s">
        <v>13</v>
      </c>
      <c r="F625" s="1">
        <v>44497</v>
      </c>
      <c r="G625" s="1">
        <v>46056</v>
      </c>
      <c r="H625" t="s">
        <v>14</v>
      </c>
      <c r="I625" s="2">
        <v>16743249</v>
      </c>
      <c r="J625">
        <v>264119</v>
      </c>
      <c r="K625" t="s">
        <v>15</v>
      </c>
      <c r="L625" t="str">
        <f t="shared" si="27"/>
        <v>Available</v>
      </c>
      <c r="M625">
        <f t="shared" si="28"/>
        <v>1</v>
      </c>
      <c r="N625">
        <f t="shared" si="29"/>
        <v>1</v>
      </c>
    </row>
    <row r="626" spans="1:14" x14ac:dyDescent="0.35">
      <c r="A626" t="s">
        <v>2182</v>
      </c>
      <c r="B626" t="s">
        <v>690</v>
      </c>
      <c r="C626" t="s">
        <v>872</v>
      </c>
      <c r="D626">
        <v>24</v>
      </c>
      <c r="E626" t="s">
        <v>13</v>
      </c>
      <c r="F626" s="1">
        <v>44497</v>
      </c>
      <c r="G626" s="1">
        <v>46059</v>
      </c>
      <c r="H626" t="s">
        <v>14</v>
      </c>
      <c r="I626" s="2">
        <v>18474763</v>
      </c>
      <c r="J626">
        <v>264081</v>
      </c>
      <c r="K626" t="s">
        <v>15</v>
      </c>
      <c r="L626" t="str">
        <f t="shared" si="27"/>
        <v>Available</v>
      </c>
      <c r="M626">
        <f t="shared" si="28"/>
        <v>1</v>
      </c>
      <c r="N626">
        <f t="shared" si="29"/>
        <v>1</v>
      </c>
    </row>
    <row r="627" spans="1:14" x14ac:dyDescent="0.35">
      <c r="A627" t="s">
        <v>2183</v>
      </c>
      <c r="B627" t="s">
        <v>439</v>
      </c>
      <c r="C627" t="s">
        <v>873</v>
      </c>
      <c r="D627">
        <v>24</v>
      </c>
      <c r="E627" t="s">
        <v>13</v>
      </c>
      <c r="F627" s="1">
        <v>44497</v>
      </c>
      <c r="G627" s="1">
        <v>46059</v>
      </c>
      <c r="H627" t="s">
        <v>14</v>
      </c>
      <c r="I627" s="2">
        <v>16987092</v>
      </c>
      <c r="J627">
        <v>261687</v>
      </c>
      <c r="K627" t="s">
        <v>15</v>
      </c>
      <c r="L627" t="str">
        <f t="shared" si="27"/>
        <v>Available</v>
      </c>
      <c r="M627">
        <f t="shared" si="28"/>
        <v>1</v>
      </c>
      <c r="N627">
        <f t="shared" si="29"/>
        <v>1</v>
      </c>
    </row>
    <row r="628" spans="1:14" x14ac:dyDescent="0.35">
      <c r="A628" t="s">
        <v>2184</v>
      </c>
      <c r="B628" t="s">
        <v>875</v>
      </c>
      <c r="C628" t="s">
        <v>874</v>
      </c>
      <c r="D628">
        <v>24</v>
      </c>
      <c r="E628" t="s">
        <v>13</v>
      </c>
      <c r="F628" s="1">
        <v>44713</v>
      </c>
      <c r="G628" s="1">
        <v>46057</v>
      </c>
      <c r="H628" t="s">
        <v>14</v>
      </c>
      <c r="I628" s="2">
        <v>21461326</v>
      </c>
      <c r="J628">
        <v>264728</v>
      </c>
      <c r="K628" t="s">
        <v>15</v>
      </c>
      <c r="L628" t="str">
        <f t="shared" si="27"/>
        <v>Available</v>
      </c>
      <c r="M628">
        <f t="shared" si="28"/>
        <v>1</v>
      </c>
      <c r="N628">
        <f t="shared" si="29"/>
        <v>1</v>
      </c>
    </row>
    <row r="629" spans="1:14" x14ac:dyDescent="0.35">
      <c r="A629" t="s">
        <v>2185</v>
      </c>
      <c r="C629" t="s">
        <v>876</v>
      </c>
      <c r="D629">
        <v>24</v>
      </c>
      <c r="E629" t="s">
        <v>13</v>
      </c>
      <c r="F629" s="1">
        <v>44500</v>
      </c>
      <c r="G629" s="1">
        <v>45952</v>
      </c>
      <c r="H629" t="s">
        <v>14</v>
      </c>
      <c r="I629" t="s">
        <v>2778</v>
      </c>
      <c r="J629">
        <v>264700</v>
      </c>
      <c r="K629" t="s">
        <v>30</v>
      </c>
      <c r="L629" t="str">
        <f t="shared" si="27"/>
        <v>Missing</v>
      </c>
      <c r="M629">
        <f t="shared" si="28"/>
        <v>0</v>
      </c>
      <c r="N629">
        <f t="shared" si="29"/>
        <v>0</v>
      </c>
    </row>
    <row r="630" spans="1:14" x14ac:dyDescent="0.35">
      <c r="A630" t="s">
        <v>2186</v>
      </c>
      <c r="B630" t="s">
        <v>878</v>
      </c>
      <c r="C630" t="s">
        <v>877</v>
      </c>
      <c r="D630">
        <v>45</v>
      </c>
      <c r="E630" t="s">
        <v>13</v>
      </c>
      <c r="F630" s="1">
        <v>44497</v>
      </c>
      <c r="G630" s="1">
        <v>46058</v>
      </c>
      <c r="H630" t="s">
        <v>14</v>
      </c>
      <c r="I630" s="2">
        <v>3240151</v>
      </c>
      <c r="J630">
        <v>266392</v>
      </c>
      <c r="K630" t="s">
        <v>15</v>
      </c>
      <c r="L630" t="str">
        <f t="shared" si="27"/>
        <v>Available</v>
      </c>
      <c r="M630">
        <f t="shared" si="28"/>
        <v>1</v>
      </c>
      <c r="N630">
        <f t="shared" si="29"/>
        <v>1</v>
      </c>
    </row>
    <row r="631" spans="1:14" x14ac:dyDescent="0.35">
      <c r="A631" t="s">
        <v>2187</v>
      </c>
      <c r="B631" t="s">
        <v>242</v>
      </c>
      <c r="C631" t="s">
        <v>879</v>
      </c>
      <c r="D631">
        <v>32</v>
      </c>
      <c r="E631" t="s">
        <v>13</v>
      </c>
      <c r="F631" s="1">
        <v>44500</v>
      </c>
      <c r="G631" s="1">
        <v>46059</v>
      </c>
      <c r="H631" t="s">
        <v>14</v>
      </c>
      <c r="I631" s="2">
        <v>227975</v>
      </c>
      <c r="J631">
        <v>262280</v>
      </c>
      <c r="K631" t="s">
        <v>15</v>
      </c>
      <c r="L631" t="str">
        <f t="shared" si="27"/>
        <v>Available</v>
      </c>
      <c r="M631">
        <f t="shared" si="28"/>
        <v>1</v>
      </c>
      <c r="N631">
        <f t="shared" si="29"/>
        <v>1</v>
      </c>
    </row>
    <row r="632" spans="1:14" x14ac:dyDescent="0.35">
      <c r="A632" t="s">
        <v>2188</v>
      </c>
      <c r="C632" t="s">
        <v>880</v>
      </c>
      <c r="D632">
        <v>12</v>
      </c>
      <c r="E632" t="s">
        <v>13</v>
      </c>
      <c r="F632" s="1">
        <v>45466</v>
      </c>
      <c r="G632" s="1">
        <v>46058</v>
      </c>
      <c r="H632" t="s">
        <v>14</v>
      </c>
      <c r="I632" t="s">
        <v>2778</v>
      </c>
      <c r="J632">
        <v>261529</v>
      </c>
      <c r="K632" t="s">
        <v>30</v>
      </c>
      <c r="L632" t="str">
        <f t="shared" si="27"/>
        <v>Missing</v>
      </c>
      <c r="M632">
        <f t="shared" si="28"/>
        <v>0</v>
      </c>
      <c r="N632">
        <f t="shared" si="29"/>
        <v>0</v>
      </c>
    </row>
    <row r="633" spans="1:14" x14ac:dyDescent="0.35">
      <c r="A633" t="s">
        <v>2189</v>
      </c>
      <c r="B633" t="s">
        <v>261</v>
      </c>
      <c r="C633" t="s">
        <v>881</v>
      </c>
      <c r="D633">
        <v>22.993169999999999</v>
      </c>
      <c r="E633" t="s">
        <v>35</v>
      </c>
      <c r="F633" s="1">
        <v>45233</v>
      </c>
      <c r="G633" s="1">
        <v>45995</v>
      </c>
      <c r="H633" t="s">
        <v>14</v>
      </c>
      <c r="I633" t="s">
        <v>2778</v>
      </c>
      <c r="J633">
        <v>264322</v>
      </c>
      <c r="K633" t="s">
        <v>30</v>
      </c>
      <c r="L633" t="str">
        <f t="shared" si="27"/>
        <v>Available</v>
      </c>
      <c r="M633">
        <f t="shared" si="28"/>
        <v>0</v>
      </c>
      <c r="N633">
        <f t="shared" si="29"/>
        <v>1</v>
      </c>
    </row>
    <row r="634" spans="1:14" x14ac:dyDescent="0.35">
      <c r="A634" t="s">
        <v>2190</v>
      </c>
      <c r="B634" t="s">
        <v>19</v>
      </c>
      <c r="C634" t="s">
        <v>882</v>
      </c>
      <c r="D634">
        <v>24</v>
      </c>
      <c r="E634" t="s">
        <v>13</v>
      </c>
      <c r="F634" s="1">
        <v>44497</v>
      </c>
      <c r="G634" s="1">
        <v>46060</v>
      </c>
      <c r="H634" t="s">
        <v>14</v>
      </c>
      <c r="I634" s="2">
        <v>24808</v>
      </c>
      <c r="J634">
        <v>261749</v>
      </c>
      <c r="K634" t="s">
        <v>15</v>
      </c>
      <c r="L634" t="str">
        <f t="shared" si="27"/>
        <v>Available</v>
      </c>
      <c r="M634">
        <f t="shared" si="28"/>
        <v>1</v>
      </c>
      <c r="N634">
        <f t="shared" si="29"/>
        <v>1</v>
      </c>
    </row>
    <row r="635" spans="1:14" x14ac:dyDescent="0.35">
      <c r="A635" t="s">
        <v>2191</v>
      </c>
      <c r="C635" t="s">
        <v>883</v>
      </c>
      <c r="D635">
        <v>12.5</v>
      </c>
      <c r="E635" t="s">
        <v>13</v>
      </c>
      <c r="F635" s="1">
        <v>44551</v>
      </c>
      <c r="G635" s="1">
        <v>46059</v>
      </c>
      <c r="H635" t="s">
        <v>14</v>
      </c>
      <c r="I635" s="2">
        <v>25531376</v>
      </c>
      <c r="J635">
        <v>264374</v>
      </c>
      <c r="K635" t="s">
        <v>15</v>
      </c>
      <c r="L635" t="str">
        <f t="shared" si="27"/>
        <v>Missing</v>
      </c>
      <c r="M635">
        <f t="shared" si="28"/>
        <v>1</v>
      </c>
      <c r="N635">
        <f t="shared" si="29"/>
        <v>0</v>
      </c>
    </row>
    <row r="636" spans="1:14" x14ac:dyDescent="0.35">
      <c r="A636" t="s">
        <v>2192</v>
      </c>
      <c r="B636" t="s">
        <v>885</v>
      </c>
      <c r="C636" t="s">
        <v>884</v>
      </c>
      <c r="D636">
        <v>1</v>
      </c>
      <c r="E636" t="s">
        <v>13</v>
      </c>
      <c r="F636" s="1">
        <v>44497</v>
      </c>
      <c r="G636" s="1">
        <v>46059</v>
      </c>
      <c r="H636" t="s">
        <v>14</v>
      </c>
      <c r="I636" s="2">
        <v>1860340</v>
      </c>
      <c r="J636">
        <v>264376</v>
      </c>
      <c r="K636" t="s">
        <v>15</v>
      </c>
      <c r="L636" t="str">
        <f t="shared" si="27"/>
        <v>Available</v>
      </c>
      <c r="M636">
        <f t="shared" si="28"/>
        <v>1</v>
      </c>
      <c r="N636">
        <f t="shared" si="29"/>
        <v>1</v>
      </c>
    </row>
    <row r="637" spans="1:14" x14ac:dyDescent="0.35">
      <c r="A637" t="s">
        <v>2193</v>
      </c>
      <c r="B637" t="s">
        <v>420</v>
      </c>
      <c r="C637" t="s">
        <v>886</v>
      </c>
      <c r="F637" s="1">
        <v>44866</v>
      </c>
      <c r="G637" s="1">
        <v>45099</v>
      </c>
      <c r="H637" t="s">
        <v>14</v>
      </c>
      <c r="I637" t="s">
        <v>2778</v>
      </c>
      <c r="J637">
        <v>261485</v>
      </c>
      <c r="K637" t="s">
        <v>30</v>
      </c>
      <c r="L637" t="str">
        <f t="shared" si="27"/>
        <v>Available</v>
      </c>
      <c r="M637">
        <f t="shared" si="28"/>
        <v>0</v>
      </c>
      <c r="N637">
        <f t="shared" si="29"/>
        <v>1</v>
      </c>
    </row>
    <row r="638" spans="1:14" x14ac:dyDescent="0.35">
      <c r="A638" t="s">
        <v>2194</v>
      </c>
      <c r="B638" t="s">
        <v>25</v>
      </c>
      <c r="C638" t="s">
        <v>887</v>
      </c>
      <c r="D638">
        <v>23</v>
      </c>
      <c r="E638" t="s">
        <v>13</v>
      </c>
      <c r="F638" s="1">
        <v>44497</v>
      </c>
      <c r="G638" s="1">
        <v>46055</v>
      </c>
      <c r="H638" t="s">
        <v>14</v>
      </c>
      <c r="I638" t="s">
        <v>2778</v>
      </c>
      <c r="J638">
        <v>266854</v>
      </c>
      <c r="K638" t="s">
        <v>30</v>
      </c>
      <c r="L638" t="str">
        <f t="shared" si="27"/>
        <v>Available</v>
      </c>
      <c r="M638">
        <f t="shared" si="28"/>
        <v>0</v>
      </c>
      <c r="N638">
        <f t="shared" si="29"/>
        <v>1</v>
      </c>
    </row>
    <row r="639" spans="1:14" x14ac:dyDescent="0.35">
      <c r="A639" t="s">
        <v>2195</v>
      </c>
      <c r="B639" t="s">
        <v>316</v>
      </c>
      <c r="C639" t="s">
        <v>888</v>
      </c>
      <c r="D639">
        <v>16.5</v>
      </c>
      <c r="E639" t="s">
        <v>13</v>
      </c>
      <c r="F639" s="1">
        <v>45141</v>
      </c>
      <c r="G639" s="1">
        <v>46059</v>
      </c>
      <c r="H639" t="s">
        <v>14</v>
      </c>
      <c r="I639" s="2">
        <v>35586581</v>
      </c>
      <c r="J639">
        <v>264732</v>
      </c>
      <c r="K639" t="s">
        <v>15</v>
      </c>
      <c r="L639" t="str">
        <f t="shared" si="27"/>
        <v>Available</v>
      </c>
      <c r="M639">
        <f t="shared" si="28"/>
        <v>1</v>
      </c>
      <c r="N639">
        <f t="shared" si="29"/>
        <v>1</v>
      </c>
    </row>
    <row r="640" spans="1:14" x14ac:dyDescent="0.35">
      <c r="A640" t="s">
        <v>2196</v>
      </c>
      <c r="B640" t="s">
        <v>47</v>
      </c>
      <c r="C640" t="s">
        <v>889</v>
      </c>
      <c r="D640">
        <v>24</v>
      </c>
      <c r="E640" t="s">
        <v>13</v>
      </c>
      <c r="F640" s="1">
        <v>45013</v>
      </c>
      <c r="G640" s="1">
        <v>46060</v>
      </c>
      <c r="H640" t="s">
        <v>14</v>
      </c>
      <c r="I640" s="2">
        <v>29391723</v>
      </c>
      <c r="J640">
        <v>261819</v>
      </c>
      <c r="K640" t="s">
        <v>15</v>
      </c>
      <c r="L640" t="str">
        <f t="shared" si="27"/>
        <v>Available</v>
      </c>
      <c r="M640">
        <f t="shared" si="28"/>
        <v>1</v>
      </c>
      <c r="N640">
        <f t="shared" si="29"/>
        <v>1</v>
      </c>
    </row>
    <row r="641" spans="1:14" x14ac:dyDescent="0.35">
      <c r="A641" t="s">
        <v>2197</v>
      </c>
      <c r="B641" t="s">
        <v>25</v>
      </c>
      <c r="C641" t="s">
        <v>890</v>
      </c>
      <c r="D641">
        <v>45</v>
      </c>
      <c r="E641" t="s">
        <v>13</v>
      </c>
      <c r="F641" s="1">
        <v>44503</v>
      </c>
      <c r="G641" s="1">
        <v>46060</v>
      </c>
      <c r="H641" t="s">
        <v>14</v>
      </c>
      <c r="I641" s="2">
        <v>20020258</v>
      </c>
      <c r="J641">
        <v>267085</v>
      </c>
      <c r="K641" t="s">
        <v>15</v>
      </c>
      <c r="L641" t="str">
        <f t="shared" si="27"/>
        <v>Available</v>
      </c>
      <c r="M641">
        <f t="shared" si="28"/>
        <v>1</v>
      </c>
      <c r="N641">
        <f t="shared" si="29"/>
        <v>1</v>
      </c>
    </row>
    <row r="642" spans="1:14" x14ac:dyDescent="0.35">
      <c r="A642" t="s">
        <v>2198</v>
      </c>
      <c r="B642" t="s">
        <v>19</v>
      </c>
      <c r="C642" t="s">
        <v>891</v>
      </c>
      <c r="D642">
        <v>32</v>
      </c>
      <c r="E642" t="s">
        <v>13</v>
      </c>
      <c r="F642" s="1">
        <v>44497</v>
      </c>
      <c r="G642" s="1">
        <v>46060</v>
      </c>
      <c r="H642" t="s">
        <v>14</v>
      </c>
      <c r="I642" s="2">
        <v>24809</v>
      </c>
      <c r="J642">
        <v>264298</v>
      </c>
      <c r="K642" t="s">
        <v>15</v>
      </c>
      <c r="L642" t="str">
        <f t="shared" si="27"/>
        <v>Available</v>
      </c>
      <c r="M642">
        <f t="shared" si="28"/>
        <v>1</v>
      </c>
      <c r="N642">
        <f t="shared" si="29"/>
        <v>1</v>
      </c>
    </row>
    <row r="643" spans="1:14" x14ac:dyDescent="0.35">
      <c r="A643" t="s">
        <v>2199</v>
      </c>
      <c r="C643" t="s">
        <v>892</v>
      </c>
      <c r="D643">
        <v>24</v>
      </c>
      <c r="E643" t="s">
        <v>13</v>
      </c>
      <c r="F643" s="1">
        <v>44697</v>
      </c>
      <c r="G643" s="1">
        <v>46059</v>
      </c>
      <c r="H643" t="s">
        <v>14</v>
      </c>
      <c r="I643" t="s">
        <v>2778</v>
      </c>
      <c r="J643">
        <v>264646</v>
      </c>
      <c r="K643" t="s">
        <v>30</v>
      </c>
      <c r="L643" t="str">
        <f t="shared" ref="L643:L706" si="30">IF(OR(B643="",ISBLANK(B643)),"Missing","Available")</f>
        <v>Missing</v>
      </c>
      <c r="M643">
        <f t="shared" ref="M643:M706" si="31">IF(K643="Mapped",1,0)</f>
        <v>0</v>
      </c>
      <c r="N643">
        <f t="shared" ref="N643:N706" si="32">IF(AND(B643&lt;&gt;"",A643&lt;&gt;""),1,0)</f>
        <v>0</v>
      </c>
    </row>
    <row r="644" spans="1:14" x14ac:dyDescent="0.35">
      <c r="A644" t="s">
        <v>2200</v>
      </c>
      <c r="B644" t="s">
        <v>158</v>
      </c>
      <c r="C644" t="s">
        <v>893</v>
      </c>
      <c r="D644">
        <v>25</v>
      </c>
      <c r="E644" t="s">
        <v>13</v>
      </c>
      <c r="F644" s="1">
        <v>44497</v>
      </c>
      <c r="G644" s="1">
        <v>46059</v>
      </c>
      <c r="H644" t="s">
        <v>14</v>
      </c>
      <c r="I644" s="2">
        <v>53396</v>
      </c>
      <c r="J644">
        <v>262250</v>
      </c>
      <c r="K644" t="s">
        <v>15</v>
      </c>
      <c r="L644" t="str">
        <f t="shared" si="30"/>
        <v>Available</v>
      </c>
      <c r="M644">
        <f t="shared" si="31"/>
        <v>1</v>
      </c>
      <c r="N644">
        <f t="shared" si="32"/>
        <v>1</v>
      </c>
    </row>
    <row r="645" spans="1:14" x14ac:dyDescent="0.35">
      <c r="A645" t="s">
        <v>2201</v>
      </c>
      <c r="B645" t="s">
        <v>895</v>
      </c>
      <c r="C645" t="s">
        <v>894</v>
      </c>
      <c r="D645">
        <v>33</v>
      </c>
      <c r="E645" t="s">
        <v>13</v>
      </c>
      <c r="F645" s="1">
        <v>44497</v>
      </c>
      <c r="G645" s="1">
        <v>46057</v>
      </c>
      <c r="H645" t="s">
        <v>14</v>
      </c>
      <c r="I645" t="s">
        <v>2778</v>
      </c>
      <c r="J645">
        <v>266993</v>
      </c>
      <c r="K645" t="s">
        <v>30</v>
      </c>
      <c r="L645" t="str">
        <f t="shared" si="30"/>
        <v>Available</v>
      </c>
      <c r="M645">
        <f t="shared" si="31"/>
        <v>0</v>
      </c>
      <c r="N645">
        <f t="shared" si="32"/>
        <v>1</v>
      </c>
    </row>
    <row r="646" spans="1:14" x14ac:dyDescent="0.35">
      <c r="A646" t="s">
        <v>2202</v>
      </c>
      <c r="B646" t="s">
        <v>58</v>
      </c>
      <c r="C646" t="s">
        <v>896</v>
      </c>
      <c r="D646">
        <v>24</v>
      </c>
      <c r="E646" t="s">
        <v>13</v>
      </c>
      <c r="F646" s="1">
        <v>44497</v>
      </c>
      <c r="G646" s="1">
        <v>46060</v>
      </c>
      <c r="H646" t="s">
        <v>14</v>
      </c>
      <c r="I646" s="2">
        <v>39367</v>
      </c>
      <c r="J646">
        <v>264560</v>
      </c>
      <c r="K646" t="s">
        <v>15</v>
      </c>
      <c r="L646" t="str">
        <f t="shared" si="30"/>
        <v>Available</v>
      </c>
      <c r="M646">
        <f t="shared" si="31"/>
        <v>1</v>
      </c>
      <c r="N646">
        <f t="shared" si="32"/>
        <v>1</v>
      </c>
    </row>
    <row r="647" spans="1:14" x14ac:dyDescent="0.35">
      <c r="A647" t="s">
        <v>2203</v>
      </c>
      <c r="B647" t="s">
        <v>898</v>
      </c>
      <c r="C647" t="s">
        <v>897</v>
      </c>
      <c r="D647">
        <v>26</v>
      </c>
      <c r="E647" t="s">
        <v>13</v>
      </c>
      <c r="F647" s="1">
        <v>44514</v>
      </c>
      <c r="G647" s="1">
        <v>46055</v>
      </c>
      <c r="H647" t="s">
        <v>14</v>
      </c>
      <c r="I647" t="s">
        <v>2778</v>
      </c>
      <c r="J647">
        <v>264222</v>
      </c>
      <c r="K647" t="s">
        <v>30</v>
      </c>
      <c r="L647" t="str">
        <f t="shared" si="30"/>
        <v>Available</v>
      </c>
      <c r="M647">
        <f t="shared" si="31"/>
        <v>0</v>
      </c>
      <c r="N647">
        <f t="shared" si="32"/>
        <v>1</v>
      </c>
    </row>
    <row r="648" spans="1:14" x14ac:dyDescent="0.35">
      <c r="A648" t="s">
        <v>2204</v>
      </c>
      <c r="B648" t="s">
        <v>186</v>
      </c>
      <c r="C648" t="s">
        <v>899</v>
      </c>
      <c r="D648">
        <v>40</v>
      </c>
      <c r="E648" t="s">
        <v>13</v>
      </c>
      <c r="F648" s="1">
        <v>44499</v>
      </c>
      <c r="G648" s="1">
        <v>46059</v>
      </c>
      <c r="H648" t="s">
        <v>14</v>
      </c>
      <c r="I648" s="2">
        <v>2750364</v>
      </c>
      <c r="J648">
        <v>266495</v>
      </c>
      <c r="K648" t="s">
        <v>15</v>
      </c>
      <c r="L648" t="str">
        <f t="shared" si="30"/>
        <v>Available</v>
      </c>
      <c r="M648">
        <f t="shared" si="31"/>
        <v>1</v>
      </c>
      <c r="N648">
        <f t="shared" si="32"/>
        <v>1</v>
      </c>
    </row>
    <row r="649" spans="1:14" x14ac:dyDescent="0.35">
      <c r="A649" t="s">
        <v>2205</v>
      </c>
      <c r="B649" t="s">
        <v>901</v>
      </c>
      <c r="C649" t="s">
        <v>900</v>
      </c>
      <c r="D649">
        <v>24</v>
      </c>
      <c r="E649" t="s">
        <v>13</v>
      </c>
      <c r="F649" s="1">
        <v>44500</v>
      </c>
      <c r="G649" s="1">
        <v>46059</v>
      </c>
      <c r="H649" t="s">
        <v>14</v>
      </c>
      <c r="I649" s="2">
        <v>19403202</v>
      </c>
      <c r="J649">
        <v>264252</v>
      </c>
      <c r="K649" t="s">
        <v>15</v>
      </c>
      <c r="L649" t="str">
        <f t="shared" si="30"/>
        <v>Available</v>
      </c>
      <c r="M649">
        <f t="shared" si="31"/>
        <v>1</v>
      </c>
      <c r="N649">
        <f t="shared" si="32"/>
        <v>1</v>
      </c>
    </row>
    <row r="650" spans="1:14" x14ac:dyDescent="0.35">
      <c r="A650" t="s">
        <v>2206</v>
      </c>
      <c r="B650" t="s">
        <v>903</v>
      </c>
      <c r="C650" t="s">
        <v>902</v>
      </c>
      <c r="D650">
        <v>24.5</v>
      </c>
      <c r="E650" t="s">
        <v>13</v>
      </c>
      <c r="F650" s="1">
        <v>44500</v>
      </c>
      <c r="G650" s="1">
        <v>46059</v>
      </c>
      <c r="H650" t="s">
        <v>14</v>
      </c>
      <c r="I650" s="2">
        <v>17769586</v>
      </c>
      <c r="J650">
        <v>266453</v>
      </c>
      <c r="K650" t="s">
        <v>15</v>
      </c>
      <c r="L650" t="str">
        <f t="shared" si="30"/>
        <v>Available</v>
      </c>
      <c r="M650">
        <f t="shared" si="31"/>
        <v>1</v>
      </c>
      <c r="N650">
        <f t="shared" si="32"/>
        <v>1</v>
      </c>
    </row>
    <row r="651" spans="1:14" x14ac:dyDescent="0.35">
      <c r="A651" t="s">
        <v>2207</v>
      </c>
      <c r="B651" t="s">
        <v>123</v>
      </c>
      <c r="C651" t="s">
        <v>904</v>
      </c>
      <c r="D651">
        <v>24</v>
      </c>
      <c r="E651" t="s">
        <v>13</v>
      </c>
      <c r="F651" s="1">
        <v>44497</v>
      </c>
      <c r="G651" s="1">
        <v>46059</v>
      </c>
      <c r="H651" t="s">
        <v>14</v>
      </c>
      <c r="I651" s="2">
        <v>91493</v>
      </c>
      <c r="J651">
        <v>264553</v>
      </c>
      <c r="K651" t="s">
        <v>15</v>
      </c>
      <c r="L651" t="str">
        <f t="shared" si="30"/>
        <v>Available</v>
      </c>
      <c r="M651">
        <f t="shared" si="31"/>
        <v>1</v>
      </c>
      <c r="N651">
        <f t="shared" si="32"/>
        <v>1</v>
      </c>
    </row>
    <row r="652" spans="1:14" x14ac:dyDescent="0.35">
      <c r="A652" t="s">
        <v>2208</v>
      </c>
      <c r="B652" t="s">
        <v>906</v>
      </c>
      <c r="C652" t="s">
        <v>905</v>
      </c>
      <c r="D652">
        <v>15</v>
      </c>
      <c r="E652" t="s">
        <v>13</v>
      </c>
      <c r="F652" s="1">
        <v>44497</v>
      </c>
      <c r="G652" s="1">
        <v>46056</v>
      </c>
      <c r="H652" t="s">
        <v>14</v>
      </c>
      <c r="I652" s="2">
        <v>22614730</v>
      </c>
      <c r="J652">
        <v>264277</v>
      </c>
      <c r="K652" t="s">
        <v>15</v>
      </c>
      <c r="L652" t="str">
        <f t="shared" si="30"/>
        <v>Available</v>
      </c>
      <c r="M652">
        <f t="shared" si="31"/>
        <v>1</v>
      </c>
      <c r="N652">
        <f t="shared" si="32"/>
        <v>1</v>
      </c>
    </row>
    <row r="653" spans="1:14" x14ac:dyDescent="0.35">
      <c r="A653" t="s">
        <v>2209</v>
      </c>
      <c r="B653" t="s">
        <v>650</v>
      </c>
      <c r="C653" t="s">
        <v>907</v>
      </c>
      <c r="D653">
        <v>15.3</v>
      </c>
      <c r="E653" t="s">
        <v>13</v>
      </c>
      <c r="F653" s="1">
        <v>44497</v>
      </c>
      <c r="G653" s="1">
        <v>46059</v>
      </c>
      <c r="H653" t="s">
        <v>14</v>
      </c>
      <c r="I653" s="2">
        <v>292703</v>
      </c>
      <c r="J653">
        <v>264531</v>
      </c>
      <c r="K653" t="s">
        <v>15</v>
      </c>
      <c r="L653" t="str">
        <f t="shared" si="30"/>
        <v>Available</v>
      </c>
      <c r="M653">
        <f t="shared" si="31"/>
        <v>1</v>
      </c>
      <c r="N653">
        <f t="shared" si="32"/>
        <v>1</v>
      </c>
    </row>
    <row r="654" spans="1:14" x14ac:dyDescent="0.35">
      <c r="A654" t="s">
        <v>2210</v>
      </c>
      <c r="C654" t="s">
        <v>908</v>
      </c>
      <c r="D654">
        <v>2</v>
      </c>
      <c r="E654" t="s">
        <v>640</v>
      </c>
      <c r="F654" s="1">
        <v>44497</v>
      </c>
      <c r="G654" s="1">
        <v>46058</v>
      </c>
      <c r="H654" t="s">
        <v>14</v>
      </c>
      <c r="I654" s="2">
        <v>19102722</v>
      </c>
      <c r="J654">
        <v>267026</v>
      </c>
      <c r="K654" t="s">
        <v>15</v>
      </c>
      <c r="L654" t="str">
        <f t="shared" si="30"/>
        <v>Missing</v>
      </c>
      <c r="M654">
        <f t="shared" si="31"/>
        <v>1</v>
      </c>
      <c r="N654">
        <f t="shared" si="32"/>
        <v>0</v>
      </c>
    </row>
    <row r="655" spans="1:14" x14ac:dyDescent="0.35">
      <c r="A655" t="s">
        <v>2211</v>
      </c>
      <c r="B655" t="s">
        <v>152</v>
      </c>
      <c r="C655" t="s">
        <v>909</v>
      </c>
      <c r="D655">
        <v>24</v>
      </c>
      <c r="E655" t="s">
        <v>13</v>
      </c>
      <c r="F655" s="1">
        <v>44497</v>
      </c>
      <c r="G655" s="1">
        <v>46057</v>
      </c>
      <c r="H655" t="s">
        <v>14</v>
      </c>
      <c r="I655" t="s">
        <v>2778</v>
      </c>
      <c r="J655">
        <v>264074</v>
      </c>
      <c r="K655" t="s">
        <v>30</v>
      </c>
      <c r="L655" t="str">
        <f t="shared" si="30"/>
        <v>Available</v>
      </c>
      <c r="M655">
        <f t="shared" si="31"/>
        <v>0</v>
      </c>
      <c r="N655">
        <f t="shared" si="32"/>
        <v>1</v>
      </c>
    </row>
    <row r="656" spans="1:14" x14ac:dyDescent="0.35">
      <c r="A656" t="s">
        <v>2212</v>
      </c>
      <c r="B656" t="s">
        <v>521</v>
      </c>
      <c r="C656" t="s">
        <v>910</v>
      </c>
      <c r="D656">
        <v>36</v>
      </c>
      <c r="E656" t="s">
        <v>13</v>
      </c>
      <c r="F656" s="1">
        <v>44497</v>
      </c>
      <c r="G656" s="1">
        <v>46059</v>
      </c>
      <c r="H656" t="s">
        <v>14</v>
      </c>
      <c r="I656" s="2">
        <v>2631968</v>
      </c>
      <c r="J656">
        <v>266568</v>
      </c>
      <c r="K656" t="s">
        <v>15</v>
      </c>
      <c r="L656" t="str">
        <f t="shared" si="30"/>
        <v>Available</v>
      </c>
      <c r="M656">
        <f t="shared" si="31"/>
        <v>1</v>
      </c>
      <c r="N656">
        <f t="shared" si="32"/>
        <v>1</v>
      </c>
    </row>
    <row r="657" spans="1:14" x14ac:dyDescent="0.35">
      <c r="A657" t="s">
        <v>2213</v>
      </c>
      <c r="B657" t="s">
        <v>912</v>
      </c>
      <c r="C657" t="s">
        <v>911</v>
      </c>
      <c r="D657">
        <v>25</v>
      </c>
      <c r="E657" t="s">
        <v>13</v>
      </c>
      <c r="F657" s="1">
        <v>45364</v>
      </c>
      <c r="G657" s="1">
        <v>46059</v>
      </c>
      <c r="H657" t="s">
        <v>14</v>
      </c>
      <c r="I657" s="2">
        <v>32558227</v>
      </c>
      <c r="J657">
        <v>264327</v>
      </c>
      <c r="K657" t="s">
        <v>15</v>
      </c>
      <c r="L657" t="str">
        <f t="shared" si="30"/>
        <v>Available</v>
      </c>
      <c r="M657">
        <f t="shared" si="31"/>
        <v>1</v>
      </c>
      <c r="N657">
        <f t="shared" si="32"/>
        <v>1</v>
      </c>
    </row>
    <row r="658" spans="1:14" x14ac:dyDescent="0.35">
      <c r="A658" t="s">
        <v>2214</v>
      </c>
      <c r="B658" t="s">
        <v>71</v>
      </c>
      <c r="C658" t="s">
        <v>913</v>
      </c>
      <c r="D658">
        <v>22.993169999999999</v>
      </c>
      <c r="E658" t="s">
        <v>35</v>
      </c>
      <c r="F658" s="1">
        <v>44497</v>
      </c>
      <c r="G658" s="1">
        <v>46058</v>
      </c>
      <c r="H658" t="s">
        <v>14</v>
      </c>
      <c r="I658" t="s">
        <v>2778</v>
      </c>
      <c r="J658">
        <v>267000</v>
      </c>
      <c r="K658" t="s">
        <v>30</v>
      </c>
      <c r="L658" t="str">
        <f t="shared" si="30"/>
        <v>Available</v>
      </c>
      <c r="M658">
        <f t="shared" si="31"/>
        <v>0</v>
      </c>
      <c r="N658">
        <f t="shared" si="32"/>
        <v>1</v>
      </c>
    </row>
    <row r="659" spans="1:14" x14ac:dyDescent="0.35">
      <c r="A659" t="s">
        <v>2215</v>
      </c>
      <c r="B659" t="s">
        <v>915</v>
      </c>
      <c r="C659" t="s">
        <v>914</v>
      </c>
      <c r="D659">
        <v>12.88</v>
      </c>
      <c r="E659" t="s">
        <v>13</v>
      </c>
      <c r="F659" s="1">
        <v>44854</v>
      </c>
      <c r="G659" s="1">
        <v>46056</v>
      </c>
      <c r="H659" t="s">
        <v>14</v>
      </c>
      <c r="I659" s="2">
        <v>28724900</v>
      </c>
      <c r="J659">
        <v>267093</v>
      </c>
      <c r="K659" t="s">
        <v>15</v>
      </c>
      <c r="L659" t="str">
        <f t="shared" si="30"/>
        <v>Available</v>
      </c>
      <c r="M659">
        <f t="shared" si="31"/>
        <v>1</v>
      </c>
      <c r="N659">
        <f t="shared" si="32"/>
        <v>1</v>
      </c>
    </row>
    <row r="660" spans="1:14" x14ac:dyDescent="0.35">
      <c r="A660" t="s">
        <v>2216</v>
      </c>
      <c r="B660" t="s">
        <v>82</v>
      </c>
      <c r="C660" t="s">
        <v>916</v>
      </c>
      <c r="D660">
        <v>32</v>
      </c>
      <c r="E660" t="s">
        <v>13</v>
      </c>
      <c r="F660" s="1">
        <v>44497</v>
      </c>
      <c r="G660" s="1">
        <v>46058</v>
      </c>
      <c r="H660" t="s">
        <v>14</v>
      </c>
      <c r="I660" s="2">
        <v>21008214</v>
      </c>
      <c r="J660">
        <v>262157</v>
      </c>
      <c r="K660" t="s">
        <v>15</v>
      </c>
      <c r="L660" t="str">
        <f t="shared" si="30"/>
        <v>Available</v>
      </c>
      <c r="M660">
        <f t="shared" si="31"/>
        <v>1</v>
      </c>
      <c r="N660">
        <f t="shared" si="32"/>
        <v>1</v>
      </c>
    </row>
    <row r="661" spans="1:14" x14ac:dyDescent="0.35">
      <c r="A661" t="s">
        <v>2217</v>
      </c>
      <c r="B661" t="s">
        <v>12</v>
      </c>
      <c r="C661" t="s">
        <v>917</v>
      </c>
      <c r="D661">
        <v>23.5</v>
      </c>
      <c r="E661" t="s">
        <v>13</v>
      </c>
      <c r="F661" s="1">
        <v>44497</v>
      </c>
      <c r="G661" s="1">
        <v>46059</v>
      </c>
      <c r="H661" t="s">
        <v>14</v>
      </c>
      <c r="I661" s="2">
        <v>73922</v>
      </c>
      <c r="J661">
        <v>262190</v>
      </c>
      <c r="K661" t="s">
        <v>15</v>
      </c>
      <c r="L661" t="str">
        <f t="shared" si="30"/>
        <v>Available</v>
      </c>
      <c r="M661">
        <f t="shared" si="31"/>
        <v>1</v>
      </c>
      <c r="N661">
        <f t="shared" si="32"/>
        <v>1</v>
      </c>
    </row>
    <row r="662" spans="1:14" x14ac:dyDescent="0.35">
      <c r="A662" t="s">
        <v>2218</v>
      </c>
      <c r="B662" t="s">
        <v>112</v>
      </c>
      <c r="C662" t="s">
        <v>918</v>
      </c>
      <c r="D662">
        <v>23.5</v>
      </c>
      <c r="E662" t="s">
        <v>13</v>
      </c>
      <c r="F662" s="1">
        <v>44822</v>
      </c>
      <c r="G662" s="1">
        <v>46059</v>
      </c>
      <c r="H662" t="s">
        <v>14</v>
      </c>
      <c r="I662" s="2">
        <v>27760975</v>
      </c>
      <c r="J662">
        <v>261616</v>
      </c>
      <c r="K662" t="s">
        <v>15</v>
      </c>
      <c r="L662" t="str">
        <f t="shared" si="30"/>
        <v>Available</v>
      </c>
      <c r="M662">
        <f t="shared" si="31"/>
        <v>1</v>
      </c>
      <c r="N662">
        <f t="shared" si="32"/>
        <v>1</v>
      </c>
    </row>
    <row r="663" spans="1:14" x14ac:dyDescent="0.35">
      <c r="A663" t="s">
        <v>2219</v>
      </c>
      <c r="C663" t="s">
        <v>919</v>
      </c>
      <c r="D663">
        <v>16</v>
      </c>
      <c r="E663" t="s">
        <v>13</v>
      </c>
      <c r="F663" s="1">
        <v>45050</v>
      </c>
      <c r="G663" s="1">
        <v>46058</v>
      </c>
      <c r="H663" t="s">
        <v>14</v>
      </c>
      <c r="I663" t="s">
        <v>2778</v>
      </c>
      <c r="J663">
        <v>261594</v>
      </c>
      <c r="K663" t="s">
        <v>30</v>
      </c>
      <c r="L663" t="str">
        <f t="shared" si="30"/>
        <v>Missing</v>
      </c>
      <c r="M663">
        <f t="shared" si="31"/>
        <v>0</v>
      </c>
      <c r="N663">
        <f t="shared" si="32"/>
        <v>0</v>
      </c>
    </row>
    <row r="664" spans="1:14" x14ac:dyDescent="0.35">
      <c r="A664" t="s">
        <v>2220</v>
      </c>
      <c r="B664" t="s">
        <v>27</v>
      </c>
      <c r="C664" t="s">
        <v>920</v>
      </c>
      <c r="D664">
        <v>24</v>
      </c>
      <c r="E664" t="s">
        <v>13</v>
      </c>
      <c r="F664" s="1">
        <v>44497</v>
      </c>
      <c r="G664" s="1">
        <v>46058</v>
      </c>
      <c r="H664" t="s">
        <v>14</v>
      </c>
      <c r="I664" s="2">
        <v>3357878</v>
      </c>
      <c r="J664">
        <v>261534</v>
      </c>
      <c r="K664" t="s">
        <v>15</v>
      </c>
      <c r="L664" t="str">
        <f t="shared" si="30"/>
        <v>Available</v>
      </c>
      <c r="M664">
        <f t="shared" si="31"/>
        <v>1</v>
      </c>
      <c r="N664">
        <f t="shared" si="32"/>
        <v>1</v>
      </c>
    </row>
    <row r="665" spans="1:14" x14ac:dyDescent="0.35">
      <c r="A665" t="s">
        <v>2221</v>
      </c>
      <c r="B665" t="s">
        <v>41</v>
      </c>
      <c r="C665" t="s">
        <v>921</v>
      </c>
      <c r="D665">
        <v>9.8000000000000007</v>
      </c>
      <c r="E665" t="s">
        <v>13</v>
      </c>
      <c r="F665" s="1">
        <v>44497</v>
      </c>
      <c r="G665" s="1">
        <v>45841</v>
      </c>
      <c r="H665" t="s">
        <v>14</v>
      </c>
      <c r="I665" t="s">
        <v>2778</v>
      </c>
      <c r="J665">
        <v>262046</v>
      </c>
      <c r="K665" t="s">
        <v>30</v>
      </c>
      <c r="L665" t="str">
        <f t="shared" si="30"/>
        <v>Available</v>
      </c>
      <c r="M665">
        <f t="shared" si="31"/>
        <v>0</v>
      </c>
      <c r="N665">
        <f t="shared" si="32"/>
        <v>1</v>
      </c>
    </row>
    <row r="666" spans="1:14" x14ac:dyDescent="0.35">
      <c r="A666" t="s">
        <v>2222</v>
      </c>
      <c r="C666" t="s">
        <v>922</v>
      </c>
      <c r="D666">
        <v>24</v>
      </c>
      <c r="E666" t="s">
        <v>13</v>
      </c>
      <c r="F666" s="1">
        <v>45911</v>
      </c>
      <c r="G666" s="1">
        <v>46058</v>
      </c>
      <c r="H666" t="s">
        <v>14</v>
      </c>
      <c r="I666" s="2">
        <v>86859815</v>
      </c>
      <c r="J666">
        <v>261681</v>
      </c>
      <c r="K666" t="s">
        <v>15</v>
      </c>
      <c r="L666" t="str">
        <f t="shared" si="30"/>
        <v>Missing</v>
      </c>
      <c r="M666">
        <f t="shared" si="31"/>
        <v>1</v>
      </c>
      <c r="N666">
        <f t="shared" si="32"/>
        <v>0</v>
      </c>
    </row>
    <row r="667" spans="1:14" x14ac:dyDescent="0.35">
      <c r="A667" t="s">
        <v>2223</v>
      </c>
      <c r="B667" t="s">
        <v>152</v>
      </c>
      <c r="C667" t="s">
        <v>923</v>
      </c>
      <c r="D667">
        <v>26</v>
      </c>
      <c r="E667" t="s">
        <v>13</v>
      </c>
      <c r="F667" s="1">
        <v>44497</v>
      </c>
      <c r="G667" s="1">
        <v>46057</v>
      </c>
      <c r="H667" t="s">
        <v>14</v>
      </c>
      <c r="I667" t="s">
        <v>2778</v>
      </c>
      <c r="J667">
        <v>267020</v>
      </c>
      <c r="K667" t="s">
        <v>30</v>
      </c>
      <c r="L667" t="str">
        <f t="shared" si="30"/>
        <v>Available</v>
      </c>
      <c r="M667">
        <f t="shared" si="31"/>
        <v>0</v>
      </c>
      <c r="N667">
        <f t="shared" si="32"/>
        <v>1</v>
      </c>
    </row>
    <row r="668" spans="1:14" x14ac:dyDescent="0.35">
      <c r="A668" t="s">
        <v>2224</v>
      </c>
      <c r="B668" t="s">
        <v>27</v>
      </c>
      <c r="C668" t="s">
        <v>924</v>
      </c>
      <c r="D668">
        <v>24</v>
      </c>
      <c r="E668" t="s">
        <v>13</v>
      </c>
      <c r="F668" s="1">
        <v>44497</v>
      </c>
      <c r="G668" s="1">
        <v>46060</v>
      </c>
      <c r="H668" t="s">
        <v>14</v>
      </c>
      <c r="I668" s="2">
        <v>73889</v>
      </c>
      <c r="J668">
        <v>261489</v>
      </c>
      <c r="K668" t="s">
        <v>15</v>
      </c>
      <c r="L668" t="str">
        <f t="shared" si="30"/>
        <v>Available</v>
      </c>
      <c r="M668">
        <f t="shared" si="31"/>
        <v>1</v>
      </c>
      <c r="N668">
        <f t="shared" si="32"/>
        <v>1</v>
      </c>
    </row>
    <row r="669" spans="1:14" x14ac:dyDescent="0.35">
      <c r="A669" t="s">
        <v>2225</v>
      </c>
      <c r="B669" t="s">
        <v>926</v>
      </c>
      <c r="C669" t="s">
        <v>925</v>
      </c>
      <c r="D669">
        <v>24</v>
      </c>
      <c r="E669" t="s">
        <v>13</v>
      </c>
      <c r="F669" s="1">
        <v>44500</v>
      </c>
      <c r="G669" s="1">
        <v>46051</v>
      </c>
      <c r="H669" t="s">
        <v>14</v>
      </c>
      <c r="I669" t="s">
        <v>2778</v>
      </c>
      <c r="J669">
        <v>266375</v>
      </c>
      <c r="K669" t="s">
        <v>30</v>
      </c>
      <c r="L669" t="str">
        <f t="shared" si="30"/>
        <v>Available</v>
      </c>
      <c r="M669">
        <f t="shared" si="31"/>
        <v>0</v>
      </c>
      <c r="N669">
        <f t="shared" si="32"/>
        <v>1</v>
      </c>
    </row>
    <row r="670" spans="1:14" x14ac:dyDescent="0.35">
      <c r="A670" t="s">
        <v>2226</v>
      </c>
      <c r="B670" t="s">
        <v>929</v>
      </c>
      <c r="C670" t="s">
        <v>928</v>
      </c>
      <c r="D670">
        <v>32</v>
      </c>
      <c r="E670" t="s">
        <v>13</v>
      </c>
      <c r="F670" s="1">
        <v>44497</v>
      </c>
      <c r="G670" s="1">
        <v>46059</v>
      </c>
      <c r="H670" t="s">
        <v>14</v>
      </c>
      <c r="I670" s="2">
        <v>303442</v>
      </c>
      <c r="J670">
        <v>261831</v>
      </c>
      <c r="K670" t="s">
        <v>15</v>
      </c>
      <c r="L670" t="str">
        <f t="shared" si="30"/>
        <v>Available</v>
      </c>
      <c r="M670">
        <f t="shared" si="31"/>
        <v>1</v>
      </c>
      <c r="N670">
        <f t="shared" si="32"/>
        <v>1</v>
      </c>
    </row>
    <row r="671" spans="1:14" x14ac:dyDescent="0.35">
      <c r="A671" t="s">
        <v>2227</v>
      </c>
      <c r="B671" t="s">
        <v>23</v>
      </c>
      <c r="C671" t="s">
        <v>930</v>
      </c>
      <c r="D671">
        <v>23.25</v>
      </c>
      <c r="E671" t="s">
        <v>13</v>
      </c>
      <c r="F671" s="1">
        <v>45011</v>
      </c>
      <c r="G671" s="1">
        <v>46057</v>
      </c>
      <c r="H671" t="s">
        <v>14</v>
      </c>
      <c r="I671" s="2">
        <v>29476586</v>
      </c>
      <c r="J671">
        <v>262033</v>
      </c>
      <c r="K671" t="s">
        <v>15</v>
      </c>
      <c r="L671" t="str">
        <f t="shared" si="30"/>
        <v>Available</v>
      </c>
      <c r="M671">
        <f t="shared" si="31"/>
        <v>1</v>
      </c>
      <c r="N671">
        <f t="shared" si="32"/>
        <v>1</v>
      </c>
    </row>
    <row r="672" spans="1:14" x14ac:dyDescent="0.35">
      <c r="A672" t="s">
        <v>2228</v>
      </c>
      <c r="B672" t="s">
        <v>746</v>
      </c>
      <c r="C672" t="s">
        <v>931</v>
      </c>
      <c r="D672">
        <v>32</v>
      </c>
      <c r="E672" t="s">
        <v>13</v>
      </c>
      <c r="F672" s="1">
        <v>44497</v>
      </c>
      <c r="G672" s="1">
        <v>46059</v>
      </c>
      <c r="H672" t="s">
        <v>14</v>
      </c>
      <c r="I672" s="2">
        <v>16948735</v>
      </c>
      <c r="J672">
        <v>264341</v>
      </c>
      <c r="K672" t="s">
        <v>15</v>
      </c>
      <c r="L672" t="str">
        <f t="shared" si="30"/>
        <v>Available</v>
      </c>
      <c r="M672">
        <f t="shared" si="31"/>
        <v>1</v>
      </c>
      <c r="N672">
        <f t="shared" si="32"/>
        <v>1</v>
      </c>
    </row>
    <row r="673" spans="1:14" x14ac:dyDescent="0.35">
      <c r="A673" t="s">
        <v>2229</v>
      </c>
      <c r="B673" t="s">
        <v>933</v>
      </c>
      <c r="C673" t="s">
        <v>932</v>
      </c>
      <c r="D673">
        <v>24</v>
      </c>
      <c r="E673" t="s">
        <v>13</v>
      </c>
      <c r="F673" s="1">
        <v>45337</v>
      </c>
      <c r="G673" s="1">
        <v>46055</v>
      </c>
      <c r="H673" t="s">
        <v>14</v>
      </c>
      <c r="I673" t="s">
        <v>2778</v>
      </c>
      <c r="J673">
        <v>264364</v>
      </c>
      <c r="K673" t="s">
        <v>30</v>
      </c>
      <c r="L673" t="str">
        <f t="shared" si="30"/>
        <v>Available</v>
      </c>
      <c r="M673">
        <f t="shared" si="31"/>
        <v>0</v>
      </c>
      <c r="N673">
        <f t="shared" si="32"/>
        <v>1</v>
      </c>
    </row>
    <row r="674" spans="1:14" x14ac:dyDescent="0.35">
      <c r="A674" t="s">
        <v>2230</v>
      </c>
      <c r="B674" t="s">
        <v>27</v>
      </c>
      <c r="C674" t="s">
        <v>934</v>
      </c>
      <c r="D674">
        <v>24</v>
      </c>
      <c r="E674" t="s">
        <v>13</v>
      </c>
      <c r="F674" s="1">
        <v>45347</v>
      </c>
      <c r="G674" s="1">
        <v>46059</v>
      </c>
      <c r="H674" t="s">
        <v>14</v>
      </c>
      <c r="I674" s="2">
        <v>44068247</v>
      </c>
      <c r="J674">
        <v>266320</v>
      </c>
      <c r="K674" t="s">
        <v>15</v>
      </c>
      <c r="L674" t="str">
        <f t="shared" si="30"/>
        <v>Available</v>
      </c>
      <c r="M674">
        <f t="shared" si="31"/>
        <v>1</v>
      </c>
      <c r="N674">
        <f t="shared" si="32"/>
        <v>1</v>
      </c>
    </row>
    <row r="675" spans="1:14" x14ac:dyDescent="0.35">
      <c r="A675" t="s">
        <v>2231</v>
      </c>
      <c r="B675" t="s">
        <v>936</v>
      </c>
      <c r="C675" t="s">
        <v>935</v>
      </c>
      <c r="D675">
        <v>23.5</v>
      </c>
      <c r="E675" t="s">
        <v>13</v>
      </c>
      <c r="F675" s="1">
        <v>45088</v>
      </c>
      <c r="G675" s="1">
        <v>46059</v>
      </c>
      <c r="H675" t="s">
        <v>14</v>
      </c>
      <c r="I675" s="2">
        <v>29627839</v>
      </c>
      <c r="J675">
        <v>264158</v>
      </c>
      <c r="K675" t="s">
        <v>15</v>
      </c>
      <c r="L675" t="str">
        <f t="shared" si="30"/>
        <v>Available</v>
      </c>
      <c r="M675">
        <f t="shared" si="31"/>
        <v>1</v>
      </c>
      <c r="N675">
        <f t="shared" si="32"/>
        <v>1</v>
      </c>
    </row>
    <row r="676" spans="1:14" x14ac:dyDescent="0.35">
      <c r="A676" t="s">
        <v>2232</v>
      </c>
      <c r="B676" t="s">
        <v>445</v>
      </c>
      <c r="C676" t="s">
        <v>937</v>
      </c>
      <c r="D676">
        <v>28</v>
      </c>
      <c r="E676" t="s">
        <v>13</v>
      </c>
      <c r="F676" s="1">
        <v>44497</v>
      </c>
      <c r="G676" s="1">
        <v>46059</v>
      </c>
      <c r="H676" t="s">
        <v>14</v>
      </c>
      <c r="I676" s="2">
        <v>16971687</v>
      </c>
      <c r="J676">
        <v>266281</v>
      </c>
      <c r="K676" t="s">
        <v>15</v>
      </c>
      <c r="L676" t="str">
        <f t="shared" si="30"/>
        <v>Available</v>
      </c>
      <c r="M676">
        <f t="shared" si="31"/>
        <v>1</v>
      </c>
      <c r="N676">
        <f t="shared" si="32"/>
        <v>1</v>
      </c>
    </row>
    <row r="677" spans="1:14" x14ac:dyDescent="0.35">
      <c r="A677" t="s">
        <v>2233</v>
      </c>
      <c r="B677" t="s">
        <v>118</v>
      </c>
      <c r="C677" t="s">
        <v>938</v>
      </c>
      <c r="D677">
        <v>24</v>
      </c>
      <c r="E677" t="s">
        <v>13</v>
      </c>
      <c r="F677" s="1">
        <v>45459</v>
      </c>
      <c r="G677" s="1">
        <v>46059</v>
      </c>
      <c r="H677" t="s">
        <v>14</v>
      </c>
      <c r="I677" s="2">
        <v>29358645</v>
      </c>
      <c r="J677">
        <v>264052</v>
      </c>
      <c r="K677" t="s">
        <v>15</v>
      </c>
      <c r="L677" t="str">
        <f t="shared" si="30"/>
        <v>Available</v>
      </c>
      <c r="M677">
        <f t="shared" si="31"/>
        <v>1</v>
      </c>
      <c r="N677">
        <f t="shared" si="32"/>
        <v>1</v>
      </c>
    </row>
    <row r="678" spans="1:14" x14ac:dyDescent="0.35">
      <c r="A678" t="s">
        <v>2234</v>
      </c>
      <c r="B678" t="s">
        <v>27</v>
      </c>
      <c r="C678" t="s">
        <v>939</v>
      </c>
      <c r="D678">
        <v>24.7</v>
      </c>
      <c r="E678" t="s">
        <v>13</v>
      </c>
      <c r="F678" s="1">
        <v>44497</v>
      </c>
      <c r="G678" s="1">
        <v>46059</v>
      </c>
      <c r="H678" t="s">
        <v>14</v>
      </c>
      <c r="I678" s="2">
        <v>23836539</v>
      </c>
      <c r="J678">
        <v>264340</v>
      </c>
      <c r="K678" t="s">
        <v>15</v>
      </c>
      <c r="L678" t="str">
        <f t="shared" si="30"/>
        <v>Available</v>
      </c>
      <c r="M678">
        <f t="shared" si="31"/>
        <v>1</v>
      </c>
      <c r="N678">
        <f t="shared" si="32"/>
        <v>1</v>
      </c>
    </row>
    <row r="679" spans="1:14" x14ac:dyDescent="0.35">
      <c r="A679" t="s">
        <v>2235</v>
      </c>
      <c r="B679" t="s">
        <v>96</v>
      </c>
      <c r="C679" t="s">
        <v>940</v>
      </c>
      <c r="D679">
        <v>24</v>
      </c>
      <c r="E679" t="s">
        <v>13</v>
      </c>
      <c r="F679" s="1">
        <v>44497</v>
      </c>
      <c r="G679" s="1">
        <v>46059</v>
      </c>
      <c r="H679" t="s">
        <v>14</v>
      </c>
      <c r="I679" s="2">
        <v>19977903</v>
      </c>
      <c r="J679">
        <v>266594</v>
      </c>
      <c r="K679" t="s">
        <v>15</v>
      </c>
      <c r="L679" t="str">
        <f t="shared" si="30"/>
        <v>Available</v>
      </c>
      <c r="M679">
        <f t="shared" si="31"/>
        <v>1</v>
      </c>
      <c r="N679">
        <f t="shared" si="32"/>
        <v>1</v>
      </c>
    </row>
    <row r="680" spans="1:14" x14ac:dyDescent="0.35">
      <c r="A680" t="s">
        <v>2236</v>
      </c>
      <c r="B680" t="s">
        <v>261</v>
      </c>
      <c r="C680" t="s">
        <v>941</v>
      </c>
      <c r="D680">
        <v>16.906742000000001</v>
      </c>
      <c r="E680" t="s">
        <v>35</v>
      </c>
      <c r="F680" s="1">
        <v>45218</v>
      </c>
      <c r="G680" s="1">
        <v>46019</v>
      </c>
      <c r="H680" t="s">
        <v>14</v>
      </c>
      <c r="I680" t="s">
        <v>2778</v>
      </c>
      <c r="J680">
        <v>266311</v>
      </c>
      <c r="K680" t="s">
        <v>30</v>
      </c>
      <c r="L680" t="str">
        <f t="shared" si="30"/>
        <v>Available</v>
      </c>
      <c r="M680">
        <f t="shared" si="31"/>
        <v>0</v>
      </c>
      <c r="N680">
        <f t="shared" si="32"/>
        <v>1</v>
      </c>
    </row>
    <row r="681" spans="1:14" x14ac:dyDescent="0.35">
      <c r="A681" t="s">
        <v>2237</v>
      </c>
      <c r="B681" t="s">
        <v>58</v>
      </c>
      <c r="C681" t="s">
        <v>942</v>
      </c>
      <c r="D681">
        <v>3</v>
      </c>
      <c r="E681" t="s">
        <v>640</v>
      </c>
      <c r="F681" s="1">
        <v>44592</v>
      </c>
      <c r="G681" s="1">
        <v>46045</v>
      </c>
      <c r="H681" t="s">
        <v>14</v>
      </c>
      <c r="I681" s="2">
        <v>32840</v>
      </c>
      <c r="J681">
        <v>264715</v>
      </c>
      <c r="K681" t="s">
        <v>15</v>
      </c>
      <c r="L681" t="str">
        <f t="shared" si="30"/>
        <v>Available</v>
      </c>
      <c r="M681">
        <f t="shared" si="31"/>
        <v>1</v>
      </c>
      <c r="N681">
        <f t="shared" si="32"/>
        <v>1</v>
      </c>
    </row>
    <row r="682" spans="1:14" x14ac:dyDescent="0.35">
      <c r="A682" t="s">
        <v>2238</v>
      </c>
      <c r="B682" t="s">
        <v>413</v>
      </c>
      <c r="C682" t="s">
        <v>943</v>
      </c>
      <c r="D682">
        <v>13.9</v>
      </c>
      <c r="E682" t="s">
        <v>13</v>
      </c>
      <c r="F682" s="1">
        <v>45721</v>
      </c>
      <c r="G682" s="1">
        <v>46057</v>
      </c>
      <c r="H682" t="s">
        <v>14</v>
      </c>
      <c r="I682" t="s">
        <v>2778</v>
      </c>
      <c r="J682">
        <v>264412</v>
      </c>
      <c r="K682" t="s">
        <v>30</v>
      </c>
      <c r="L682" t="str">
        <f t="shared" si="30"/>
        <v>Available</v>
      </c>
      <c r="M682">
        <f t="shared" si="31"/>
        <v>0</v>
      </c>
      <c r="N682">
        <f t="shared" si="32"/>
        <v>1</v>
      </c>
    </row>
    <row r="683" spans="1:14" x14ac:dyDescent="0.35">
      <c r="A683" t="s">
        <v>2239</v>
      </c>
      <c r="B683" t="s">
        <v>253</v>
      </c>
      <c r="C683" t="s">
        <v>944</v>
      </c>
      <c r="D683">
        <v>24</v>
      </c>
      <c r="E683" t="s">
        <v>13</v>
      </c>
      <c r="F683" s="1">
        <v>45805</v>
      </c>
      <c r="G683" s="1">
        <v>45952</v>
      </c>
      <c r="H683" t="s">
        <v>14</v>
      </c>
      <c r="I683" t="s">
        <v>2778</v>
      </c>
      <c r="J683">
        <v>264097</v>
      </c>
      <c r="K683" t="s">
        <v>30</v>
      </c>
      <c r="L683" t="str">
        <f t="shared" si="30"/>
        <v>Available</v>
      </c>
      <c r="M683">
        <f t="shared" si="31"/>
        <v>0</v>
      </c>
      <c r="N683">
        <f t="shared" si="32"/>
        <v>1</v>
      </c>
    </row>
    <row r="684" spans="1:14" x14ac:dyDescent="0.35">
      <c r="A684" t="s">
        <v>2240</v>
      </c>
      <c r="B684" t="s">
        <v>708</v>
      </c>
      <c r="C684" t="s">
        <v>945</v>
      </c>
      <c r="D684">
        <v>24</v>
      </c>
      <c r="E684" t="s">
        <v>13</v>
      </c>
      <c r="F684" s="1">
        <v>44507</v>
      </c>
      <c r="G684" s="1">
        <v>46059</v>
      </c>
      <c r="H684" t="s">
        <v>14</v>
      </c>
      <c r="I684" s="2">
        <v>25029414</v>
      </c>
      <c r="J684">
        <v>264056</v>
      </c>
      <c r="K684" t="s">
        <v>15</v>
      </c>
      <c r="L684" t="str">
        <f t="shared" si="30"/>
        <v>Available</v>
      </c>
      <c r="M684">
        <f t="shared" si="31"/>
        <v>1</v>
      </c>
      <c r="N684">
        <f t="shared" si="32"/>
        <v>1</v>
      </c>
    </row>
    <row r="685" spans="1:14" x14ac:dyDescent="0.35">
      <c r="A685" t="s">
        <v>2241</v>
      </c>
      <c r="B685" t="s">
        <v>947</v>
      </c>
      <c r="C685" t="s">
        <v>946</v>
      </c>
      <c r="D685">
        <v>1</v>
      </c>
      <c r="E685" t="s">
        <v>640</v>
      </c>
      <c r="F685" s="1">
        <v>45189</v>
      </c>
      <c r="G685" s="1">
        <v>46059</v>
      </c>
      <c r="H685" t="s">
        <v>14</v>
      </c>
      <c r="I685" t="s">
        <v>2778</v>
      </c>
      <c r="J685">
        <v>266294</v>
      </c>
      <c r="K685" t="s">
        <v>30</v>
      </c>
      <c r="L685" t="str">
        <f t="shared" si="30"/>
        <v>Available</v>
      </c>
      <c r="M685">
        <f t="shared" si="31"/>
        <v>0</v>
      </c>
      <c r="N685">
        <f t="shared" si="32"/>
        <v>1</v>
      </c>
    </row>
    <row r="686" spans="1:14" x14ac:dyDescent="0.35">
      <c r="A686" t="s">
        <v>2242</v>
      </c>
      <c r="B686" t="s">
        <v>318</v>
      </c>
      <c r="C686" t="s">
        <v>948</v>
      </c>
      <c r="D686">
        <v>25.25</v>
      </c>
      <c r="E686" t="s">
        <v>13</v>
      </c>
      <c r="F686" s="1">
        <v>44497</v>
      </c>
      <c r="G686" s="1">
        <v>45961</v>
      </c>
      <c r="H686" t="s">
        <v>14</v>
      </c>
      <c r="I686" s="2">
        <v>152791</v>
      </c>
      <c r="J686">
        <v>261857</v>
      </c>
      <c r="K686" t="s">
        <v>15</v>
      </c>
      <c r="L686" t="str">
        <f t="shared" si="30"/>
        <v>Available</v>
      </c>
      <c r="M686">
        <f t="shared" si="31"/>
        <v>1</v>
      </c>
      <c r="N686">
        <f t="shared" si="32"/>
        <v>1</v>
      </c>
    </row>
    <row r="687" spans="1:14" x14ac:dyDescent="0.35">
      <c r="A687" t="s">
        <v>2243</v>
      </c>
      <c r="B687" t="s">
        <v>950</v>
      </c>
      <c r="C687" t="s">
        <v>949</v>
      </c>
      <c r="D687">
        <v>24</v>
      </c>
      <c r="E687" t="s">
        <v>13</v>
      </c>
      <c r="F687" s="1">
        <v>44497</v>
      </c>
      <c r="G687" s="1">
        <v>46059</v>
      </c>
      <c r="H687" t="s">
        <v>14</v>
      </c>
      <c r="I687" s="2">
        <v>22160853</v>
      </c>
      <c r="J687">
        <v>267091</v>
      </c>
      <c r="K687" t="s">
        <v>15</v>
      </c>
      <c r="L687" t="str">
        <f t="shared" si="30"/>
        <v>Available</v>
      </c>
      <c r="M687">
        <f t="shared" si="31"/>
        <v>1</v>
      </c>
      <c r="N687">
        <f t="shared" si="32"/>
        <v>1</v>
      </c>
    </row>
    <row r="688" spans="1:14" x14ac:dyDescent="0.35">
      <c r="A688" t="s">
        <v>2244</v>
      </c>
      <c r="B688" t="s">
        <v>47</v>
      </c>
      <c r="C688" t="s">
        <v>951</v>
      </c>
      <c r="D688">
        <v>24</v>
      </c>
      <c r="E688" t="s">
        <v>13</v>
      </c>
      <c r="F688" s="1">
        <v>44497</v>
      </c>
      <c r="G688" s="1">
        <v>46060</v>
      </c>
      <c r="H688" t="s">
        <v>14</v>
      </c>
      <c r="I688" s="2">
        <v>18581089</v>
      </c>
      <c r="J688">
        <v>266908</v>
      </c>
      <c r="K688" t="s">
        <v>15</v>
      </c>
      <c r="L688" t="str">
        <f t="shared" si="30"/>
        <v>Available</v>
      </c>
      <c r="M688">
        <f t="shared" si="31"/>
        <v>1</v>
      </c>
      <c r="N688">
        <f t="shared" si="32"/>
        <v>1</v>
      </c>
    </row>
    <row r="689" spans="1:14" x14ac:dyDescent="0.35">
      <c r="A689" t="s">
        <v>2245</v>
      </c>
      <c r="B689" t="s">
        <v>785</v>
      </c>
      <c r="C689" t="s">
        <v>952</v>
      </c>
      <c r="D689">
        <v>28</v>
      </c>
      <c r="E689" t="s">
        <v>13</v>
      </c>
      <c r="F689" s="1">
        <v>44497</v>
      </c>
      <c r="G689" s="1">
        <v>46059</v>
      </c>
      <c r="H689" t="s">
        <v>14</v>
      </c>
      <c r="I689" s="2">
        <v>30200841</v>
      </c>
      <c r="J689">
        <v>264196</v>
      </c>
      <c r="K689" t="s">
        <v>15</v>
      </c>
      <c r="L689" t="str">
        <f t="shared" si="30"/>
        <v>Available</v>
      </c>
      <c r="M689">
        <f t="shared" si="31"/>
        <v>1</v>
      </c>
      <c r="N689">
        <f t="shared" si="32"/>
        <v>1</v>
      </c>
    </row>
    <row r="690" spans="1:14" x14ac:dyDescent="0.35">
      <c r="A690" t="s">
        <v>2246</v>
      </c>
      <c r="B690" t="s">
        <v>814</v>
      </c>
      <c r="C690" t="s">
        <v>953</v>
      </c>
      <c r="D690">
        <v>24</v>
      </c>
      <c r="E690" t="s">
        <v>13</v>
      </c>
      <c r="F690" s="1">
        <v>45344</v>
      </c>
      <c r="G690" s="1">
        <v>46060</v>
      </c>
      <c r="H690" t="s">
        <v>14</v>
      </c>
      <c r="I690" s="2">
        <v>43727206</v>
      </c>
      <c r="J690">
        <v>262641</v>
      </c>
      <c r="K690" t="s">
        <v>15</v>
      </c>
      <c r="L690" t="str">
        <f t="shared" si="30"/>
        <v>Available</v>
      </c>
      <c r="M690">
        <f t="shared" si="31"/>
        <v>1</v>
      </c>
      <c r="N690">
        <f t="shared" si="32"/>
        <v>1</v>
      </c>
    </row>
    <row r="691" spans="1:14" x14ac:dyDescent="0.35">
      <c r="A691" t="s">
        <v>2247</v>
      </c>
      <c r="B691" t="s">
        <v>25</v>
      </c>
      <c r="C691" t="s">
        <v>954</v>
      </c>
      <c r="D691">
        <v>45</v>
      </c>
      <c r="E691" t="s">
        <v>13</v>
      </c>
      <c r="F691" s="1">
        <v>44500</v>
      </c>
      <c r="G691" s="1">
        <v>46060</v>
      </c>
      <c r="H691" t="s">
        <v>14</v>
      </c>
      <c r="I691" s="2">
        <v>36161</v>
      </c>
      <c r="J691">
        <v>266550</v>
      </c>
      <c r="K691" t="s">
        <v>15</v>
      </c>
      <c r="L691" t="str">
        <f t="shared" si="30"/>
        <v>Available</v>
      </c>
      <c r="M691">
        <f t="shared" si="31"/>
        <v>1</v>
      </c>
      <c r="N691">
        <f t="shared" si="32"/>
        <v>1</v>
      </c>
    </row>
    <row r="692" spans="1:14" x14ac:dyDescent="0.35">
      <c r="A692" t="s">
        <v>2248</v>
      </c>
      <c r="B692" t="s">
        <v>29</v>
      </c>
      <c r="C692" t="s">
        <v>955</v>
      </c>
      <c r="D692">
        <v>24</v>
      </c>
      <c r="E692" t="s">
        <v>13</v>
      </c>
      <c r="F692" s="1">
        <v>44497</v>
      </c>
      <c r="G692" s="1">
        <v>46057</v>
      </c>
      <c r="H692" t="s">
        <v>14</v>
      </c>
      <c r="I692" s="2">
        <v>53413</v>
      </c>
      <c r="J692">
        <v>266313</v>
      </c>
      <c r="K692" t="s">
        <v>15</v>
      </c>
      <c r="L692" t="str">
        <f t="shared" si="30"/>
        <v>Available</v>
      </c>
      <c r="M692">
        <f t="shared" si="31"/>
        <v>1</v>
      </c>
      <c r="N692">
        <f t="shared" si="32"/>
        <v>1</v>
      </c>
    </row>
    <row r="693" spans="1:14" x14ac:dyDescent="0.35">
      <c r="A693" t="s">
        <v>2249</v>
      </c>
      <c r="B693" t="s">
        <v>41</v>
      </c>
      <c r="C693" t="s">
        <v>956</v>
      </c>
      <c r="D693">
        <v>22.9</v>
      </c>
      <c r="E693" t="s">
        <v>13</v>
      </c>
      <c r="F693" s="1">
        <v>44497</v>
      </c>
      <c r="G693" s="1">
        <v>45467</v>
      </c>
      <c r="H693" t="s">
        <v>14</v>
      </c>
      <c r="I693" t="s">
        <v>2778</v>
      </c>
      <c r="J693">
        <v>262048</v>
      </c>
      <c r="K693" t="s">
        <v>30</v>
      </c>
      <c r="L693" t="str">
        <f t="shared" si="30"/>
        <v>Available</v>
      </c>
      <c r="M693">
        <f t="shared" si="31"/>
        <v>0</v>
      </c>
      <c r="N693">
        <f t="shared" si="32"/>
        <v>1</v>
      </c>
    </row>
    <row r="694" spans="1:14" x14ac:dyDescent="0.35">
      <c r="A694" t="s">
        <v>2250</v>
      </c>
      <c r="B694" t="s">
        <v>156</v>
      </c>
      <c r="C694" t="s">
        <v>957</v>
      </c>
      <c r="D694">
        <v>24</v>
      </c>
      <c r="E694" t="s">
        <v>13</v>
      </c>
      <c r="F694" s="1">
        <v>44497</v>
      </c>
      <c r="G694" s="1">
        <v>46060</v>
      </c>
      <c r="H694" t="s">
        <v>14</v>
      </c>
      <c r="I694" s="2">
        <v>24370321</v>
      </c>
      <c r="J694">
        <v>261575</v>
      </c>
      <c r="K694" t="s">
        <v>15</v>
      </c>
      <c r="L694" t="str">
        <f t="shared" si="30"/>
        <v>Available</v>
      </c>
      <c r="M694">
        <f t="shared" si="31"/>
        <v>1</v>
      </c>
      <c r="N694">
        <f t="shared" si="32"/>
        <v>1</v>
      </c>
    </row>
    <row r="695" spans="1:14" x14ac:dyDescent="0.35">
      <c r="A695" t="s">
        <v>2251</v>
      </c>
      <c r="B695" t="s">
        <v>420</v>
      </c>
      <c r="C695" t="s">
        <v>958</v>
      </c>
      <c r="F695" s="1">
        <v>44866</v>
      </c>
      <c r="G695" s="1">
        <v>45099</v>
      </c>
      <c r="H695" t="s">
        <v>14</v>
      </c>
      <c r="I695" t="s">
        <v>2778</v>
      </c>
      <c r="J695">
        <v>261481</v>
      </c>
      <c r="K695" t="s">
        <v>30</v>
      </c>
      <c r="L695" t="str">
        <f t="shared" si="30"/>
        <v>Available</v>
      </c>
      <c r="M695">
        <f t="shared" si="31"/>
        <v>0</v>
      </c>
      <c r="N695">
        <f t="shared" si="32"/>
        <v>1</v>
      </c>
    </row>
    <row r="696" spans="1:14" x14ac:dyDescent="0.35">
      <c r="A696" t="s">
        <v>2252</v>
      </c>
      <c r="B696" t="s">
        <v>12</v>
      </c>
      <c r="C696" t="s">
        <v>959</v>
      </c>
      <c r="D696">
        <v>24</v>
      </c>
      <c r="E696" t="s">
        <v>13</v>
      </c>
      <c r="F696" s="1">
        <v>45966</v>
      </c>
      <c r="G696" s="1">
        <v>46057</v>
      </c>
      <c r="H696" t="s">
        <v>14</v>
      </c>
      <c r="I696" s="2">
        <v>89904502</v>
      </c>
      <c r="J696">
        <v>264557</v>
      </c>
      <c r="K696" t="s">
        <v>15</v>
      </c>
      <c r="L696" t="str">
        <f t="shared" si="30"/>
        <v>Available</v>
      </c>
      <c r="M696">
        <f t="shared" si="31"/>
        <v>1</v>
      </c>
      <c r="N696">
        <f t="shared" si="32"/>
        <v>1</v>
      </c>
    </row>
    <row r="697" spans="1:14" x14ac:dyDescent="0.35">
      <c r="A697" t="s">
        <v>2253</v>
      </c>
      <c r="B697" t="s">
        <v>961</v>
      </c>
      <c r="C697" t="s">
        <v>960</v>
      </c>
      <c r="D697">
        <v>24.3</v>
      </c>
      <c r="E697" t="s">
        <v>13</v>
      </c>
      <c r="F697" s="1">
        <v>44498</v>
      </c>
      <c r="G697" s="1">
        <v>46059</v>
      </c>
      <c r="H697" t="s">
        <v>14</v>
      </c>
      <c r="I697" t="s">
        <v>2778</v>
      </c>
      <c r="J697">
        <v>266310</v>
      </c>
      <c r="K697" t="s">
        <v>30</v>
      </c>
      <c r="L697" t="str">
        <f t="shared" si="30"/>
        <v>Available</v>
      </c>
      <c r="M697">
        <f t="shared" si="31"/>
        <v>0</v>
      </c>
      <c r="N697">
        <f t="shared" si="32"/>
        <v>1</v>
      </c>
    </row>
    <row r="698" spans="1:14" x14ac:dyDescent="0.35">
      <c r="A698" t="s">
        <v>2254</v>
      </c>
      <c r="B698" t="s">
        <v>25</v>
      </c>
      <c r="C698" t="s">
        <v>962</v>
      </c>
      <c r="D698">
        <v>21.809698000000001</v>
      </c>
      <c r="E698" t="s">
        <v>35</v>
      </c>
      <c r="F698" s="1">
        <v>44497</v>
      </c>
      <c r="G698" s="1">
        <v>46058</v>
      </c>
      <c r="H698" t="s">
        <v>14</v>
      </c>
      <c r="I698" t="s">
        <v>2778</v>
      </c>
      <c r="J698">
        <v>261907</v>
      </c>
      <c r="K698" t="s">
        <v>30</v>
      </c>
      <c r="L698" t="str">
        <f t="shared" si="30"/>
        <v>Available</v>
      </c>
      <c r="M698">
        <f t="shared" si="31"/>
        <v>0</v>
      </c>
      <c r="N698">
        <f t="shared" si="32"/>
        <v>1</v>
      </c>
    </row>
    <row r="699" spans="1:14" x14ac:dyDescent="0.35">
      <c r="A699" t="s">
        <v>2255</v>
      </c>
      <c r="B699" t="s">
        <v>964</v>
      </c>
      <c r="C699" t="s">
        <v>963</v>
      </c>
      <c r="D699">
        <v>9.17</v>
      </c>
      <c r="E699" t="s">
        <v>13</v>
      </c>
      <c r="F699" s="1">
        <v>44497</v>
      </c>
      <c r="G699" s="1">
        <v>45735</v>
      </c>
      <c r="H699" t="s">
        <v>14</v>
      </c>
      <c r="I699" t="s">
        <v>2778</v>
      </c>
      <c r="J699">
        <v>264098</v>
      </c>
      <c r="K699" t="s">
        <v>30</v>
      </c>
      <c r="L699" t="str">
        <f t="shared" si="30"/>
        <v>Available</v>
      </c>
      <c r="M699">
        <f t="shared" si="31"/>
        <v>0</v>
      </c>
      <c r="N699">
        <f t="shared" si="32"/>
        <v>1</v>
      </c>
    </row>
    <row r="700" spans="1:14" x14ac:dyDescent="0.35">
      <c r="A700" t="s">
        <v>2256</v>
      </c>
      <c r="B700" t="s">
        <v>583</v>
      </c>
      <c r="C700" t="s">
        <v>965</v>
      </c>
      <c r="D700">
        <v>25.25</v>
      </c>
      <c r="E700" t="s">
        <v>13</v>
      </c>
      <c r="F700" s="1">
        <v>44497</v>
      </c>
      <c r="G700" s="1">
        <v>46059</v>
      </c>
      <c r="H700" t="s">
        <v>14</v>
      </c>
      <c r="I700" s="2">
        <v>152792</v>
      </c>
      <c r="J700">
        <v>266566</v>
      </c>
      <c r="K700" t="s">
        <v>15</v>
      </c>
      <c r="L700" t="str">
        <f t="shared" si="30"/>
        <v>Available</v>
      </c>
      <c r="M700">
        <f t="shared" si="31"/>
        <v>1</v>
      </c>
      <c r="N700">
        <f t="shared" si="32"/>
        <v>1</v>
      </c>
    </row>
    <row r="701" spans="1:14" x14ac:dyDescent="0.35">
      <c r="A701" t="s">
        <v>2257</v>
      </c>
      <c r="B701" t="s">
        <v>156</v>
      </c>
      <c r="C701" t="s">
        <v>966</v>
      </c>
      <c r="D701">
        <v>32</v>
      </c>
      <c r="E701" t="s">
        <v>13</v>
      </c>
      <c r="F701" s="1">
        <v>44633</v>
      </c>
      <c r="G701" s="1">
        <v>46059</v>
      </c>
      <c r="H701" t="s">
        <v>14</v>
      </c>
      <c r="I701" s="2">
        <v>26965285</v>
      </c>
      <c r="J701">
        <v>264080</v>
      </c>
      <c r="K701" t="s">
        <v>15</v>
      </c>
      <c r="L701" t="str">
        <f t="shared" si="30"/>
        <v>Available</v>
      </c>
      <c r="M701">
        <f t="shared" si="31"/>
        <v>1</v>
      </c>
      <c r="N701">
        <f t="shared" si="32"/>
        <v>1</v>
      </c>
    </row>
    <row r="702" spans="1:14" x14ac:dyDescent="0.35">
      <c r="A702" t="s">
        <v>2258</v>
      </c>
      <c r="B702" t="s">
        <v>318</v>
      </c>
      <c r="C702" t="s">
        <v>967</v>
      </c>
      <c r="D702">
        <v>25.25</v>
      </c>
      <c r="E702" t="s">
        <v>13</v>
      </c>
      <c r="F702" s="1">
        <v>44497</v>
      </c>
      <c r="G702" s="1">
        <v>46059</v>
      </c>
      <c r="H702" t="s">
        <v>14</v>
      </c>
      <c r="I702" s="2">
        <v>152804</v>
      </c>
      <c r="J702">
        <v>266933</v>
      </c>
      <c r="K702" t="s">
        <v>15</v>
      </c>
      <c r="L702" t="str">
        <f t="shared" si="30"/>
        <v>Available</v>
      </c>
      <c r="M702">
        <f t="shared" si="31"/>
        <v>1</v>
      </c>
      <c r="N702">
        <f t="shared" si="32"/>
        <v>1</v>
      </c>
    </row>
    <row r="703" spans="1:14" x14ac:dyDescent="0.35">
      <c r="A703" t="s">
        <v>2259</v>
      </c>
      <c r="C703" t="s">
        <v>968</v>
      </c>
      <c r="D703">
        <v>26</v>
      </c>
      <c r="E703" t="s">
        <v>13</v>
      </c>
      <c r="F703" s="1">
        <v>44500</v>
      </c>
      <c r="G703" s="1">
        <v>46057</v>
      </c>
      <c r="H703" t="s">
        <v>14</v>
      </c>
      <c r="I703" s="2">
        <v>2317519</v>
      </c>
      <c r="J703">
        <v>261576</v>
      </c>
      <c r="K703" t="s">
        <v>15</v>
      </c>
      <c r="L703" t="str">
        <f t="shared" si="30"/>
        <v>Missing</v>
      </c>
      <c r="M703">
        <f t="shared" si="31"/>
        <v>1</v>
      </c>
      <c r="N703">
        <f t="shared" si="32"/>
        <v>0</v>
      </c>
    </row>
    <row r="704" spans="1:14" x14ac:dyDescent="0.35">
      <c r="A704" t="s">
        <v>2260</v>
      </c>
      <c r="B704" t="s">
        <v>19</v>
      </c>
      <c r="C704" t="s">
        <v>969</v>
      </c>
      <c r="F704" s="1">
        <v>44930</v>
      </c>
      <c r="G704" s="1">
        <v>45099</v>
      </c>
      <c r="H704" t="s">
        <v>14</v>
      </c>
      <c r="I704" t="s">
        <v>2778</v>
      </c>
      <c r="J704">
        <v>261815</v>
      </c>
      <c r="K704" t="s">
        <v>30</v>
      </c>
      <c r="L704" t="str">
        <f t="shared" si="30"/>
        <v>Available</v>
      </c>
      <c r="M704">
        <f t="shared" si="31"/>
        <v>0</v>
      </c>
      <c r="N704">
        <f t="shared" si="32"/>
        <v>1</v>
      </c>
    </row>
    <row r="705" spans="1:14" x14ac:dyDescent="0.35">
      <c r="A705" t="s">
        <v>2261</v>
      </c>
      <c r="B705" t="s">
        <v>334</v>
      </c>
      <c r="C705" t="s">
        <v>970</v>
      </c>
      <c r="D705">
        <v>16.8</v>
      </c>
      <c r="E705" t="s">
        <v>13</v>
      </c>
      <c r="F705" s="1">
        <v>44497</v>
      </c>
      <c r="G705" s="1">
        <v>46059</v>
      </c>
      <c r="H705" t="s">
        <v>14</v>
      </c>
      <c r="I705" s="2">
        <v>80807</v>
      </c>
      <c r="J705">
        <v>261796</v>
      </c>
      <c r="K705" t="s">
        <v>15</v>
      </c>
      <c r="L705" t="str">
        <f t="shared" si="30"/>
        <v>Available</v>
      </c>
      <c r="M705">
        <f t="shared" si="31"/>
        <v>1</v>
      </c>
      <c r="N705">
        <f t="shared" si="32"/>
        <v>1</v>
      </c>
    </row>
    <row r="706" spans="1:14" x14ac:dyDescent="0.35">
      <c r="A706" t="s">
        <v>2262</v>
      </c>
      <c r="B706" t="s">
        <v>130</v>
      </c>
      <c r="C706" t="s">
        <v>971</v>
      </c>
      <c r="D706">
        <v>24.5</v>
      </c>
      <c r="E706" t="s">
        <v>13</v>
      </c>
      <c r="F706" s="1">
        <v>45423</v>
      </c>
      <c r="G706" s="1">
        <v>46059</v>
      </c>
      <c r="H706" t="s">
        <v>14</v>
      </c>
      <c r="I706" s="2">
        <v>26648402</v>
      </c>
      <c r="J706">
        <v>266396</v>
      </c>
      <c r="K706" t="s">
        <v>15</v>
      </c>
      <c r="L706" t="str">
        <f t="shared" si="30"/>
        <v>Available</v>
      </c>
      <c r="M706">
        <f t="shared" si="31"/>
        <v>1</v>
      </c>
      <c r="N706">
        <f t="shared" si="32"/>
        <v>1</v>
      </c>
    </row>
    <row r="707" spans="1:14" x14ac:dyDescent="0.35">
      <c r="A707" t="s">
        <v>2263</v>
      </c>
      <c r="B707" t="s">
        <v>156</v>
      </c>
      <c r="C707" t="s">
        <v>972</v>
      </c>
      <c r="D707">
        <v>24</v>
      </c>
      <c r="E707" t="s">
        <v>13</v>
      </c>
      <c r="F707" s="1">
        <v>44633</v>
      </c>
      <c r="G707" s="1">
        <v>46059</v>
      </c>
      <c r="H707" t="s">
        <v>14</v>
      </c>
      <c r="I707" s="2">
        <v>26952831</v>
      </c>
      <c r="J707">
        <v>264420</v>
      </c>
      <c r="K707" t="s">
        <v>15</v>
      </c>
      <c r="L707" t="str">
        <f t="shared" ref="L707:L770" si="33">IF(OR(B707="",ISBLANK(B707)),"Missing","Available")</f>
        <v>Available</v>
      </c>
      <c r="M707">
        <f t="shared" ref="M707:M770" si="34">IF(K707="Mapped",1,0)</f>
        <v>1</v>
      </c>
      <c r="N707">
        <f t="shared" ref="N707:N770" si="35">IF(AND(B707&lt;&gt;"",A707&lt;&gt;""),1,0)</f>
        <v>1</v>
      </c>
    </row>
    <row r="708" spans="1:14" x14ac:dyDescent="0.35">
      <c r="A708" t="s">
        <v>2264</v>
      </c>
      <c r="B708" t="s">
        <v>690</v>
      </c>
      <c r="C708" t="s">
        <v>973</v>
      </c>
      <c r="D708">
        <v>24</v>
      </c>
      <c r="E708" t="s">
        <v>13</v>
      </c>
      <c r="F708" s="1">
        <v>44497</v>
      </c>
      <c r="G708" s="1">
        <v>46059</v>
      </c>
      <c r="H708" t="s">
        <v>14</v>
      </c>
      <c r="I708" s="2">
        <v>18474774</v>
      </c>
      <c r="J708">
        <v>266376</v>
      </c>
      <c r="K708" t="s">
        <v>15</v>
      </c>
      <c r="L708" t="str">
        <f t="shared" si="33"/>
        <v>Available</v>
      </c>
      <c r="M708">
        <f t="shared" si="34"/>
        <v>1</v>
      </c>
      <c r="N708">
        <f t="shared" si="35"/>
        <v>1</v>
      </c>
    </row>
    <row r="709" spans="1:14" x14ac:dyDescent="0.35">
      <c r="A709" t="s">
        <v>2265</v>
      </c>
      <c r="B709" t="s">
        <v>19</v>
      </c>
      <c r="C709" t="s">
        <v>974</v>
      </c>
      <c r="D709">
        <v>24</v>
      </c>
      <c r="E709" t="s">
        <v>13</v>
      </c>
      <c r="F709" s="1">
        <v>44497</v>
      </c>
      <c r="G709" s="1">
        <v>46060</v>
      </c>
      <c r="H709" t="s">
        <v>14</v>
      </c>
      <c r="I709" s="2">
        <v>91467</v>
      </c>
      <c r="J709">
        <v>262030</v>
      </c>
      <c r="K709" t="s">
        <v>15</v>
      </c>
      <c r="L709" t="str">
        <f t="shared" si="33"/>
        <v>Available</v>
      </c>
      <c r="M709">
        <f t="shared" si="34"/>
        <v>1</v>
      </c>
      <c r="N709">
        <f t="shared" si="35"/>
        <v>1</v>
      </c>
    </row>
    <row r="710" spans="1:14" x14ac:dyDescent="0.35">
      <c r="A710" t="s">
        <v>2266</v>
      </c>
      <c r="B710" t="s">
        <v>465</v>
      </c>
      <c r="C710" t="s">
        <v>975</v>
      </c>
      <c r="D710">
        <v>32</v>
      </c>
      <c r="E710" t="s">
        <v>13</v>
      </c>
      <c r="F710" s="1">
        <v>44497</v>
      </c>
      <c r="G710" s="1">
        <v>46059</v>
      </c>
      <c r="H710" t="s">
        <v>14</v>
      </c>
      <c r="I710" t="s">
        <v>2784</v>
      </c>
      <c r="J710" t="s">
        <v>976</v>
      </c>
      <c r="K710" t="s">
        <v>15</v>
      </c>
      <c r="L710" t="str">
        <f t="shared" si="33"/>
        <v>Available</v>
      </c>
      <c r="M710">
        <f t="shared" si="34"/>
        <v>1</v>
      </c>
      <c r="N710">
        <f t="shared" si="35"/>
        <v>1</v>
      </c>
    </row>
    <row r="711" spans="1:14" x14ac:dyDescent="0.35">
      <c r="A711" t="s">
        <v>2267</v>
      </c>
      <c r="B711" t="s">
        <v>114</v>
      </c>
      <c r="C711" t="s">
        <v>977</v>
      </c>
      <c r="D711">
        <v>22.3169</v>
      </c>
      <c r="E711" t="s">
        <v>35</v>
      </c>
      <c r="F711" s="1">
        <v>45760</v>
      </c>
      <c r="G711" s="1">
        <v>46058</v>
      </c>
      <c r="H711" t="s">
        <v>14</v>
      </c>
      <c r="I711" t="s">
        <v>2778</v>
      </c>
      <c r="J711">
        <v>267041</v>
      </c>
      <c r="K711" t="s">
        <v>30</v>
      </c>
      <c r="L711" t="str">
        <f t="shared" si="33"/>
        <v>Available</v>
      </c>
      <c r="M711">
        <f t="shared" si="34"/>
        <v>0</v>
      </c>
      <c r="N711">
        <f t="shared" si="35"/>
        <v>1</v>
      </c>
    </row>
    <row r="712" spans="1:14" x14ac:dyDescent="0.35">
      <c r="A712" t="s">
        <v>2268</v>
      </c>
      <c r="B712" t="s">
        <v>156</v>
      </c>
      <c r="C712" t="s">
        <v>978</v>
      </c>
      <c r="D712">
        <v>24</v>
      </c>
      <c r="E712" t="s">
        <v>13</v>
      </c>
      <c r="F712" s="1">
        <v>44497</v>
      </c>
      <c r="G712" s="1">
        <v>46060</v>
      </c>
      <c r="H712" t="s">
        <v>14</v>
      </c>
      <c r="I712" s="2">
        <v>24370172</v>
      </c>
      <c r="J712">
        <v>264295</v>
      </c>
      <c r="K712" t="s">
        <v>15</v>
      </c>
      <c r="L712" t="str">
        <f t="shared" si="33"/>
        <v>Available</v>
      </c>
      <c r="M712">
        <f t="shared" si="34"/>
        <v>1</v>
      </c>
      <c r="N712">
        <f t="shared" si="35"/>
        <v>1</v>
      </c>
    </row>
    <row r="713" spans="1:14" x14ac:dyDescent="0.35">
      <c r="A713" t="s">
        <v>2269</v>
      </c>
      <c r="B713" t="s">
        <v>58</v>
      </c>
      <c r="C713" t="s">
        <v>979</v>
      </c>
      <c r="D713">
        <v>21.978764999999999</v>
      </c>
      <c r="E713" t="s">
        <v>35</v>
      </c>
      <c r="F713" s="1">
        <v>44497</v>
      </c>
      <c r="G713" s="1">
        <v>45708</v>
      </c>
      <c r="H713" t="s">
        <v>14</v>
      </c>
      <c r="I713" t="s">
        <v>2778</v>
      </c>
      <c r="J713">
        <v>264698</v>
      </c>
      <c r="K713" t="s">
        <v>30</v>
      </c>
      <c r="L713" t="str">
        <f t="shared" si="33"/>
        <v>Available</v>
      </c>
      <c r="M713">
        <f t="shared" si="34"/>
        <v>0</v>
      </c>
      <c r="N713">
        <f t="shared" si="35"/>
        <v>1</v>
      </c>
    </row>
    <row r="714" spans="1:14" x14ac:dyDescent="0.35">
      <c r="A714" t="s">
        <v>2270</v>
      </c>
      <c r="B714" t="s">
        <v>130</v>
      </c>
      <c r="C714" t="s">
        <v>980</v>
      </c>
      <c r="D714">
        <v>25</v>
      </c>
      <c r="E714" t="s">
        <v>13</v>
      </c>
      <c r="F714" s="1">
        <v>44497</v>
      </c>
      <c r="G714" s="1">
        <v>46059</v>
      </c>
      <c r="H714" t="s">
        <v>14</v>
      </c>
      <c r="I714" s="2">
        <v>16273370</v>
      </c>
      <c r="J714">
        <v>261756</v>
      </c>
      <c r="K714" t="s">
        <v>15</v>
      </c>
      <c r="L714" t="str">
        <f t="shared" si="33"/>
        <v>Available</v>
      </c>
      <c r="M714">
        <f t="shared" si="34"/>
        <v>1</v>
      </c>
      <c r="N714">
        <f t="shared" si="35"/>
        <v>1</v>
      </c>
    </row>
    <row r="715" spans="1:14" x14ac:dyDescent="0.35">
      <c r="A715" t="s">
        <v>2271</v>
      </c>
      <c r="B715" t="s">
        <v>650</v>
      </c>
      <c r="C715" t="s">
        <v>981</v>
      </c>
      <c r="D715">
        <v>15.36</v>
      </c>
      <c r="E715" t="s">
        <v>13</v>
      </c>
      <c r="F715" s="1">
        <v>44497</v>
      </c>
      <c r="G715" s="1">
        <v>46059</v>
      </c>
      <c r="H715" t="s">
        <v>14</v>
      </c>
      <c r="I715" t="s">
        <v>2778</v>
      </c>
      <c r="J715">
        <v>262144</v>
      </c>
      <c r="K715" t="s">
        <v>30</v>
      </c>
      <c r="L715" t="str">
        <f t="shared" si="33"/>
        <v>Available</v>
      </c>
      <c r="M715">
        <f t="shared" si="34"/>
        <v>0</v>
      </c>
      <c r="N715">
        <f t="shared" si="35"/>
        <v>1</v>
      </c>
    </row>
    <row r="716" spans="1:14" x14ac:dyDescent="0.35">
      <c r="A716" t="s">
        <v>2272</v>
      </c>
      <c r="C716" t="s">
        <v>982</v>
      </c>
      <c r="D716">
        <v>24</v>
      </c>
      <c r="E716" t="s">
        <v>13</v>
      </c>
      <c r="F716" s="1">
        <v>44497</v>
      </c>
      <c r="G716" s="1">
        <v>46059</v>
      </c>
      <c r="H716" t="s">
        <v>14</v>
      </c>
      <c r="I716" s="2">
        <v>77087</v>
      </c>
      <c r="J716">
        <v>261895</v>
      </c>
      <c r="K716" t="s">
        <v>15</v>
      </c>
      <c r="L716" t="str">
        <f t="shared" si="33"/>
        <v>Missing</v>
      </c>
      <c r="M716">
        <f t="shared" si="34"/>
        <v>1</v>
      </c>
      <c r="N716">
        <f t="shared" si="35"/>
        <v>0</v>
      </c>
    </row>
    <row r="717" spans="1:14" x14ac:dyDescent="0.35">
      <c r="A717" t="s">
        <v>2273</v>
      </c>
      <c r="B717" t="s">
        <v>60</v>
      </c>
      <c r="C717" t="s">
        <v>983</v>
      </c>
      <c r="D717">
        <v>25</v>
      </c>
      <c r="E717" t="s">
        <v>13</v>
      </c>
      <c r="F717" s="1">
        <v>44497</v>
      </c>
      <c r="G717" s="1">
        <v>46058</v>
      </c>
      <c r="H717" t="s">
        <v>14</v>
      </c>
      <c r="I717" s="2">
        <v>22696882</v>
      </c>
      <c r="J717">
        <v>266981</v>
      </c>
      <c r="K717" t="s">
        <v>15</v>
      </c>
      <c r="L717" t="str">
        <f t="shared" si="33"/>
        <v>Available</v>
      </c>
      <c r="M717">
        <f t="shared" si="34"/>
        <v>1</v>
      </c>
      <c r="N717">
        <f t="shared" si="35"/>
        <v>1</v>
      </c>
    </row>
    <row r="718" spans="1:14" x14ac:dyDescent="0.35">
      <c r="A718" t="s">
        <v>2274</v>
      </c>
      <c r="C718" t="s">
        <v>984</v>
      </c>
      <c r="D718">
        <v>24</v>
      </c>
      <c r="E718" t="s">
        <v>13</v>
      </c>
      <c r="F718" s="1">
        <v>44500</v>
      </c>
      <c r="G718" s="1">
        <v>46058</v>
      </c>
      <c r="H718" t="s">
        <v>14</v>
      </c>
      <c r="I718" t="s">
        <v>2778</v>
      </c>
      <c r="J718">
        <v>267065</v>
      </c>
      <c r="K718" t="s">
        <v>30</v>
      </c>
      <c r="L718" t="str">
        <f t="shared" si="33"/>
        <v>Missing</v>
      </c>
      <c r="M718">
        <f t="shared" si="34"/>
        <v>0</v>
      </c>
      <c r="N718">
        <f t="shared" si="35"/>
        <v>0</v>
      </c>
    </row>
    <row r="719" spans="1:14" x14ac:dyDescent="0.35">
      <c r="A719" t="s">
        <v>2275</v>
      </c>
      <c r="C719" t="s">
        <v>985</v>
      </c>
      <c r="D719">
        <v>15.3</v>
      </c>
      <c r="E719" t="s">
        <v>13</v>
      </c>
      <c r="F719" s="1">
        <v>44497</v>
      </c>
      <c r="G719" s="1">
        <v>46059</v>
      </c>
      <c r="H719" t="s">
        <v>14</v>
      </c>
      <c r="I719" s="2">
        <v>322606</v>
      </c>
      <c r="J719">
        <v>266835</v>
      </c>
      <c r="K719" t="s">
        <v>15</v>
      </c>
      <c r="L719" t="str">
        <f t="shared" si="33"/>
        <v>Missing</v>
      </c>
      <c r="M719">
        <f t="shared" si="34"/>
        <v>1</v>
      </c>
      <c r="N719">
        <f t="shared" si="35"/>
        <v>0</v>
      </c>
    </row>
    <row r="720" spans="1:14" x14ac:dyDescent="0.35">
      <c r="A720" t="s">
        <v>2276</v>
      </c>
      <c r="B720" t="s">
        <v>987</v>
      </c>
      <c r="C720" t="s">
        <v>986</v>
      </c>
      <c r="D720">
        <v>20.288091000000001</v>
      </c>
      <c r="E720" t="s">
        <v>35</v>
      </c>
      <c r="F720" s="1">
        <v>45562</v>
      </c>
      <c r="G720" s="1">
        <v>46058</v>
      </c>
      <c r="H720" t="s">
        <v>14</v>
      </c>
      <c r="I720" t="s">
        <v>2778</v>
      </c>
      <c r="J720">
        <v>266389</v>
      </c>
      <c r="K720" t="s">
        <v>30</v>
      </c>
      <c r="L720" t="str">
        <f t="shared" si="33"/>
        <v>Available</v>
      </c>
      <c r="M720">
        <f t="shared" si="34"/>
        <v>0</v>
      </c>
      <c r="N720">
        <f t="shared" si="35"/>
        <v>1</v>
      </c>
    </row>
    <row r="721" spans="1:14" x14ac:dyDescent="0.35">
      <c r="A721" t="s">
        <v>2277</v>
      </c>
      <c r="B721" t="s">
        <v>668</v>
      </c>
      <c r="C721" t="s">
        <v>988</v>
      </c>
      <c r="D721">
        <v>24</v>
      </c>
      <c r="E721" t="s">
        <v>13</v>
      </c>
      <c r="F721" s="1">
        <v>44497</v>
      </c>
      <c r="G721" s="1">
        <v>46059</v>
      </c>
      <c r="H721" t="s">
        <v>14</v>
      </c>
      <c r="I721" s="2">
        <v>9975</v>
      </c>
      <c r="J721">
        <v>266350</v>
      </c>
      <c r="K721" t="s">
        <v>15</v>
      </c>
      <c r="L721" t="str">
        <f t="shared" si="33"/>
        <v>Available</v>
      </c>
      <c r="M721">
        <f t="shared" si="34"/>
        <v>1</v>
      </c>
      <c r="N721">
        <f t="shared" si="35"/>
        <v>1</v>
      </c>
    </row>
    <row r="722" spans="1:14" x14ac:dyDescent="0.35">
      <c r="A722" t="s">
        <v>2278</v>
      </c>
      <c r="B722" t="s">
        <v>156</v>
      </c>
      <c r="C722" t="s">
        <v>989</v>
      </c>
      <c r="D722">
        <v>24</v>
      </c>
      <c r="E722" t="s">
        <v>13</v>
      </c>
      <c r="F722" s="1">
        <v>44626</v>
      </c>
      <c r="G722" s="1">
        <v>46059</v>
      </c>
      <c r="H722" t="s">
        <v>14</v>
      </c>
      <c r="I722" s="2">
        <v>26932445</v>
      </c>
      <c r="J722">
        <v>261578</v>
      </c>
      <c r="K722" t="s">
        <v>15</v>
      </c>
      <c r="L722" t="str">
        <f t="shared" si="33"/>
        <v>Available</v>
      </c>
      <c r="M722">
        <f t="shared" si="34"/>
        <v>1</v>
      </c>
      <c r="N722">
        <f t="shared" si="35"/>
        <v>1</v>
      </c>
    </row>
    <row r="723" spans="1:14" x14ac:dyDescent="0.35">
      <c r="A723" t="s">
        <v>2279</v>
      </c>
      <c r="B723" t="s">
        <v>708</v>
      </c>
      <c r="C723" t="s">
        <v>990</v>
      </c>
      <c r="D723">
        <v>24</v>
      </c>
      <c r="E723" t="s">
        <v>13</v>
      </c>
      <c r="F723" s="1">
        <v>44507</v>
      </c>
      <c r="G723" s="1">
        <v>46059</v>
      </c>
      <c r="H723" t="s">
        <v>14</v>
      </c>
      <c r="I723" s="2">
        <v>20211750</v>
      </c>
      <c r="J723">
        <v>264447</v>
      </c>
      <c r="K723" t="s">
        <v>15</v>
      </c>
      <c r="L723" t="str">
        <f t="shared" si="33"/>
        <v>Available</v>
      </c>
      <c r="M723">
        <f t="shared" si="34"/>
        <v>1</v>
      </c>
      <c r="N723">
        <f t="shared" si="35"/>
        <v>1</v>
      </c>
    </row>
    <row r="724" spans="1:14" x14ac:dyDescent="0.35">
      <c r="A724" t="s">
        <v>2280</v>
      </c>
      <c r="B724" t="s">
        <v>424</v>
      </c>
      <c r="C724" t="s">
        <v>991</v>
      </c>
      <c r="D724">
        <v>24</v>
      </c>
      <c r="E724" t="s">
        <v>13</v>
      </c>
      <c r="F724" s="1">
        <v>44497</v>
      </c>
      <c r="G724" s="1">
        <v>46060</v>
      </c>
      <c r="H724" t="s">
        <v>14</v>
      </c>
      <c r="I724" s="2">
        <v>39255</v>
      </c>
      <c r="J724">
        <v>264210</v>
      </c>
      <c r="K724" t="s">
        <v>15</v>
      </c>
      <c r="L724" t="str">
        <f t="shared" si="33"/>
        <v>Available</v>
      </c>
      <c r="M724">
        <f t="shared" si="34"/>
        <v>1</v>
      </c>
      <c r="N724">
        <f t="shared" si="35"/>
        <v>1</v>
      </c>
    </row>
    <row r="725" spans="1:14" x14ac:dyDescent="0.35">
      <c r="A725" t="s">
        <v>2281</v>
      </c>
      <c r="C725" t="s">
        <v>992</v>
      </c>
      <c r="D725">
        <v>25</v>
      </c>
      <c r="E725" t="s">
        <v>13</v>
      </c>
      <c r="F725" s="1">
        <v>44579</v>
      </c>
      <c r="G725" s="1">
        <v>45961</v>
      </c>
      <c r="H725" t="s">
        <v>14</v>
      </c>
      <c r="I725" t="s">
        <v>2778</v>
      </c>
      <c r="J725">
        <v>266906</v>
      </c>
      <c r="K725" t="s">
        <v>30</v>
      </c>
      <c r="L725" t="str">
        <f t="shared" si="33"/>
        <v>Missing</v>
      </c>
      <c r="M725">
        <f t="shared" si="34"/>
        <v>0</v>
      </c>
      <c r="N725">
        <f t="shared" si="35"/>
        <v>0</v>
      </c>
    </row>
    <row r="726" spans="1:14" x14ac:dyDescent="0.35">
      <c r="A726" t="s">
        <v>2282</v>
      </c>
      <c r="B726" t="s">
        <v>994</v>
      </c>
      <c r="C726" t="s">
        <v>993</v>
      </c>
      <c r="D726">
        <v>25</v>
      </c>
      <c r="E726" t="s">
        <v>13</v>
      </c>
      <c r="F726" s="1">
        <v>44497</v>
      </c>
      <c r="G726" s="1">
        <v>46057</v>
      </c>
      <c r="H726" t="s">
        <v>14</v>
      </c>
      <c r="I726" s="2">
        <v>17649189</v>
      </c>
      <c r="J726">
        <v>261577</v>
      </c>
      <c r="K726" t="s">
        <v>15</v>
      </c>
      <c r="L726" t="str">
        <f t="shared" si="33"/>
        <v>Available</v>
      </c>
      <c r="M726">
        <f t="shared" si="34"/>
        <v>1</v>
      </c>
      <c r="N726">
        <f t="shared" si="35"/>
        <v>1</v>
      </c>
    </row>
    <row r="727" spans="1:14" x14ac:dyDescent="0.35">
      <c r="A727" t="s">
        <v>2283</v>
      </c>
      <c r="B727" t="s">
        <v>58</v>
      </c>
      <c r="C727" t="s">
        <v>995</v>
      </c>
      <c r="D727">
        <v>20.288091000000001</v>
      </c>
      <c r="E727" t="s">
        <v>35</v>
      </c>
      <c r="F727" s="1">
        <v>45631</v>
      </c>
      <c r="G727" s="1">
        <v>46058</v>
      </c>
      <c r="H727" t="s">
        <v>14</v>
      </c>
      <c r="I727" t="s">
        <v>2778</v>
      </c>
      <c r="J727">
        <v>264127</v>
      </c>
      <c r="K727" t="s">
        <v>30</v>
      </c>
      <c r="L727" t="str">
        <f t="shared" si="33"/>
        <v>Available</v>
      </c>
      <c r="M727">
        <f t="shared" si="34"/>
        <v>0</v>
      </c>
      <c r="N727">
        <f t="shared" si="35"/>
        <v>1</v>
      </c>
    </row>
    <row r="728" spans="1:14" x14ac:dyDescent="0.35">
      <c r="A728" t="s">
        <v>2284</v>
      </c>
      <c r="B728" t="s">
        <v>165</v>
      </c>
      <c r="C728" t="s">
        <v>996</v>
      </c>
      <c r="D728">
        <v>25</v>
      </c>
      <c r="E728" t="s">
        <v>13</v>
      </c>
      <c r="F728" s="1">
        <v>44497</v>
      </c>
      <c r="G728" s="1">
        <v>46059</v>
      </c>
      <c r="H728" t="s">
        <v>14</v>
      </c>
      <c r="I728" s="2">
        <v>3296957</v>
      </c>
      <c r="J728">
        <v>267094</v>
      </c>
      <c r="K728" t="s">
        <v>15</v>
      </c>
      <c r="L728" t="str">
        <f t="shared" si="33"/>
        <v>Available</v>
      </c>
      <c r="M728">
        <f t="shared" si="34"/>
        <v>1</v>
      </c>
      <c r="N728">
        <f t="shared" si="35"/>
        <v>1</v>
      </c>
    </row>
    <row r="729" spans="1:14" x14ac:dyDescent="0.35">
      <c r="A729" t="s">
        <v>2285</v>
      </c>
      <c r="B729" t="s">
        <v>58</v>
      </c>
      <c r="C729" t="s">
        <v>997</v>
      </c>
      <c r="D729">
        <v>21.978764999999999</v>
      </c>
      <c r="E729" t="s">
        <v>35</v>
      </c>
      <c r="F729" s="1">
        <v>44497</v>
      </c>
      <c r="G729" s="1">
        <v>45638</v>
      </c>
      <c r="H729" t="s">
        <v>14</v>
      </c>
      <c r="I729" t="s">
        <v>2778</v>
      </c>
      <c r="J729">
        <v>266336</v>
      </c>
      <c r="K729" t="s">
        <v>30</v>
      </c>
      <c r="L729" t="str">
        <f t="shared" si="33"/>
        <v>Available</v>
      </c>
      <c r="M729">
        <f t="shared" si="34"/>
        <v>0</v>
      </c>
      <c r="N729">
        <f t="shared" si="35"/>
        <v>1</v>
      </c>
    </row>
    <row r="730" spans="1:14" x14ac:dyDescent="0.35">
      <c r="A730" t="s">
        <v>2286</v>
      </c>
      <c r="C730" t="s">
        <v>998</v>
      </c>
      <c r="D730">
        <v>25</v>
      </c>
      <c r="E730" t="s">
        <v>13</v>
      </c>
      <c r="F730" s="1">
        <v>44534</v>
      </c>
      <c r="G730" s="1">
        <v>45599</v>
      </c>
      <c r="H730" t="s">
        <v>14</v>
      </c>
      <c r="I730" t="s">
        <v>2778</v>
      </c>
      <c r="J730">
        <v>261479</v>
      </c>
      <c r="K730" t="s">
        <v>30</v>
      </c>
      <c r="L730" t="str">
        <f t="shared" si="33"/>
        <v>Missing</v>
      </c>
      <c r="M730">
        <f t="shared" si="34"/>
        <v>0</v>
      </c>
      <c r="N730">
        <f t="shared" si="35"/>
        <v>0</v>
      </c>
    </row>
    <row r="731" spans="1:14" x14ac:dyDescent="0.35">
      <c r="A731" t="s">
        <v>2287</v>
      </c>
      <c r="B731" t="s">
        <v>58</v>
      </c>
      <c r="C731" t="s">
        <v>999</v>
      </c>
      <c r="D731">
        <v>24</v>
      </c>
      <c r="E731" t="s">
        <v>13</v>
      </c>
      <c r="F731" s="1">
        <v>44497</v>
      </c>
      <c r="G731" s="1">
        <v>45918</v>
      </c>
      <c r="H731" t="s">
        <v>14</v>
      </c>
      <c r="I731" t="s">
        <v>2778</v>
      </c>
      <c r="J731">
        <v>266341</v>
      </c>
      <c r="K731" t="s">
        <v>30</v>
      </c>
      <c r="L731" t="str">
        <f t="shared" si="33"/>
        <v>Available</v>
      </c>
      <c r="M731">
        <f t="shared" si="34"/>
        <v>0</v>
      </c>
      <c r="N731">
        <f t="shared" si="35"/>
        <v>1</v>
      </c>
    </row>
    <row r="732" spans="1:14" x14ac:dyDescent="0.35">
      <c r="A732" t="s">
        <v>2288</v>
      </c>
      <c r="B732" t="s">
        <v>121</v>
      </c>
      <c r="C732" t="s">
        <v>1000</v>
      </c>
      <c r="D732">
        <v>24</v>
      </c>
      <c r="E732" t="s">
        <v>13</v>
      </c>
      <c r="F732" s="1">
        <v>44497</v>
      </c>
      <c r="G732" s="1">
        <v>46059</v>
      </c>
      <c r="H732" t="s">
        <v>14</v>
      </c>
      <c r="I732" s="2">
        <v>3356570</v>
      </c>
      <c r="J732">
        <v>266533</v>
      </c>
      <c r="K732" t="s">
        <v>15</v>
      </c>
      <c r="L732" t="str">
        <f t="shared" si="33"/>
        <v>Available</v>
      </c>
      <c r="M732">
        <f t="shared" si="34"/>
        <v>1</v>
      </c>
      <c r="N732">
        <f t="shared" si="35"/>
        <v>1</v>
      </c>
    </row>
    <row r="733" spans="1:14" x14ac:dyDescent="0.35">
      <c r="A733" t="s">
        <v>2289</v>
      </c>
      <c r="B733" t="s">
        <v>96</v>
      </c>
      <c r="C733" t="s">
        <v>1001</v>
      </c>
      <c r="D733">
        <v>24</v>
      </c>
      <c r="E733" t="s">
        <v>13</v>
      </c>
      <c r="F733" s="1">
        <v>44497</v>
      </c>
      <c r="G733" s="1">
        <v>46058</v>
      </c>
      <c r="H733" t="s">
        <v>14</v>
      </c>
      <c r="I733" s="2">
        <v>19977855</v>
      </c>
      <c r="J733">
        <v>261645</v>
      </c>
      <c r="K733" t="s">
        <v>15</v>
      </c>
      <c r="L733" t="str">
        <f t="shared" si="33"/>
        <v>Available</v>
      </c>
      <c r="M733">
        <f t="shared" si="34"/>
        <v>1</v>
      </c>
      <c r="N733">
        <f t="shared" si="35"/>
        <v>1</v>
      </c>
    </row>
    <row r="734" spans="1:14" x14ac:dyDescent="0.35">
      <c r="A734" t="s">
        <v>2290</v>
      </c>
      <c r="B734" t="s">
        <v>814</v>
      </c>
      <c r="C734" t="s">
        <v>1002</v>
      </c>
      <c r="D734">
        <v>24</v>
      </c>
      <c r="E734" t="s">
        <v>13</v>
      </c>
      <c r="F734" s="1">
        <v>45342</v>
      </c>
      <c r="G734" s="1">
        <v>46060</v>
      </c>
      <c r="H734" t="s">
        <v>14</v>
      </c>
      <c r="I734" s="2">
        <v>43727085</v>
      </c>
      <c r="J734">
        <v>264275</v>
      </c>
      <c r="K734" t="s">
        <v>15</v>
      </c>
      <c r="L734" t="str">
        <f t="shared" si="33"/>
        <v>Available</v>
      </c>
      <c r="M734">
        <f t="shared" si="34"/>
        <v>1</v>
      </c>
      <c r="N734">
        <f t="shared" si="35"/>
        <v>1</v>
      </c>
    </row>
    <row r="735" spans="1:14" x14ac:dyDescent="0.35">
      <c r="A735" t="s">
        <v>2291</v>
      </c>
      <c r="B735" t="s">
        <v>420</v>
      </c>
      <c r="C735" t="s">
        <v>1003</v>
      </c>
      <c r="F735" s="1">
        <v>44866</v>
      </c>
      <c r="G735" s="1">
        <v>45099</v>
      </c>
      <c r="H735" t="s">
        <v>14</v>
      </c>
      <c r="I735" t="s">
        <v>2778</v>
      </c>
      <c r="J735">
        <v>266436</v>
      </c>
      <c r="K735" t="s">
        <v>30</v>
      </c>
      <c r="L735" t="str">
        <f t="shared" si="33"/>
        <v>Available</v>
      </c>
      <c r="M735">
        <f t="shared" si="34"/>
        <v>0</v>
      </c>
      <c r="N735">
        <f t="shared" si="35"/>
        <v>1</v>
      </c>
    </row>
    <row r="736" spans="1:14" x14ac:dyDescent="0.35">
      <c r="A736" t="s">
        <v>2292</v>
      </c>
      <c r="B736" t="s">
        <v>1005</v>
      </c>
      <c r="C736" t="s">
        <v>1004</v>
      </c>
      <c r="D736">
        <v>26</v>
      </c>
      <c r="E736" t="s">
        <v>13</v>
      </c>
      <c r="F736" s="1">
        <v>44497</v>
      </c>
      <c r="G736" s="1">
        <v>46059</v>
      </c>
      <c r="H736" t="s">
        <v>14</v>
      </c>
      <c r="I736" s="2">
        <v>91449</v>
      </c>
      <c r="J736">
        <v>261852</v>
      </c>
      <c r="K736" t="s">
        <v>15</v>
      </c>
      <c r="L736" t="str">
        <f t="shared" si="33"/>
        <v>Available</v>
      </c>
      <c r="M736">
        <f t="shared" si="34"/>
        <v>1</v>
      </c>
      <c r="N736">
        <f t="shared" si="35"/>
        <v>1</v>
      </c>
    </row>
    <row r="737" spans="1:14" x14ac:dyDescent="0.35">
      <c r="A737" t="s">
        <v>2293</v>
      </c>
      <c r="B737" t="s">
        <v>121</v>
      </c>
      <c r="C737" t="s">
        <v>1006</v>
      </c>
      <c r="D737">
        <v>24</v>
      </c>
      <c r="E737" t="s">
        <v>13</v>
      </c>
      <c r="F737" s="1">
        <v>44497</v>
      </c>
      <c r="G737" s="1">
        <v>46059</v>
      </c>
      <c r="H737" t="s">
        <v>14</v>
      </c>
      <c r="I737" s="2">
        <v>1854363</v>
      </c>
      <c r="J737">
        <v>266349</v>
      </c>
      <c r="K737" t="s">
        <v>15</v>
      </c>
      <c r="L737" t="str">
        <f t="shared" si="33"/>
        <v>Available</v>
      </c>
      <c r="M737">
        <f t="shared" si="34"/>
        <v>1</v>
      </c>
      <c r="N737">
        <f t="shared" si="35"/>
        <v>1</v>
      </c>
    </row>
    <row r="738" spans="1:14" x14ac:dyDescent="0.35">
      <c r="A738" t="s">
        <v>2294</v>
      </c>
      <c r="B738" t="s">
        <v>779</v>
      </c>
      <c r="C738" t="s">
        <v>1007</v>
      </c>
      <c r="D738">
        <v>26</v>
      </c>
      <c r="E738" t="s">
        <v>13</v>
      </c>
      <c r="F738" s="1">
        <v>44497</v>
      </c>
      <c r="G738" s="1">
        <v>46059</v>
      </c>
      <c r="H738" t="s">
        <v>14</v>
      </c>
      <c r="I738" s="2">
        <v>232485</v>
      </c>
      <c r="J738">
        <v>264584</v>
      </c>
      <c r="K738" t="s">
        <v>15</v>
      </c>
      <c r="L738" t="str">
        <f t="shared" si="33"/>
        <v>Available</v>
      </c>
      <c r="M738">
        <f t="shared" si="34"/>
        <v>1</v>
      </c>
      <c r="N738">
        <f t="shared" si="35"/>
        <v>1</v>
      </c>
    </row>
    <row r="739" spans="1:14" x14ac:dyDescent="0.35">
      <c r="A739" t="s">
        <v>2295</v>
      </c>
      <c r="B739" t="s">
        <v>1009</v>
      </c>
      <c r="C739" t="s">
        <v>1008</v>
      </c>
      <c r="D739">
        <v>25</v>
      </c>
      <c r="E739" t="s">
        <v>13</v>
      </c>
      <c r="F739" s="1">
        <v>44497</v>
      </c>
      <c r="G739" s="1">
        <v>46059</v>
      </c>
      <c r="H739" t="s">
        <v>14</v>
      </c>
      <c r="I739" s="2">
        <v>98548</v>
      </c>
      <c r="J739">
        <v>261521</v>
      </c>
      <c r="K739" t="s">
        <v>15</v>
      </c>
      <c r="L739" t="str">
        <f t="shared" si="33"/>
        <v>Available</v>
      </c>
      <c r="M739">
        <f t="shared" si="34"/>
        <v>1</v>
      </c>
      <c r="N739">
        <f t="shared" si="35"/>
        <v>1</v>
      </c>
    </row>
    <row r="740" spans="1:14" x14ac:dyDescent="0.35">
      <c r="A740" t="s">
        <v>2296</v>
      </c>
      <c r="B740" t="s">
        <v>158</v>
      </c>
      <c r="C740" t="s">
        <v>1010</v>
      </c>
      <c r="D740">
        <v>25</v>
      </c>
      <c r="E740" t="s">
        <v>13</v>
      </c>
      <c r="F740" s="1">
        <v>44497</v>
      </c>
      <c r="G740" s="1">
        <v>46059</v>
      </c>
      <c r="H740" t="s">
        <v>14</v>
      </c>
      <c r="I740" s="2">
        <v>80811</v>
      </c>
      <c r="J740">
        <v>266365</v>
      </c>
      <c r="K740" t="s">
        <v>15</v>
      </c>
      <c r="L740" t="str">
        <f t="shared" si="33"/>
        <v>Available</v>
      </c>
      <c r="M740">
        <f t="shared" si="34"/>
        <v>1</v>
      </c>
      <c r="N740">
        <f t="shared" si="35"/>
        <v>1</v>
      </c>
    </row>
    <row r="741" spans="1:14" x14ac:dyDescent="0.35">
      <c r="A741" t="s">
        <v>2297</v>
      </c>
      <c r="C741" t="s">
        <v>1011</v>
      </c>
      <c r="D741">
        <v>26</v>
      </c>
      <c r="E741" t="s">
        <v>13</v>
      </c>
      <c r="F741" s="1">
        <v>44503</v>
      </c>
      <c r="G741" s="1">
        <v>46058</v>
      </c>
      <c r="H741" t="s">
        <v>14</v>
      </c>
      <c r="I741" s="2">
        <v>17411488</v>
      </c>
      <c r="J741">
        <v>264739</v>
      </c>
      <c r="K741" t="s">
        <v>15</v>
      </c>
      <c r="L741" t="str">
        <f t="shared" si="33"/>
        <v>Missing</v>
      </c>
      <c r="M741">
        <f t="shared" si="34"/>
        <v>1</v>
      </c>
      <c r="N741">
        <f t="shared" si="35"/>
        <v>0</v>
      </c>
    </row>
    <row r="742" spans="1:14" x14ac:dyDescent="0.35">
      <c r="A742" t="s">
        <v>2298</v>
      </c>
      <c r="C742" t="s">
        <v>1012</v>
      </c>
      <c r="D742">
        <v>24</v>
      </c>
      <c r="E742" t="s">
        <v>13</v>
      </c>
      <c r="F742" s="1">
        <v>44497</v>
      </c>
      <c r="G742" s="1">
        <v>46059</v>
      </c>
      <c r="H742" t="s">
        <v>14</v>
      </c>
      <c r="I742" s="2">
        <v>17070862</v>
      </c>
      <c r="J742">
        <v>264727</v>
      </c>
      <c r="K742" t="s">
        <v>15</v>
      </c>
      <c r="L742" t="str">
        <f t="shared" si="33"/>
        <v>Missing</v>
      </c>
      <c r="M742">
        <f t="shared" si="34"/>
        <v>1</v>
      </c>
      <c r="N742">
        <f t="shared" si="35"/>
        <v>0</v>
      </c>
    </row>
    <row r="743" spans="1:14" x14ac:dyDescent="0.35">
      <c r="A743" t="s">
        <v>2299</v>
      </c>
      <c r="B743" t="s">
        <v>1014</v>
      </c>
      <c r="C743" t="s">
        <v>1013</v>
      </c>
      <c r="D743">
        <v>26</v>
      </c>
      <c r="E743" t="s">
        <v>13</v>
      </c>
      <c r="F743" s="1">
        <v>44502</v>
      </c>
      <c r="G743" s="1">
        <v>45683</v>
      </c>
      <c r="H743" t="s">
        <v>14</v>
      </c>
      <c r="I743" t="s">
        <v>2778</v>
      </c>
      <c r="J743">
        <v>266335</v>
      </c>
      <c r="K743" t="s">
        <v>30</v>
      </c>
      <c r="L743" t="str">
        <f t="shared" si="33"/>
        <v>Available</v>
      </c>
      <c r="M743">
        <f t="shared" si="34"/>
        <v>0</v>
      </c>
      <c r="N743">
        <f t="shared" si="35"/>
        <v>1</v>
      </c>
    </row>
    <row r="744" spans="1:14" x14ac:dyDescent="0.35">
      <c r="A744" t="s">
        <v>2300</v>
      </c>
      <c r="B744" t="s">
        <v>283</v>
      </c>
      <c r="C744" t="s">
        <v>1015</v>
      </c>
      <c r="D744">
        <v>24</v>
      </c>
      <c r="E744" t="s">
        <v>13</v>
      </c>
      <c r="F744" s="1">
        <v>44497</v>
      </c>
      <c r="G744" s="1">
        <v>46059</v>
      </c>
      <c r="H744" t="s">
        <v>14</v>
      </c>
      <c r="I744" s="2">
        <v>2659205</v>
      </c>
      <c r="J744">
        <v>266494</v>
      </c>
      <c r="K744" t="s">
        <v>15</v>
      </c>
      <c r="L744" t="str">
        <f t="shared" si="33"/>
        <v>Available</v>
      </c>
      <c r="M744">
        <f t="shared" si="34"/>
        <v>1</v>
      </c>
      <c r="N744">
        <f t="shared" si="35"/>
        <v>1</v>
      </c>
    </row>
    <row r="745" spans="1:14" x14ac:dyDescent="0.35">
      <c r="A745" t="s">
        <v>2301</v>
      </c>
      <c r="C745" t="s">
        <v>1016</v>
      </c>
      <c r="D745">
        <v>24</v>
      </c>
      <c r="E745" t="s">
        <v>13</v>
      </c>
      <c r="F745" s="1">
        <v>44501</v>
      </c>
      <c r="G745" s="1">
        <v>46056</v>
      </c>
      <c r="H745" t="s">
        <v>14</v>
      </c>
      <c r="I745" s="2">
        <v>91496</v>
      </c>
      <c r="J745">
        <v>266384</v>
      </c>
      <c r="K745" t="s">
        <v>15</v>
      </c>
      <c r="L745" t="str">
        <f t="shared" si="33"/>
        <v>Missing</v>
      </c>
      <c r="M745">
        <f t="shared" si="34"/>
        <v>1</v>
      </c>
      <c r="N745">
        <f t="shared" si="35"/>
        <v>0</v>
      </c>
    </row>
    <row r="746" spans="1:14" x14ac:dyDescent="0.35">
      <c r="A746" t="s">
        <v>2302</v>
      </c>
      <c r="B746" t="s">
        <v>99</v>
      </c>
      <c r="C746" t="s">
        <v>1017</v>
      </c>
      <c r="D746">
        <v>24</v>
      </c>
      <c r="E746" t="s">
        <v>13</v>
      </c>
      <c r="F746" s="1">
        <v>44500</v>
      </c>
      <c r="G746" s="1">
        <v>46059</v>
      </c>
      <c r="H746" t="s">
        <v>14</v>
      </c>
      <c r="I746" s="2">
        <v>19278556</v>
      </c>
      <c r="J746">
        <v>261517</v>
      </c>
      <c r="K746" t="s">
        <v>15</v>
      </c>
      <c r="L746" t="str">
        <f t="shared" si="33"/>
        <v>Available</v>
      </c>
      <c r="M746">
        <f t="shared" si="34"/>
        <v>1</v>
      </c>
      <c r="N746">
        <f t="shared" si="35"/>
        <v>1</v>
      </c>
    </row>
    <row r="747" spans="1:14" x14ac:dyDescent="0.35">
      <c r="A747" t="s">
        <v>2303</v>
      </c>
      <c r="B747" t="s">
        <v>130</v>
      </c>
      <c r="C747" t="s">
        <v>1018</v>
      </c>
      <c r="D747">
        <v>25</v>
      </c>
      <c r="E747" t="s">
        <v>13</v>
      </c>
      <c r="F747" s="1">
        <v>44497</v>
      </c>
      <c r="G747" s="1">
        <v>46056</v>
      </c>
      <c r="H747" t="s">
        <v>14</v>
      </c>
      <c r="I747" s="2">
        <v>25979956</v>
      </c>
      <c r="J747">
        <v>264131</v>
      </c>
      <c r="K747" t="s">
        <v>15</v>
      </c>
      <c r="L747" t="str">
        <f t="shared" si="33"/>
        <v>Available</v>
      </c>
      <c r="M747">
        <f t="shared" si="34"/>
        <v>1</v>
      </c>
      <c r="N747">
        <f t="shared" si="35"/>
        <v>1</v>
      </c>
    </row>
    <row r="748" spans="1:14" x14ac:dyDescent="0.35">
      <c r="A748" t="s">
        <v>2304</v>
      </c>
      <c r="B748" t="s">
        <v>1020</v>
      </c>
      <c r="C748" t="s">
        <v>1019</v>
      </c>
      <c r="F748" s="1">
        <v>44497</v>
      </c>
      <c r="G748" s="1">
        <v>45029</v>
      </c>
      <c r="H748" t="s">
        <v>14</v>
      </c>
      <c r="I748" t="s">
        <v>2778</v>
      </c>
      <c r="J748">
        <v>262597</v>
      </c>
      <c r="K748" t="s">
        <v>30</v>
      </c>
      <c r="L748" t="str">
        <f t="shared" si="33"/>
        <v>Available</v>
      </c>
      <c r="M748">
        <f t="shared" si="34"/>
        <v>0</v>
      </c>
      <c r="N748">
        <f t="shared" si="35"/>
        <v>1</v>
      </c>
    </row>
    <row r="749" spans="1:14" x14ac:dyDescent="0.35">
      <c r="A749" t="s">
        <v>2305</v>
      </c>
      <c r="B749" t="s">
        <v>112</v>
      </c>
      <c r="C749" t="s">
        <v>1021</v>
      </c>
      <c r="D749">
        <v>25.5</v>
      </c>
      <c r="E749" t="s">
        <v>13</v>
      </c>
      <c r="F749" s="1">
        <v>44497</v>
      </c>
      <c r="G749" s="1">
        <v>46059</v>
      </c>
      <c r="H749" t="s">
        <v>14</v>
      </c>
      <c r="I749" s="2">
        <v>53453</v>
      </c>
      <c r="J749">
        <v>262279</v>
      </c>
      <c r="K749" t="s">
        <v>15</v>
      </c>
      <c r="L749" t="str">
        <f t="shared" si="33"/>
        <v>Available</v>
      </c>
      <c r="M749">
        <f t="shared" si="34"/>
        <v>1</v>
      </c>
      <c r="N749">
        <f t="shared" si="35"/>
        <v>1</v>
      </c>
    </row>
    <row r="750" spans="1:14" x14ac:dyDescent="0.35">
      <c r="A750" t="s">
        <v>2306</v>
      </c>
      <c r="B750" t="s">
        <v>192</v>
      </c>
      <c r="C750" t="s">
        <v>1022</v>
      </c>
      <c r="D750">
        <v>32</v>
      </c>
      <c r="E750" t="s">
        <v>13</v>
      </c>
      <c r="F750" s="1">
        <v>44497</v>
      </c>
      <c r="G750" s="1">
        <v>45952</v>
      </c>
      <c r="H750" t="s">
        <v>14</v>
      </c>
      <c r="I750" s="2">
        <v>17653197</v>
      </c>
      <c r="J750">
        <v>262278</v>
      </c>
      <c r="K750" t="s">
        <v>15</v>
      </c>
      <c r="L750" t="str">
        <f t="shared" si="33"/>
        <v>Available</v>
      </c>
      <c r="M750">
        <f t="shared" si="34"/>
        <v>1</v>
      </c>
      <c r="N750">
        <f t="shared" si="35"/>
        <v>1</v>
      </c>
    </row>
    <row r="751" spans="1:14" x14ac:dyDescent="0.35">
      <c r="A751" t="s">
        <v>2307</v>
      </c>
      <c r="B751" t="s">
        <v>19</v>
      </c>
      <c r="C751" t="s">
        <v>1023</v>
      </c>
      <c r="D751">
        <v>32</v>
      </c>
      <c r="E751" t="s">
        <v>13</v>
      </c>
      <c r="F751" s="1">
        <v>44497</v>
      </c>
      <c r="G751" s="1">
        <v>46060</v>
      </c>
      <c r="H751" t="s">
        <v>14</v>
      </c>
      <c r="I751" s="2">
        <v>18627883</v>
      </c>
      <c r="J751">
        <v>264443</v>
      </c>
      <c r="K751" t="s">
        <v>15</v>
      </c>
      <c r="L751" t="str">
        <f t="shared" si="33"/>
        <v>Available</v>
      </c>
      <c r="M751">
        <f t="shared" si="34"/>
        <v>1</v>
      </c>
      <c r="N751">
        <f t="shared" si="35"/>
        <v>1</v>
      </c>
    </row>
    <row r="752" spans="1:14" x14ac:dyDescent="0.35">
      <c r="A752" t="s">
        <v>2308</v>
      </c>
      <c r="B752" t="s">
        <v>43</v>
      </c>
      <c r="C752" t="s">
        <v>1024</v>
      </c>
      <c r="D752">
        <v>25</v>
      </c>
      <c r="E752" t="s">
        <v>13</v>
      </c>
      <c r="F752" s="1">
        <v>44497</v>
      </c>
      <c r="G752" s="1">
        <v>46059</v>
      </c>
      <c r="H752" t="s">
        <v>14</v>
      </c>
      <c r="I752" s="2">
        <v>91478</v>
      </c>
      <c r="J752">
        <v>266360</v>
      </c>
      <c r="K752" t="s">
        <v>15</v>
      </c>
      <c r="L752" t="str">
        <f t="shared" si="33"/>
        <v>Available</v>
      </c>
      <c r="M752">
        <f t="shared" si="34"/>
        <v>1</v>
      </c>
      <c r="N752">
        <f t="shared" si="35"/>
        <v>1</v>
      </c>
    </row>
    <row r="753" spans="1:14" x14ac:dyDescent="0.35">
      <c r="A753" t="s">
        <v>2309</v>
      </c>
      <c r="B753" t="s">
        <v>58</v>
      </c>
      <c r="C753" t="s">
        <v>1025</v>
      </c>
      <c r="D753">
        <v>24</v>
      </c>
      <c r="E753" t="s">
        <v>13</v>
      </c>
      <c r="F753" s="1">
        <v>44497</v>
      </c>
      <c r="G753" s="1">
        <v>46060</v>
      </c>
      <c r="H753" t="s">
        <v>14</v>
      </c>
      <c r="I753" s="2">
        <v>73912</v>
      </c>
      <c r="J753">
        <v>261854</v>
      </c>
      <c r="K753" t="s">
        <v>15</v>
      </c>
      <c r="L753" t="str">
        <f t="shared" si="33"/>
        <v>Available</v>
      </c>
      <c r="M753">
        <f t="shared" si="34"/>
        <v>1</v>
      </c>
      <c r="N753">
        <f t="shared" si="35"/>
        <v>1</v>
      </c>
    </row>
    <row r="754" spans="1:14" x14ac:dyDescent="0.35">
      <c r="A754" t="s">
        <v>2310</v>
      </c>
      <c r="B754" t="s">
        <v>82</v>
      </c>
      <c r="C754" t="s">
        <v>1026</v>
      </c>
      <c r="D754">
        <v>32</v>
      </c>
      <c r="E754" t="s">
        <v>13</v>
      </c>
      <c r="F754" s="1">
        <v>44497</v>
      </c>
      <c r="G754" s="1">
        <v>46059</v>
      </c>
      <c r="H754" t="s">
        <v>14</v>
      </c>
      <c r="I754" s="2">
        <v>18905133</v>
      </c>
      <c r="J754">
        <v>266492</v>
      </c>
      <c r="K754" t="s">
        <v>15</v>
      </c>
      <c r="L754" t="str">
        <f t="shared" si="33"/>
        <v>Available</v>
      </c>
      <c r="M754">
        <f t="shared" si="34"/>
        <v>1</v>
      </c>
      <c r="N754">
        <f t="shared" si="35"/>
        <v>1</v>
      </c>
    </row>
    <row r="755" spans="1:14" x14ac:dyDescent="0.35">
      <c r="A755" t="s">
        <v>2311</v>
      </c>
      <c r="B755" t="s">
        <v>463</v>
      </c>
      <c r="C755" t="s">
        <v>1027</v>
      </c>
      <c r="D755">
        <v>16.906742000000001</v>
      </c>
      <c r="E755" t="s">
        <v>35</v>
      </c>
      <c r="F755" s="1">
        <v>44903</v>
      </c>
      <c r="G755" s="1">
        <v>46058</v>
      </c>
      <c r="H755" t="s">
        <v>14</v>
      </c>
      <c r="I755" t="s">
        <v>2778</v>
      </c>
      <c r="J755">
        <v>262037</v>
      </c>
      <c r="K755" t="s">
        <v>30</v>
      </c>
      <c r="L755" t="str">
        <f t="shared" si="33"/>
        <v>Available</v>
      </c>
      <c r="M755">
        <f t="shared" si="34"/>
        <v>0</v>
      </c>
      <c r="N755">
        <f t="shared" si="35"/>
        <v>1</v>
      </c>
    </row>
    <row r="756" spans="1:14" x14ac:dyDescent="0.35">
      <c r="A756" t="s">
        <v>2312</v>
      </c>
      <c r="B756" t="s">
        <v>132</v>
      </c>
      <c r="C756" t="s">
        <v>1028</v>
      </c>
      <c r="F756" s="1">
        <v>45009</v>
      </c>
      <c r="G756" s="1">
        <v>45099</v>
      </c>
      <c r="H756" t="s">
        <v>14</v>
      </c>
      <c r="I756" t="s">
        <v>2778</v>
      </c>
      <c r="J756">
        <v>266343</v>
      </c>
      <c r="K756" t="s">
        <v>30</v>
      </c>
      <c r="L756" t="str">
        <f t="shared" si="33"/>
        <v>Available</v>
      </c>
      <c r="M756">
        <f t="shared" si="34"/>
        <v>0</v>
      </c>
      <c r="N756">
        <f t="shared" si="35"/>
        <v>1</v>
      </c>
    </row>
    <row r="757" spans="1:14" x14ac:dyDescent="0.35">
      <c r="A757" t="s">
        <v>2313</v>
      </c>
      <c r="B757" t="s">
        <v>242</v>
      </c>
      <c r="C757" t="s">
        <v>1029</v>
      </c>
      <c r="D757">
        <v>32</v>
      </c>
      <c r="E757" t="s">
        <v>13</v>
      </c>
      <c r="F757" s="1">
        <v>44500</v>
      </c>
      <c r="G757" s="1">
        <v>46059</v>
      </c>
      <c r="H757" t="s">
        <v>14</v>
      </c>
      <c r="I757" s="2">
        <v>228867</v>
      </c>
      <c r="J757">
        <v>264580</v>
      </c>
      <c r="K757" t="s">
        <v>15</v>
      </c>
      <c r="L757" t="str">
        <f t="shared" si="33"/>
        <v>Available</v>
      </c>
      <c r="M757">
        <f t="shared" si="34"/>
        <v>1</v>
      </c>
      <c r="N757">
        <f t="shared" si="35"/>
        <v>1</v>
      </c>
    </row>
    <row r="758" spans="1:14" x14ac:dyDescent="0.35">
      <c r="A758" t="s">
        <v>2314</v>
      </c>
      <c r="B758" t="s">
        <v>472</v>
      </c>
      <c r="C758" t="s">
        <v>1030</v>
      </c>
      <c r="D758">
        <v>24</v>
      </c>
      <c r="E758" t="s">
        <v>13</v>
      </c>
      <c r="F758" s="1">
        <v>44497</v>
      </c>
      <c r="G758" s="1">
        <v>46059</v>
      </c>
      <c r="H758" t="s">
        <v>14</v>
      </c>
      <c r="I758" s="2">
        <v>244834</v>
      </c>
      <c r="J758">
        <v>266946</v>
      </c>
      <c r="K758" t="s">
        <v>15</v>
      </c>
      <c r="L758" t="str">
        <f t="shared" si="33"/>
        <v>Available</v>
      </c>
      <c r="M758">
        <f t="shared" si="34"/>
        <v>1</v>
      </c>
      <c r="N758">
        <f t="shared" si="35"/>
        <v>1</v>
      </c>
    </row>
    <row r="759" spans="1:14" x14ac:dyDescent="0.35">
      <c r="A759" t="s">
        <v>2315</v>
      </c>
      <c r="B759" t="s">
        <v>37</v>
      </c>
      <c r="C759" t="s">
        <v>1031</v>
      </c>
      <c r="D759">
        <v>25</v>
      </c>
      <c r="E759" t="s">
        <v>13</v>
      </c>
      <c r="F759" s="1">
        <v>44668</v>
      </c>
      <c r="G759" s="1">
        <v>45672</v>
      </c>
      <c r="H759" t="s">
        <v>14</v>
      </c>
      <c r="I759" t="s">
        <v>2778</v>
      </c>
      <c r="J759">
        <v>264094</v>
      </c>
      <c r="K759" t="s">
        <v>30</v>
      </c>
      <c r="L759" t="str">
        <f t="shared" si="33"/>
        <v>Available</v>
      </c>
      <c r="M759">
        <f t="shared" si="34"/>
        <v>0</v>
      </c>
      <c r="N759">
        <f t="shared" si="35"/>
        <v>1</v>
      </c>
    </row>
    <row r="760" spans="1:14" x14ac:dyDescent="0.35">
      <c r="A760" t="s">
        <v>2316</v>
      </c>
      <c r="B760" t="s">
        <v>12</v>
      </c>
      <c r="C760" t="s">
        <v>1032</v>
      </c>
      <c r="D760">
        <v>45</v>
      </c>
      <c r="E760" t="s">
        <v>13</v>
      </c>
      <c r="F760" s="1">
        <v>44497</v>
      </c>
      <c r="G760" s="1">
        <v>46059</v>
      </c>
      <c r="H760" t="s">
        <v>14</v>
      </c>
      <c r="I760" s="2">
        <v>212231</v>
      </c>
      <c r="J760">
        <v>267025</v>
      </c>
      <c r="K760" t="s">
        <v>15</v>
      </c>
      <c r="L760" t="str">
        <f t="shared" si="33"/>
        <v>Available</v>
      </c>
      <c r="M760">
        <f t="shared" si="34"/>
        <v>1</v>
      </c>
      <c r="N760">
        <f t="shared" si="35"/>
        <v>1</v>
      </c>
    </row>
    <row r="761" spans="1:14" x14ac:dyDescent="0.35">
      <c r="A761" t="s">
        <v>2317</v>
      </c>
      <c r="B761" t="s">
        <v>32</v>
      </c>
      <c r="C761" t="s">
        <v>1033</v>
      </c>
      <c r="D761">
        <v>25</v>
      </c>
      <c r="E761" t="s">
        <v>13</v>
      </c>
      <c r="F761" s="1">
        <v>44498</v>
      </c>
      <c r="G761" s="1">
        <v>46058</v>
      </c>
      <c r="H761" t="s">
        <v>14</v>
      </c>
      <c r="I761" t="s">
        <v>2778</v>
      </c>
      <c r="J761">
        <v>262605</v>
      </c>
      <c r="K761" t="s">
        <v>30</v>
      </c>
      <c r="L761" t="str">
        <f t="shared" si="33"/>
        <v>Available</v>
      </c>
      <c r="M761">
        <f t="shared" si="34"/>
        <v>0</v>
      </c>
      <c r="N761">
        <f t="shared" si="35"/>
        <v>1</v>
      </c>
    </row>
    <row r="762" spans="1:14" x14ac:dyDescent="0.35">
      <c r="A762" t="s">
        <v>2318</v>
      </c>
      <c r="B762" t="s">
        <v>1035</v>
      </c>
      <c r="C762" t="s">
        <v>1034</v>
      </c>
      <c r="D762">
        <v>28</v>
      </c>
      <c r="E762" t="s">
        <v>13</v>
      </c>
      <c r="F762" s="1">
        <v>44500</v>
      </c>
      <c r="G762" s="1">
        <v>46056</v>
      </c>
      <c r="H762" t="s">
        <v>14</v>
      </c>
      <c r="I762" t="s">
        <v>2778</v>
      </c>
      <c r="J762">
        <v>264421</v>
      </c>
      <c r="K762" t="s">
        <v>30</v>
      </c>
      <c r="L762" t="str">
        <f t="shared" si="33"/>
        <v>Available</v>
      </c>
      <c r="M762">
        <f t="shared" si="34"/>
        <v>0</v>
      </c>
      <c r="N762">
        <f t="shared" si="35"/>
        <v>1</v>
      </c>
    </row>
    <row r="763" spans="1:14" x14ac:dyDescent="0.35">
      <c r="A763" t="s">
        <v>2319</v>
      </c>
      <c r="C763" t="s">
        <v>1036</v>
      </c>
      <c r="D763">
        <v>23.5</v>
      </c>
      <c r="E763" t="s">
        <v>13</v>
      </c>
      <c r="F763" s="1">
        <v>44497</v>
      </c>
      <c r="G763" s="1">
        <v>46059</v>
      </c>
      <c r="H763" t="s">
        <v>14</v>
      </c>
      <c r="I763" s="2">
        <v>3250353</v>
      </c>
      <c r="J763">
        <v>264033</v>
      </c>
      <c r="K763" t="s">
        <v>15</v>
      </c>
      <c r="L763" t="str">
        <f t="shared" si="33"/>
        <v>Missing</v>
      </c>
      <c r="M763">
        <f t="shared" si="34"/>
        <v>1</v>
      </c>
      <c r="N763">
        <f t="shared" si="35"/>
        <v>0</v>
      </c>
    </row>
    <row r="764" spans="1:14" x14ac:dyDescent="0.35">
      <c r="A764" t="s">
        <v>2320</v>
      </c>
      <c r="B764" t="s">
        <v>192</v>
      </c>
      <c r="C764" t="s">
        <v>1037</v>
      </c>
      <c r="D764">
        <v>32</v>
      </c>
      <c r="E764" t="s">
        <v>13</v>
      </c>
      <c r="F764" s="1">
        <v>44498</v>
      </c>
      <c r="G764" s="1">
        <v>45952</v>
      </c>
      <c r="H764" t="s">
        <v>14</v>
      </c>
      <c r="I764" t="s">
        <v>2778</v>
      </c>
      <c r="J764">
        <v>262598</v>
      </c>
      <c r="K764" t="s">
        <v>30</v>
      </c>
      <c r="L764" t="str">
        <f t="shared" si="33"/>
        <v>Available</v>
      </c>
      <c r="M764">
        <f t="shared" si="34"/>
        <v>0</v>
      </c>
      <c r="N764">
        <f t="shared" si="35"/>
        <v>1</v>
      </c>
    </row>
    <row r="765" spans="1:14" x14ac:dyDescent="0.35">
      <c r="A765" t="s">
        <v>2321</v>
      </c>
      <c r="B765" t="s">
        <v>19</v>
      </c>
      <c r="C765" t="s">
        <v>1038</v>
      </c>
      <c r="D765">
        <v>24</v>
      </c>
      <c r="E765" t="s">
        <v>13</v>
      </c>
      <c r="F765" s="1">
        <v>45679</v>
      </c>
      <c r="G765" s="1">
        <v>46059</v>
      </c>
      <c r="H765" t="s">
        <v>14</v>
      </c>
      <c r="I765" s="2">
        <v>64213253</v>
      </c>
      <c r="J765">
        <v>266619</v>
      </c>
      <c r="K765" t="s">
        <v>15</v>
      </c>
      <c r="L765" t="str">
        <f t="shared" si="33"/>
        <v>Available</v>
      </c>
      <c r="M765">
        <f t="shared" si="34"/>
        <v>1</v>
      </c>
      <c r="N765">
        <f t="shared" si="35"/>
        <v>1</v>
      </c>
    </row>
    <row r="766" spans="1:14" x14ac:dyDescent="0.35">
      <c r="A766" t="s">
        <v>2322</v>
      </c>
      <c r="B766" t="s">
        <v>34</v>
      </c>
      <c r="C766" t="s">
        <v>1039</v>
      </c>
      <c r="D766">
        <v>21.911138000000001</v>
      </c>
      <c r="E766" t="s">
        <v>35</v>
      </c>
      <c r="F766" s="1">
        <v>44497</v>
      </c>
      <c r="G766" s="1">
        <v>46058</v>
      </c>
      <c r="H766" t="s">
        <v>14</v>
      </c>
      <c r="I766" t="s">
        <v>2778</v>
      </c>
      <c r="J766">
        <v>264185</v>
      </c>
      <c r="K766" t="s">
        <v>30</v>
      </c>
      <c r="L766" t="str">
        <f t="shared" si="33"/>
        <v>Available</v>
      </c>
      <c r="M766">
        <f t="shared" si="34"/>
        <v>0</v>
      </c>
      <c r="N766">
        <f t="shared" si="35"/>
        <v>1</v>
      </c>
    </row>
    <row r="767" spans="1:14" x14ac:dyDescent="0.35">
      <c r="A767" t="s">
        <v>2323</v>
      </c>
      <c r="B767" t="s">
        <v>103</v>
      </c>
      <c r="C767" t="s">
        <v>1040</v>
      </c>
      <c r="D767">
        <v>25</v>
      </c>
      <c r="E767" t="s">
        <v>13</v>
      </c>
      <c r="F767" s="1">
        <v>45193</v>
      </c>
      <c r="G767" s="1">
        <v>46058</v>
      </c>
      <c r="H767" t="s">
        <v>14</v>
      </c>
      <c r="I767" s="2">
        <v>30613285</v>
      </c>
      <c r="J767">
        <v>266390</v>
      </c>
      <c r="K767" t="s">
        <v>15</v>
      </c>
      <c r="L767" t="str">
        <f t="shared" si="33"/>
        <v>Available</v>
      </c>
      <c r="M767">
        <f t="shared" si="34"/>
        <v>1</v>
      </c>
      <c r="N767">
        <f t="shared" si="35"/>
        <v>1</v>
      </c>
    </row>
    <row r="768" spans="1:14" x14ac:dyDescent="0.35">
      <c r="A768" t="s">
        <v>2324</v>
      </c>
      <c r="B768" t="s">
        <v>293</v>
      </c>
      <c r="C768" t="s">
        <v>1041</v>
      </c>
      <c r="D768">
        <v>17.75</v>
      </c>
      <c r="E768" t="s">
        <v>13</v>
      </c>
      <c r="F768" s="1">
        <v>44497</v>
      </c>
      <c r="G768" s="1">
        <v>46059</v>
      </c>
      <c r="H768" t="s">
        <v>14</v>
      </c>
      <c r="I768" s="2">
        <v>260925</v>
      </c>
      <c r="J768">
        <v>264142</v>
      </c>
      <c r="K768" t="s">
        <v>15</v>
      </c>
      <c r="L768" t="str">
        <f t="shared" si="33"/>
        <v>Available</v>
      </c>
      <c r="M768">
        <f t="shared" si="34"/>
        <v>1</v>
      </c>
      <c r="N768">
        <f t="shared" si="35"/>
        <v>1</v>
      </c>
    </row>
    <row r="769" spans="1:14" x14ac:dyDescent="0.35">
      <c r="A769" t="s">
        <v>2325</v>
      </c>
      <c r="B769" t="s">
        <v>47</v>
      </c>
      <c r="C769" t="s">
        <v>1042</v>
      </c>
      <c r="D769">
        <v>14</v>
      </c>
      <c r="E769" t="s">
        <v>13</v>
      </c>
      <c r="F769" s="1">
        <v>44497</v>
      </c>
      <c r="G769" s="1">
        <v>46060</v>
      </c>
      <c r="H769" t="s">
        <v>14</v>
      </c>
      <c r="I769" s="2">
        <v>39129</v>
      </c>
      <c r="J769">
        <v>262292</v>
      </c>
      <c r="K769" t="s">
        <v>15</v>
      </c>
      <c r="L769" t="str">
        <f t="shared" si="33"/>
        <v>Available</v>
      </c>
      <c r="M769">
        <f t="shared" si="34"/>
        <v>1</v>
      </c>
      <c r="N769">
        <f t="shared" si="35"/>
        <v>1</v>
      </c>
    </row>
    <row r="770" spans="1:14" x14ac:dyDescent="0.35">
      <c r="A770" t="s">
        <v>2326</v>
      </c>
      <c r="B770" t="s">
        <v>285</v>
      </c>
      <c r="C770" t="s">
        <v>1043</v>
      </c>
      <c r="D770">
        <v>12.172855</v>
      </c>
      <c r="E770" t="s">
        <v>35</v>
      </c>
      <c r="F770" s="1">
        <v>45797</v>
      </c>
      <c r="G770" s="1">
        <v>46058</v>
      </c>
      <c r="H770" t="s">
        <v>14</v>
      </c>
      <c r="I770" t="s">
        <v>2778</v>
      </c>
      <c r="J770">
        <v>264072</v>
      </c>
      <c r="K770" t="s">
        <v>30</v>
      </c>
      <c r="L770" t="str">
        <f t="shared" si="33"/>
        <v>Available</v>
      </c>
      <c r="M770">
        <f t="shared" si="34"/>
        <v>0</v>
      </c>
      <c r="N770">
        <f t="shared" si="35"/>
        <v>1</v>
      </c>
    </row>
    <row r="771" spans="1:14" x14ac:dyDescent="0.35">
      <c r="A771" t="s">
        <v>2327</v>
      </c>
      <c r="B771" t="s">
        <v>25</v>
      </c>
      <c r="C771" t="s">
        <v>1044</v>
      </c>
      <c r="D771">
        <v>23.75</v>
      </c>
      <c r="E771" t="s">
        <v>13</v>
      </c>
      <c r="F771" s="1">
        <v>44990</v>
      </c>
      <c r="G771" s="1">
        <v>46060</v>
      </c>
      <c r="H771" t="s">
        <v>14</v>
      </c>
      <c r="I771" s="2">
        <v>29523690</v>
      </c>
      <c r="J771">
        <v>266306</v>
      </c>
      <c r="K771" t="s">
        <v>15</v>
      </c>
      <c r="L771" t="str">
        <f t="shared" ref="L771:L834" si="36">IF(OR(B771="",ISBLANK(B771)),"Missing","Available")</f>
        <v>Available</v>
      </c>
      <c r="M771">
        <f t="shared" ref="M771:M834" si="37">IF(K771="Mapped",1,0)</f>
        <v>1</v>
      </c>
      <c r="N771">
        <f t="shared" ref="N771:N834" si="38">IF(AND(B771&lt;&gt;"",A771&lt;&gt;""),1,0)</f>
        <v>1</v>
      </c>
    </row>
    <row r="772" spans="1:14" x14ac:dyDescent="0.35">
      <c r="A772" t="s">
        <v>2328</v>
      </c>
      <c r="B772" t="s">
        <v>1046</v>
      </c>
      <c r="C772" t="s">
        <v>1045</v>
      </c>
      <c r="D772">
        <v>12</v>
      </c>
      <c r="E772" t="s">
        <v>13</v>
      </c>
      <c r="F772" s="1">
        <v>44497</v>
      </c>
      <c r="G772" s="1">
        <v>46060</v>
      </c>
      <c r="H772" t="s">
        <v>14</v>
      </c>
      <c r="I772" s="2">
        <v>35077</v>
      </c>
      <c r="J772">
        <v>264291</v>
      </c>
      <c r="K772" t="s">
        <v>15</v>
      </c>
      <c r="L772" t="str">
        <f t="shared" si="36"/>
        <v>Available</v>
      </c>
      <c r="M772">
        <f t="shared" si="37"/>
        <v>1</v>
      </c>
      <c r="N772">
        <f t="shared" si="38"/>
        <v>1</v>
      </c>
    </row>
    <row r="773" spans="1:14" x14ac:dyDescent="0.35">
      <c r="A773" t="s">
        <v>2329</v>
      </c>
      <c r="B773" t="s">
        <v>828</v>
      </c>
      <c r="C773" t="s">
        <v>1047</v>
      </c>
      <c r="D773">
        <v>24</v>
      </c>
      <c r="E773" t="s">
        <v>13</v>
      </c>
      <c r="F773" s="1">
        <v>44498</v>
      </c>
      <c r="G773" s="1">
        <v>45952</v>
      </c>
      <c r="H773" t="s">
        <v>14</v>
      </c>
      <c r="I773" t="s">
        <v>2778</v>
      </c>
      <c r="J773">
        <v>261656</v>
      </c>
      <c r="K773" t="s">
        <v>30</v>
      </c>
      <c r="L773" t="str">
        <f t="shared" si="36"/>
        <v>Available</v>
      </c>
      <c r="M773">
        <f t="shared" si="37"/>
        <v>0</v>
      </c>
      <c r="N773">
        <f t="shared" si="38"/>
        <v>1</v>
      </c>
    </row>
    <row r="774" spans="1:14" x14ac:dyDescent="0.35">
      <c r="A774" t="s">
        <v>2330</v>
      </c>
      <c r="C774" t="s">
        <v>1048</v>
      </c>
      <c r="D774">
        <v>24</v>
      </c>
      <c r="E774" t="s">
        <v>13</v>
      </c>
      <c r="F774" s="1">
        <v>44500</v>
      </c>
      <c r="G774" s="1">
        <v>46059</v>
      </c>
      <c r="H774" t="s">
        <v>14</v>
      </c>
      <c r="I774" t="s">
        <v>2778</v>
      </c>
      <c r="J774">
        <v>264066</v>
      </c>
      <c r="K774" t="s">
        <v>30</v>
      </c>
      <c r="L774" t="str">
        <f t="shared" si="36"/>
        <v>Missing</v>
      </c>
      <c r="M774">
        <f t="shared" si="37"/>
        <v>0</v>
      </c>
      <c r="N774">
        <f t="shared" si="38"/>
        <v>0</v>
      </c>
    </row>
    <row r="775" spans="1:14" x14ac:dyDescent="0.35">
      <c r="A775" t="s">
        <v>2331</v>
      </c>
      <c r="B775" t="s">
        <v>53</v>
      </c>
      <c r="C775" t="s">
        <v>1049</v>
      </c>
      <c r="D775">
        <v>25</v>
      </c>
      <c r="E775" t="s">
        <v>13</v>
      </c>
      <c r="F775" s="1">
        <v>44600</v>
      </c>
      <c r="G775" s="1">
        <v>46059</v>
      </c>
      <c r="H775" t="s">
        <v>14</v>
      </c>
      <c r="I775" s="2">
        <v>18644461</v>
      </c>
      <c r="J775">
        <v>264044</v>
      </c>
      <c r="K775" t="s">
        <v>15</v>
      </c>
      <c r="L775" t="str">
        <f t="shared" si="36"/>
        <v>Available</v>
      </c>
      <c r="M775">
        <f t="shared" si="37"/>
        <v>1</v>
      </c>
      <c r="N775">
        <f t="shared" si="38"/>
        <v>1</v>
      </c>
    </row>
    <row r="776" spans="1:14" x14ac:dyDescent="0.35">
      <c r="A776" t="s">
        <v>2332</v>
      </c>
      <c r="C776" t="s">
        <v>1050</v>
      </c>
      <c r="D776">
        <v>38</v>
      </c>
      <c r="E776" t="s">
        <v>13</v>
      </c>
      <c r="F776" s="1">
        <v>44878</v>
      </c>
      <c r="G776" s="1">
        <v>46060</v>
      </c>
      <c r="H776" t="s">
        <v>14</v>
      </c>
      <c r="I776" s="2">
        <v>20562014</v>
      </c>
      <c r="J776">
        <v>262554</v>
      </c>
      <c r="K776" t="s">
        <v>15</v>
      </c>
      <c r="L776" t="str">
        <f t="shared" si="36"/>
        <v>Missing</v>
      </c>
      <c r="M776">
        <f t="shared" si="37"/>
        <v>1</v>
      </c>
      <c r="N776">
        <f t="shared" si="38"/>
        <v>0</v>
      </c>
    </row>
    <row r="777" spans="1:14" x14ac:dyDescent="0.35">
      <c r="A777" t="s">
        <v>2333</v>
      </c>
      <c r="B777" t="s">
        <v>19</v>
      </c>
      <c r="C777" t="s">
        <v>969</v>
      </c>
      <c r="D777">
        <v>40</v>
      </c>
      <c r="E777" t="s">
        <v>13</v>
      </c>
      <c r="F777" s="1">
        <v>44497</v>
      </c>
      <c r="G777" s="1">
        <v>46059</v>
      </c>
      <c r="H777" t="s">
        <v>14</v>
      </c>
      <c r="I777" s="2">
        <v>17725621</v>
      </c>
      <c r="J777">
        <v>261712</v>
      </c>
      <c r="K777" t="s">
        <v>15</v>
      </c>
      <c r="L777" t="str">
        <f t="shared" si="36"/>
        <v>Available</v>
      </c>
      <c r="M777">
        <f t="shared" si="37"/>
        <v>1</v>
      </c>
      <c r="N777">
        <f t="shared" si="38"/>
        <v>1</v>
      </c>
    </row>
    <row r="778" spans="1:14" x14ac:dyDescent="0.35">
      <c r="A778" t="s">
        <v>2334</v>
      </c>
      <c r="B778" t="s">
        <v>1052</v>
      </c>
      <c r="C778" t="s">
        <v>1051</v>
      </c>
      <c r="D778">
        <v>25</v>
      </c>
      <c r="E778" t="s">
        <v>13</v>
      </c>
      <c r="F778" s="1">
        <v>44497</v>
      </c>
      <c r="G778" s="1">
        <v>46059</v>
      </c>
      <c r="H778" t="s">
        <v>14</v>
      </c>
      <c r="I778" s="2">
        <v>19511375</v>
      </c>
      <c r="J778">
        <v>266984</v>
      </c>
      <c r="K778" t="s">
        <v>15</v>
      </c>
      <c r="L778" t="str">
        <f t="shared" si="36"/>
        <v>Available</v>
      </c>
      <c r="M778">
        <f t="shared" si="37"/>
        <v>1</v>
      </c>
      <c r="N778">
        <f t="shared" si="38"/>
        <v>1</v>
      </c>
    </row>
    <row r="779" spans="1:14" x14ac:dyDescent="0.35">
      <c r="A779" t="s">
        <v>2335</v>
      </c>
      <c r="B779" t="s">
        <v>1054</v>
      </c>
      <c r="C779" t="s">
        <v>1053</v>
      </c>
      <c r="D779">
        <v>24</v>
      </c>
      <c r="E779" t="s">
        <v>13</v>
      </c>
      <c r="F779" s="1">
        <v>44500</v>
      </c>
      <c r="G779" s="1">
        <v>46055</v>
      </c>
      <c r="H779" t="s">
        <v>14</v>
      </c>
      <c r="I779" s="2">
        <v>2798877</v>
      </c>
      <c r="J779">
        <v>264554</v>
      </c>
      <c r="K779" t="s">
        <v>15</v>
      </c>
      <c r="L779" t="str">
        <f t="shared" si="36"/>
        <v>Available</v>
      </c>
      <c r="M779">
        <f t="shared" si="37"/>
        <v>1</v>
      </c>
      <c r="N779">
        <f t="shared" si="38"/>
        <v>1</v>
      </c>
    </row>
    <row r="780" spans="1:14" x14ac:dyDescent="0.35">
      <c r="A780" t="s">
        <v>2336</v>
      </c>
      <c r="B780" t="s">
        <v>1056</v>
      </c>
      <c r="C780" t="s">
        <v>1055</v>
      </c>
      <c r="D780">
        <v>15</v>
      </c>
      <c r="E780" t="s">
        <v>13</v>
      </c>
      <c r="F780" s="1">
        <v>45336</v>
      </c>
      <c r="G780" s="1">
        <v>46056</v>
      </c>
      <c r="H780" t="s">
        <v>14</v>
      </c>
      <c r="I780" s="2">
        <v>33263853</v>
      </c>
      <c r="J780">
        <v>264300</v>
      </c>
      <c r="K780" t="s">
        <v>15</v>
      </c>
      <c r="L780" t="str">
        <f t="shared" si="36"/>
        <v>Available</v>
      </c>
      <c r="M780">
        <f t="shared" si="37"/>
        <v>1</v>
      </c>
      <c r="N780">
        <f t="shared" si="38"/>
        <v>1</v>
      </c>
    </row>
    <row r="781" spans="1:14" x14ac:dyDescent="0.35">
      <c r="A781" t="s">
        <v>2337</v>
      </c>
      <c r="B781" t="s">
        <v>91</v>
      </c>
      <c r="C781" t="s">
        <v>1057</v>
      </c>
      <c r="D781">
        <v>32</v>
      </c>
      <c r="E781" t="s">
        <v>13</v>
      </c>
      <c r="F781" s="1">
        <v>44497</v>
      </c>
      <c r="G781" s="1">
        <v>46057</v>
      </c>
      <c r="H781" t="s">
        <v>14</v>
      </c>
      <c r="I781" t="s">
        <v>2778</v>
      </c>
      <c r="J781">
        <v>264024</v>
      </c>
      <c r="K781" t="s">
        <v>30</v>
      </c>
      <c r="L781" t="str">
        <f t="shared" si="36"/>
        <v>Available</v>
      </c>
      <c r="M781">
        <f t="shared" si="37"/>
        <v>0</v>
      </c>
      <c r="N781">
        <f t="shared" si="38"/>
        <v>1</v>
      </c>
    </row>
    <row r="782" spans="1:14" x14ac:dyDescent="0.35">
      <c r="A782" t="s">
        <v>2338</v>
      </c>
      <c r="B782" t="s">
        <v>273</v>
      </c>
      <c r="C782" t="s">
        <v>1058</v>
      </c>
      <c r="D782">
        <v>25</v>
      </c>
      <c r="E782" t="s">
        <v>13</v>
      </c>
      <c r="F782" s="1">
        <v>44497</v>
      </c>
      <c r="G782" s="1">
        <v>46059</v>
      </c>
      <c r="H782" t="s">
        <v>14</v>
      </c>
      <c r="I782" s="2">
        <v>175473</v>
      </c>
      <c r="J782">
        <v>264416</v>
      </c>
      <c r="K782" t="s">
        <v>15</v>
      </c>
      <c r="L782" t="str">
        <f t="shared" si="36"/>
        <v>Available</v>
      </c>
      <c r="M782">
        <f t="shared" si="37"/>
        <v>1</v>
      </c>
      <c r="N782">
        <f t="shared" si="38"/>
        <v>1</v>
      </c>
    </row>
    <row r="783" spans="1:14" x14ac:dyDescent="0.35">
      <c r="A783" t="s">
        <v>2339</v>
      </c>
      <c r="B783" t="s">
        <v>19</v>
      </c>
      <c r="C783" t="s">
        <v>1059</v>
      </c>
      <c r="D783">
        <v>24</v>
      </c>
      <c r="E783" t="s">
        <v>13</v>
      </c>
      <c r="F783" s="1">
        <v>44497</v>
      </c>
      <c r="G783" s="1">
        <v>46059</v>
      </c>
      <c r="H783" t="s">
        <v>14</v>
      </c>
      <c r="I783" s="2">
        <v>17375585</v>
      </c>
      <c r="J783">
        <v>261830</v>
      </c>
      <c r="K783" t="s">
        <v>15</v>
      </c>
      <c r="L783" t="str">
        <f t="shared" si="36"/>
        <v>Available</v>
      </c>
      <c r="M783">
        <f t="shared" si="37"/>
        <v>1</v>
      </c>
      <c r="N783">
        <f t="shared" si="38"/>
        <v>1</v>
      </c>
    </row>
    <row r="784" spans="1:14" x14ac:dyDescent="0.35">
      <c r="A784" t="s">
        <v>2340</v>
      </c>
      <c r="B784" t="s">
        <v>445</v>
      </c>
      <c r="C784" t="s">
        <v>1060</v>
      </c>
      <c r="D784">
        <v>24</v>
      </c>
      <c r="E784" t="s">
        <v>13</v>
      </c>
      <c r="F784" s="1">
        <v>44497</v>
      </c>
      <c r="G784" s="1">
        <v>46059</v>
      </c>
      <c r="H784" t="s">
        <v>14</v>
      </c>
      <c r="I784" s="2">
        <v>3146180</v>
      </c>
      <c r="J784">
        <v>264758</v>
      </c>
      <c r="K784" t="s">
        <v>15</v>
      </c>
      <c r="L784" t="str">
        <f t="shared" si="36"/>
        <v>Available</v>
      </c>
      <c r="M784">
        <f t="shared" si="37"/>
        <v>1</v>
      </c>
      <c r="N784">
        <f t="shared" si="38"/>
        <v>1</v>
      </c>
    </row>
    <row r="785" spans="1:14" x14ac:dyDescent="0.35">
      <c r="A785" t="s">
        <v>2341</v>
      </c>
      <c r="B785" t="s">
        <v>682</v>
      </c>
      <c r="C785" t="s">
        <v>1061</v>
      </c>
      <c r="D785">
        <v>24</v>
      </c>
      <c r="E785" t="s">
        <v>13</v>
      </c>
      <c r="F785" s="1">
        <v>44497</v>
      </c>
      <c r="G785" s="1">
        <v>46055</v>
      </c>
      <c r="H785" t="s">
        <v>14</v>
      </c>
      <c r="I785" s="2">
        <v>2798437</v>
      </c>
      <c r="J785">
        <v>264299</v>
      </c>
      <c r="K785" t="s">
        <v>15</v>
      </c>
      <c r="L785" t="str">
        <f t="shared" si="36"/>
        <v>Available</v>
      </c>
      <c r="M785">
        <f t="shared" si="37"/>
        <v>1</v>
      </c>
      <c r="N785">
        <f t="shared" si="38"/>
        <v>1</v>
      </c>
    </row>
    <row r="786" spans="1:14" x14ac:dyDescent="0.35">
      <c r="A786" t="s">
        <v>2342</v>
      </c>
      <c r="B786" t="s">
        <v>1063</v>
      </c>
      <c r="C786" t="s">
        <v>1062</v>
      </c>
      <c r="D786">
        <v>25</v>
      </c>
      <c r="E786" t="s">
        <v>13</v>
      </c>
      <c r="F786" s="1">
        <v>44497</v>
      </c>
      <c r="G786" s="1">
        <v>46059</v>
      </c>
      <c r="H786" t="s">
        <v>14</v>
      </c>
      <c r="I786" s="2">
        <v>98544</v>
      </c>
      <c r="J786">
        <v>261601</v>
      </c>
      <c r="K786" t="s">
        <v>15</v>
      </c>
      <c r="L786" t="str">
        <f t="shared" si="36"/>
        <v>Available</v>
      </c>
      <c r="M786">
        <f t="shared" si="37"/>
        <v>1</v>
      </c>
      <c r="N786">
        <f t="shared" si="38"/>
        <v>1</v>
      </c>
    </row>
    <row r="787" spans="1:14" x14ac:dyDescent="0.35">
      <c r="A787" t="s">
        <v>2343</v>
      </c>
      <c r="B787" t="s">
        <v>1065</v>
      </c>
      <c r="C787" t="s">
        <v>1064</v>
      </c>
      <c r="D787">
        <v>24</v>
      </c>
      <c r="E787" t="s">
        <v>13</v>
      </c>
      <c r="F787" s="1">
        <v>44502</v>
      </c>
      <c r="G787" s="1">
        <v>46059</v>
      </c>
      <c r="H787" t="s">
        <v>14</v>
      </c>
      <c r="I787" s="2">
        <v>22955797</v>
      </c>
      <c r="J787">
        <v>264307</v>
      </c>
      <c r="K787" t="s">
        <v>15</v>
      </c>
      <c r="L787" t="str">
        <f t="shared" si="36"/>
        <v>Available</v>
      </c>
      <c r="M787">
        <f t="shared" si="37"/>
        <v>1</v>
      </c>
      <c r="N787">
        <f t="shared" si="38"/>
        <v>1</v>
      </c>
    </row>
    <row r="788" spans="1:14" x14ac:dyDescent="0.35">
      <c r="A788" t="s">
        <v>2344</v>
      </c>
      <c r="B788" t="s">
        <v>318</v>
      </c>
      <c r="C788" t="s">
        <v>1066</v>
      </c>
      <c r="D788">
        <v>24</v>
      </c>
      <c r="E788" t="s">
        <v>13</v>
      </c>
      <c r="F788" s="1">
        <v>44497</v>
      </c>
      <c r="G788" s="1">
        <v>46059</v>
      </c>
      <c r="H788" t="s">
        <v>14</v>
      </c>
      <c r="I788" s="2">
        <v>18471108</v>
      </c>
      <c r="J788">
        <v>262021</v>
      </c>
      <c r="K788" t="s">
        <v>15</v>
      </c>
      <c r="L788" t="str">
        <f t="shared" si="36"/>
        <v>Available</v>
      </c>
      <c r="M788">
        <f t="shared" si="37"/>
        <v>1</v>
      </c>
      <c r="N788">
        <f t="shared" si="38"/>
        <v>1</v>
      </c>
    </row>
    <row r="789" spans="1:14" x14ac:dyDescent="0.35">
      <c r="A789" t="s">
        <v>2345</v>
      </c>
      <c r="B789" t="s">
        <v>103</v>
      </c>
      <c r="C789" t="s">
        <v>1067</v>
      </c>
      <c r="D789">
        <v>24</v>
      </c>
      <c r="E789" t="s">
        <v>13</v>
      </c>
      <c r="F789" s="1">
        <v>44787</v>
      </c>
      <c r="G789" s="1">
        <v>46059</v>
      </c>
      <c r="H789" t="s">
        <v>14</v>
      </c>
      <c r="I789" s="2">
        <v>27194218</v>
      </c>
      <c r="J789">
        <v>264649</v>
      </c>
      <c r="K789" t="s">
        <v>15</v>
      </c>
      <c r="L789" t="str">
        <f t="shared" si="36"/>
        <v>Available</v>
      </c>
      <c r="M789">
        <f t="shared" si="37"/>
        <v>1</v>
      </c>
      <c r="N789">
        <f t="shared" si="38"/>
        <v>1</v>
      </c>
    </row>
    <row r="790" spans="1:14" x14ac:dyDescent="0.35">
      <c r="A790" t="s">
        <v>2346</v>
      </c>
      <c r="B790" t="s">
        <v>238</v>
      </c>
      <c r="C790" t="s">
        <v>1068</v>
      </c>
      <c r="D790">
        <v>26</v>
      </c>
      <c r="E790" t="s">
        <v>13</v>
      </c>
      <c r="F790" s="1">
        <v>44497</v>
      </c>
      <c r="G790" s="1">
        <v>46056</v>
      </c>
      <c r="H790" t="s">
        <v>14</v>
      </c>
      <c r="I790" s="2">
        <v>17006886</v>
      </c>
      <c r="J790">
        <v>266299</v>
      </c>
      <c r="K790" t="s">
        <v>15</v>
      </c>
      <c r="L790" t="str">
        <f t="shared" si="36"/>
        <v>Available</v>
      </c>
      <c r="M790">
        <f t="shared" si="37"/>
        <v>1</v>
      </c>
      <c r="N790">
        <f t="shared" si="38"/>
        <v>1</v>
      </c>
    </row>
    <row r="791" spans="1:14" x14ac:dyDescent="0.35">
      <c r="A791" t="s">
        <v>2347</v>
      </c>
      <c r="B791" t="s">
        <v>296</v>
      </c>
      <c r="C791" t="s">
        <v>1069</v>
      </c>
      <c r="D791">
        <v>24</v>
      </c>
      <c r="E791" t="s">
        <v>13</v>
      </c>
      <c r="F791" s="1">
        <v>44497</v>
      </c>
      <c r="G791" s="1">
        <v>46057</v>
      </c>
      <c r="H791" t="s">
        <v>14</v>
      </c>
      <c r="I791" s="2">
        <v>29178303</v>
      </c>
      <c r="J791">
        <v>264279</v>
      </c>
      <c r="K791" t="s">
        <v>15</v>
      </c>
      <c r="L791" t="str">
        <f t="shared" si="36"/>
        <v>Available</v>
      </c>
      <c r="M791">
        <f t="shared" si="37"/>
        <v>1</v>
      </c>
      <c r="N791">
        <f t="shared" si="38"/>
        <v>1</v>
      </c>
    </row>
    <row r="792" spans="1:14" x14ac:dyDescent="0.35">
      <c r="A792" t="s">
        <v>2348</v>
      </c>
      <c r="B792" t="s">
        <v>86</v>
      </c>
      <c r="C792" t="s">
        <v>1070</v>
      </c>
      <c r="D792">
        <v>24</v>
      </c>
      <c r="E792" t="s">
        <v>13</v>
      </c>
      <c r="F792" s="1">
        <v>44497</v>
      </c>
      <c r="G792" s="1">
        <v>46058</v>
      </c>
      <c r="H792" t="s">
        <v>14</v>
      </c>
      <c r="I792" s="2">
        <v>2691726</v>
      </c>
      <c r="J792">
        <v>264302</v>
      </c>
      <c r="K792" t="s">
        <v>15</v>
      </c>
      <c r="L792" t="str">
        <f t="shared" si="36"/>
        <v>Available</v>
      </c>
      <c r="M792">
        <f t="shared" si="37"/>
        <v>1</v>
      </c>
      <c r="N792">
        <f t="shared" si="38"/>
        <v>1</v>
      </c>
    </row>
    <row r="793" spans="1:14" x14ac:dyDescent="0.35">
      <c r="A793" t="s">
        <v>2349</v>
      </c>
      <c r="B793" t="s">
        <v>19</v>
      </c>
      <c r="C793" t="s">
        <v>1071</v>
      </c>
      <c r="D793">
        <v>24</v>
      </c>
      <c r="E793" t="s">
        <v>13</v>
      </c>
      <c r="F793" s="1">
        <v>44497</v>
      </c>
      <c r="G793" s="1">
        <v>46060</v>
      </c>
      <c r="H793" t="s">
        <v>14</v>
      </c>
      <c r="I793" s="2">
        <v>24806</v>
      </c>
      <c r="J793">
        <v>264293</v>
      </c>
      <c r="K793" t="s">
        <v>15</v>
      </c>
      <c r="L793" t="str">
        <f t="shared" si="36"/>
        <v>Available</v>
      </c>
      <c r="M793">
        <f t="shared" si="37"/>
        <v>1</v>
      </c>
      <c r="N793">
        <f t="shared" si="38"/>
        <v>1</v>
      </c>
    </row>
    <row r="794" spans="1:14" x14ac:dyDescent="0.35">
      <c r="A794" t="s">
        <v>2350</v>
      </c>
      <c r="B794" t="s">
        <v>19</v>
      </c>
      <c r="C794" t="s">
        <v>1072</v>
      </c>
      <c r="D794">
        <v>24</v>
      </c>
      <c r="E794" t="s">
        <v>13</v>
      </c>
      <c r="F794" s="1">
        <v>44497</v>
      </c>
      <c r="G794" s="1">
        <v>46060</v>
      </c>
      <c r="H794" t="s">
        <v>14</v>
      </c>
      <c r="I794" s="2">
        <v>53410</v>
      </c>
      <c r="J794">
        <v>264165</v>
      </c>
      <c r="K794" t="s">
        <v>15</v>
      </c>
      <c r="L794" t="str">
        <f t="shared" si="36"/>
        <v>Available</v>
      </c>
      <c r="M794">
        <f t="shared" si="37"/>
        <v>1</v>
      </c>
      <c r="N794">
        <f t="shared" si="38"/>
        <v>1</v>
      </c>
    </row>
    <row r="795" spans="1:14" x14ac:dyDescent="0.35">
      <c r="A795" t="s">
        <v>2351</v>
      </c>
      <c r="B795" t="s">
        <v>463</v>
      </c>
      <c r="C795" t="s">
        <v>1073</v>
      </c>
      <c r="D795">
        <v>16.906742000000001</v>
      </c>
      <c r="E795" t="s">
        <v>35</v>
      </c>
      <c r="F795" s="1">
        <v>45099</v>
      </c>
      <c r="G795" s="1">
        <v>46058</v>
      </c>
      <c r="H795" t="s">
        <v>14</v>
      </c>
      <c r="I795" t="s">
        <v>2778</v>
      </c>
      <c r="J795">
        <v>262293</v>
      </c>
      <c r="K795" t="s">
        <v>30</v>
      </c>
      <c r="L795" t="str">
        <f t="shared" si="36"/>
        <v>Available</v>
      </c>
      <c r="M795">
        <f t="shared" si="37"/>
        <v>0</v>
      </c>
      <c r="N795">
        <f t="shared" si="38"/>
        <v>1</v>
      </c>
    </row>
    <row r="796" spans="1:14" x14ac:dyDescent="0.35">
      <c r="A796" t="s">
        <v>2352</v>
      </c>
      <c r="B796" t="s">
        <v>790</v>
      </c>
      <c r="C796" t="s">
        <v>789</v>
      </c>
      <c r="D796">
        <v>24</v>
      </c>
      <c r="E796" t="s">
        <v>13</v>
      </c>
      <c r="F796" s="1">
        <v>44501</v>
      </c>
      <c r="G796" s="1">
        <v>46056</v>
      </c>
      <c r="H796" t="s">
        <v>14</v>
      </c>
      <c r="I796" s="2">
        <v>53391</v>
      </c>
      <c r="J796">
        <v>266877</v>
      </c>
      <c r="K796" t="s">
        <v>15</v>
      </c>
      <c r="L796" t="str">
        <f t="shared" si="36"/>
        <v>Available</v>
      </c>
      <c r="M796">
        <f t="shared" si="37"/>
        <v>1</v>
      </c>
      <c r="N796">
        <f t="shared" si="38"/>
        <v>1</v>
      </c>
    </row>
    <row r="797" spans="1:14" x14ac:dyDescent="0.35">
      <c r="A797" t="s">
        <v>2353</v>
      </c>
      <c r="B797" t="s">
        <v>238</v>
      </c>
      <c r="C797" t="s">
        <v>1074</v>
      </c>
      <c r="D797">
        <v>24</v>
      </c>
      <c r="E797" t="s">
        <v>13</v>
      </c>
      <c r="F797" s="1">
        <v>44497</v>
      </c>
      <c r="G797" s="1">
        <v>46059</v>
      </c>
      <c r="H797" t="s">
        <v>14</v>
      </c>
      <c r="I797" s="2">
        <v>16990885</v>
      </c>
      <c r="J797">
        <v>266300</v>
      </c>
      <c r="K797" t="s">
        <v>15</v>
      </c>
      <c r="L797" t="str">
        <f t="shared" si="36"/>
        <v>Available</v>
      </c>
      <c r="M797">
        <f t="shared" si="37"/>
        <v>1</v>
      </c>
      <c r="N797">
        <f t="shared" si="38"/>
        <v>1</v>
      </c>
    </row>
    <row r="798" spans="1:14" x14ac:dyDescent="0.35">
      <c r="A798" t="s">
        <v>2354</v>
      </c>
      <c r="B798" t="s">
        <v>617</v>
      </c>
      <c r="C798" t="s">
        <v>1075</v>
      </c>
      <c r="D798">
        <v>25</v>
      </c>
      <c r="E798" t="s">
        <v>13</v>
      </c>
      <c r="F798" s="1">
        <v>44497</v>
      </c>
      <c r="G798" s="1">
        <v>46059</v>
      </c>
      <c r="H798" t="s">
        <v>14</v>
      </c>
      <c r="I798" s="2">
        <v>175341</v>
      </c>
      <c r="J798">
        <v>264467</v>
      </c>
      <c r="K798" t="s">
        <v>15</v>
      </c>
      <c r="L798" t="str">
        <f t="shared" si="36"/>
        <v>Available</v>
      </c>
      <c r="M798">
        <f t="shared" si="37"/>
        <v>1</v>
      </c>
      <c r="N798">
        <f t="shared" si="38"/>
        <v>1</v>
      </c>
    </row>
    <row r="799" spans="1:14" x14ac:dyDescent="0.35">
      <c r="A799" t="s">
        <v>2355</v>
      </c>
      <c r="B799" t="s">
        <v>41</v>
      </c>
      <c r="C799" t="s">
        <v>1076</v>
      </c>
      <c r="F799" s="1">
        <v>44497</v>
      </c>
      <c r="G799" s="1">
        <v>45124</v>
      </c>
      <c r="H799" t="s">
        <v>14</v>
      </c>
      <c r="I799" t="s">
        <v>2778</v>
      </c>
      <c r="J799">
        <v>264427</v>
      </c>
      <c r="K799" t="s">
        <v>30</v>
      </c>
      <c r="L799" t="str">
        <f t="shared" si="36"/>
        <v>Available</v>
      </c>
      <c r="M799">
        <f t="shared" si="37"/>
        <v>0</v>
      </c>
      <c r="N799">
        <f t="shared" si="38"/>
        <v>1</v>
      </c>
    </row>
    <row r="800" spans="1:14" x14ac:dyDescent="0.35">
      <c r="A800" t="s">
        <v>2356</v>
      </c>
      <c r="C800" t="s">
        <v>1077</v>
      </c>
      <c r="D800">
        <v>25</v>
      </c>
      <c r="E800" t="s">
        <v>13</v>
      </c>
      <c r="F800" s="1">
        <v>44805</v>
      </c>
      <c r="G800" s="1">
        <v>46058</v>
      </c>
      <c r="H800" t="s">
        <v>14</v>
      </c>
      <c r="I800" t="s">
        <v>2778</v>
      </c>
      <c r="J800">
        <v>266282</v>
      </c>
      <c r="K800" t="s">
        <v>30</v>
      </c>
      <c r="L800" t="str">
        <f t="shared" si="36"/>
        <v>Missing</v>
      </c>
      <c r="M800">
        <f t="shared" si="37"/>
        <v>0</v>
      </c>
      <c r="N800">
        <f t="shared" si="38"/>
        <v>0</v>
      </c>
    </row>
    <row r="801" spans="1:14" x14ac:dyDescent="0.35">
      <c r="A801" t="s">
        <v>2357</v>
      </c>
      <c r="B801" t="s">
        <v>137</v>
      </c>
      <c r="C801" t="s">
        <v>1078</v>
      </c>
      <c r="D801">
        <v>24</v>
      </c>
      <c r="E801" t="s">
        <v>13</v>
      </c>
      <c r="F801" s="1">
        <v>44501</v>
      </c>
      <c r="G801" s="1">
        <v>45324</v>
      </c>
      <c r="H801" t="s">
        <v>14</v>
      </c>
      <c r="I801" t="s">
        <v>2778</v>
      </c>
      <c r="J801">
        <v>264243</v>
      </c>
      <c r="K801" t="s">
        <v>30</v>
      </c>
      <c r="L801" t="str">
        <f t="shared" si="36"/>
        <v>Available</v>
      </c>
      <c r="M801">
        <f t="shared" si="37"/>
        <v>0</v>
      </c>
      <c r="N801">
        <f t="shared" si="38"/>
        <v>1</v>
      </c>
    </row>
    <row r="802" spans="1:14" x14ac:dyDescent="0.35">
      <c r="A802" t="s">
        <v>2358</v>
      </c>
      <c r="B802" t="s">
        <v>515</v>
      </c>
      <c r="C802" t="s">
        <v>1079</v>
      </c>
      <c r="D802">
        <v>24</v>
      </c>
      <c r="E802" t="s">
        <v>13</v>
      </c>
      <c r="F802" s="1">
        <v>44500</v>
      </c>
      <c r="G802" s="1">
        <v>46059</v>
      </c>
      <c r="H802" t="s">
        <v>14</v>
      </c>
      <c r="I802" s="2">
        <v>34713974</v>
      </c>
      <c r="J802">
        <v>261780</v>
      </c>
      <c r="K802" t="s">
        <v>15</v>
      </c>
      <c r="L802" t="str">
        <f t="shared" si="36"/>
        <v>Available</v>
      </c>
      <c r="M802">
        <f t="shared" si="37"/>
        <v>1</v>
      </c>
      <c r="N802">
        <f t="shared" si="38"/>
        <v>1</v>
      </c>
    </row>
    <row r="803" spans="1:14" x14ac:dyDescent="0.35">
      <c r="A803" t="s">
        <v>2359</v>
      </c>
      <c r="B803" t="s">
        <v>541</v>
      </c>
      <c r="C803" t="s">
        <v>1080</v>
      </c>
      <c r="D803">
        <v>25</v>
      </c>
      <c r="E803" t="s">
        <v>13</v>
      </c>
      <c r="F803" s="1">
        <v>44497</v>
      </c>
      <c r="G803" s="1">
        <v>45858</v>
      </c>
      <c r="H803" t="s">
        <v>14</v>
      </c>
      <c r="I803" t="s">
        <v>2778</v>
      </c>
      <c r="J803">
        <v>261654</v>
      </c>
      <c r="K803" t="s">
        <v>30</v>
      </c>
      <c r="L803" t="str">
        <f t="shared" si="36"/>
        <v>Available</v>
      </c>
      <c r="M803">
        <f t="shared" si="37"/>
        <v>0</v>
      </c>
      <c r="N803">
        <f t="shared" si="38"/>
        <v>1</v>
      </c>
    </row>
    <row r="804" spans="1:14" x14ac:dyDescent="0.35">
      <c r="A804" t="s">
        <v>2360</v>
      </c>
      <c r="B804" t="s">
        <v>58</v>
      </c>
      <c r="C804" t="s">
        <v>1081</v>
      </c>
      <c r="D804">
        <v>72</v>
      </c>
      <c r="E804" t="s">
        <v>13</v>
      </c>
      <c r="F804" s="1">
        <v>45680</v>
      </c>
      <c r="G804" s="1">
        <v>46058</v>
      </c>
      <c r="H804" t="s">
        <v>14</v>
      </c>
      <c r="I804" t="s">
        <v>2778</v>
      </c>
      <c r="J804">
        <v>261763</v>
      </c>
      <c r="K804" t="s">
        <v>30</v>
      </c>
      <c r="L804" t="str">
        <f t="shared" si="36"/>
        <v>Available</v>
      </c>
      <c r="M804">
        <f t="shared" si="37"/>
        <v>0</v>
      </c>
      <c r="N804">
        <f t="shared" si="38"/>
        <v>1</v>
      </c>
    </row>
    <row r="805" spans="1:14" x14ac:dyDescent="0.35">
      <c r="A805" t="s">
        <v>2361</v>
      </c>
      <c r="B805" t="s">
        <v>1083</v>
      </c>
      <c r="C805" t="s">
        <v>1082</v>
      </c>
      <c r="D805">
        <v>25</v>
      </c>
      <c r="E805" t="s">
        <v>13</v>
      </c>
      <c r="F805" s="1">
        <v>45448</v>
      </c>
      <c r="G805" s="1">
        <v>46059</v>
      </c>
      <c r="H805" t="s">
        <v>14</v>
      </c>
      <c r="I805" s="2">
        <v>26221343</v>
      </c>
      <c r="J805">
        <v>266516</v>
      </c>
      <c r="K805" t="s">
        <v>15</v>
      </c>
      <c r="L805" t="str">
        <f t="shared" si="36"/>
        <v>Available</v>
      </c>
      <c r="M805">
        <f t="shared" si="37"/>
        <v>1</v>
      </c>
      <c r="N805">
        <f t="shared" si="38"/>
        <v>1</v>
      </c>
    </row>
    <row r="806" spans="1:14" x14ac:dyDescent="0.35">
      <c r="A806" t="s">
        <v>2362</v>
      </c>
      <c r="B806" t="s">
        <v>1085</v>
      </c>
      <c r="C806" t="s">
        <v>1084</v>
      </c>
      <c r="D806">
        <v>15</v>
      </c>
      <c r="E806" t="s">
        <v>13</v>
      </c>
      <c r="F806" s="1">
        <v>44497</v>
      </c>
      <c r="G806" s="1">
        <v>46058</v>
      </c>
      <c r="H806" t="s">
        <v>14</v>
      </c>
      <c r="I806" s="2">
        <v>1541609</v>
      </c>
      <c r="J806">
        <v>261554</v>
      </c>
      <c r="K806" t="s">
        <v>15</v>
      </c>
      <c r="L806" t="str">
        <f t="shared" si="36"/>
        <v>Available</v>
      </c>
      <c r="M806">
        <f t="shared" si="37"/>
        <v>1</v>
      </c>
      <c r="N806">
        <f t="shared" si="38"/>
        <v>1</v>
      </c>
    </row>
    <row r="807" spans="1:14" x14ac:dyDescent="0.35">
      <c r="A807" t="s">
        <v>2363</v>
      </c>
      <c r="B807" t="s">
        <v>314</v>
      </c>
      <c r="C807" t="s">
        <v>1086</v>
      </c>
      <c r="D807">
        <v>24</v>
      </c>
      <c r="E807" t="s">
        <v>13</v>
      </c>
      <c r="F807" s="1">
        <v>45680</v>
      </c>
      <c r="G807" s="1">
        <v>46056</v>
      </c>
      <c r="H807" t="s">
        <v>14</v>
      </c>
      <c r="I807" s="2">
        <v>28322343</v>
      </c>
      <c r="J807">
        <v>264038</v>
      </c>
      <c r="K807" t="s">
        <v>15</v>
      </c>
      <c r="L807" t="str">
        <f t="shared" si="36"/>
        <v>Available</v>
      </c>
      <c r="M807">
        <f t="shared" si="37"/>
        <v>1</v>
      </c>
      <c r="N807">
        <f t="shared" si="38"/>
        <v>1</v>
      </c>
    </row>
    <row r="808" spans="1:14" x14ac:dyDescent="0.35">
      <c r="A808" t="s">
        <v>2364</v>
      </c>
      <c r="B808" t="s">
        <v>156</v>
      </c>
      <c r="C808" t="s">
        <v>1087</v>
      </c>
      <c r="D808">
        <v>32</v>
      </c>
      <c r="E808" t="s">
        <v>13</v>
      </c>
      <c r="F808" s="1">
        <v>45772</v>
      </c>
      <c r="G808" s="1">
        <v>46059</v>
      </c>
      <c r="H808" t="s">
        <v>14</v>
      </c>
      <c r="I808" s="2">
        <v>69976120</v>
      </c>
      <c r="J808">
        <v>266577</v>
      </c>
      <c r="K808" t="s">
        <v>15</v>
      </c>
      <c r="L808" t="str">
        <f t="shared" si="36"/>
        <v>Available</v>
      </c>
      <c r="M808">
        <f t="shared" si="37"/>
        <v>1</v>
      </c>
      <c r="N808">
        <f t="shared" si="38"/>
        <v>1</v>
      </c>
    </row>
    <row r="809" spans="1:14" x14ac:dyDescent="0.35">
      <c r="A809" t="s">
        <v>2365</v>
      </c>
      <c r="B809" t="s">
        <v>25</v>
      </c>
      <c r="C809" t="s">
        <v>1088</v>
      </c>
      <c r="D809">
        <v>59.174500000000002</v>
      </c>
      <c r="E809" t="s">
        <v>35</v>
      </c>
      <c r="F809" s="1">
        <v>44497</v>
      </c>
      <c r="G809" s="1">
        <v>46058</v>
      </c>
      <c r="H809" t="s">
        <v>14</v>
      </c>
      <c r="I809" t="s">
        <v>2778</v>
      </c>
      <c r="J809">
        <v>261836</v>
      </c>
      <c r="K809" t="s">
        <v>30</v>
      </c>
      <c r="L809" t="str">
        <f t="shared" si="36"/>
        <v>Available</v>
      </c>
      <c r="M809">
        <f t="shared" si="37"/>
        <v>0</v>
      </c>
      <c r="N809">
        <f t="shared" si="38"/>
        <v>1</v>
      </c>
    </row>
    <row r="810" spans="1:14" x14ac:dyDescent="0.35">
      <c r="A810" t="s">
        <v>2366</v>
      </c>
      <c r="B810" t="s">
        <v>1090</v>
      </c>
      <c r="C810" t="s">
        <v>1089</v>
      </c>
      <c r="D810">
        <v>24</v>
      </c>
      <c r="E810" t="s">
        <v>13</v>
      </c>
      <c r="F810" s="1">
        <v>44497</v>
      </c>
      <c r="G810" s="1">
        <v>46060</v>
      </c>
      <c r="H810" t="s">
        <v>14</v>
      </c>
      <c r="I810" s="2">
        <v>77122</v>
      </c>
      <c r="J810">
        <v>264114</v>
      </c>
      <c r="K810" t="s">
        <v>15</v>
      </c>
      <c r="L810" t="str">
        <f t="shared" si="36"/>
        <v>Available</v>
      </c>
      <c r="M810">
        <f t="shared" si="37"/>
        <v>1</v>
      </c>
      <c r="N810">
        <f t="shared" si="38"/>
        <v>1</v>
      </c>
    </row>
    <row r="811" spans="1:14" x14ac:dyDescent="0.35">
      <c r="A811" t="s">
        <v>2367</v>
      </c>
      <c r="B811" t="s">
        <v>205</v>
      </c>
      <c r="C811" t="s">
        <v>1091</v>
      </c>
      <c r="D811">
        <v>24</v>
      </c>
      <c r="E811" t="s">
        <v>13</v>
      </c>
      <c r="F811" s="1">
        <v>44497</v>
      </c>
      <c r="G811" s="1">
        <v>46058</v>
      </c>
      <c r="H811" t="s">
        <v>14</v>
      </c>
      <c r="I811" s="2">
        <v>2690795</v>
      </c>
      <c r="J811">
        <v>266314</v>
      </c>
      <c r="K811" t="s">
        <v>15</v>
      </c>
      <c r="L811" t="str">
        <f t="shared" si="36"/>
        <v>Available</v>
      </c>
      <c r="M811">
        <f t="shared" si="37"/>
        <v>1</v>
      </c>
      <c r="N811">
        <f t="shared" si="38"/>
        <v>1</v>
      </c>
    </row>
    <row r="812" spans="1:14" x14ac:dyDescent="0.35">
      <c r="A812" t="s">
        <v>2368</v>
      </c>
      <c r="B812" t="s">
        <v>34</v>
      </c>
      <c r="C812" t="s">
        <v>1092</v>
      </c>
      <c r="D812">
        <v>21.911138000000001</v>
      </c>
      <c r="E812" t="s">
        <v>35</v>
      </c>
      <c r="F812" s="1">
        <v>44497</v>
      </c>
      <c r="G812" s="1">
        <v>46058</v>
      </c>
      <c r="H812" t="s">
        <v>14</v>
      </c>
      <c r="I812" t="s">
        <v>2778</v>
      </c>
      <c r="J812">
        <v>261862</v>
      </c>
      <c r="K812" t="s">
        <v>30</v>
      </c>
      <c r="L812" t="str">
        <f t="shared" si="36"/>
        <v>Available</v>
      </c>
      <c r="M812">
        <f t="shared" si="37"/>
        <v>0</v>
      </c>
      <c r="N812">
        <f t="shared" si="38"/>
        <v>1</v>
      </c>
    </row>
    <row r="813" spans="1:14" x14ac:dyDescent="0.35">
      <c r="A813" t="s">
        <v>2369</v>
      </c>
      <c r="C813" t="s">
        <v>1093</v>
      </c>
      <c r="D813">
        <v>24</v>
      </c>
      <c r="E813" t="s">
        <v>13</v>
      </c>
      <c r="F813" s="1">
        <v>44497</v>
      </c>
      <c r="G813" s="1">
        <v>46059</v>
      </c>
      <c r="H813" t="s">
        <v>14</v>
      </c>
      <c r="I813" s="2">
        <v>2680032</v>
      </c>
      <c r="J813">
        <v>264198</v>
      </c>
      <c r="K813" t="s">
        <v>15</v>
      </c>
      <c r="L813" t="str">
        <f t="shared" si="36"/>
        <v>Missing</v>
      </c>
      <c r="M813">
        <f t="shared" si="37"/>
        <v>1</v>
      </c>
      <c r="N813">
        <f t="shared" si="38"/>
        <v>0</v>
      </c>
    </row>
    <row r="814" spans="1:14" x14ac:dyDescent="0.35">
      <c r="A814" t="s">
        <v>2370</v>
      </c>
      <c r="B814" t="s">
        <v>203</v>
      </c>
      <c r="C814" t="s">
        <v>1094</v>
      </c>
      <c r="D814">
        <v>16</v>
      </c>
      <c r="E814" t="s">
        <v>13</v>
      </c>
      <c r="F814" s="1">
        <v>44937</v>
      </c>
      <c r="G814" s="1">
        <v>46059</v>
      </c>
      <c r="H814" t="s">
        <v>14</v>
      </c>
      <c r="I814" s="2">
        <v>26633752</v>
      </c>
      <c r="J814">
        <v>267039</v>
      </c>
      <c r="K814" t="s">
        <v>15</v>
      </c>
      <c r="L814" t="str">
        <f t="shared" si="36"/>
        <v>Available</v>
      </c>
      <c r="M814">
        <f t="shared" si="37"/>
        <v>1</v>
      </c>
      <c r="N814">
        <f t="shared" si="38"/>
        <v>1</v>
      </c>
    </row>
    <row r="815" spans="1:14" x14ac:dyDescent="0.35">
      <c r="A815" t="s">
        <v>2371</v>
      </c>
      <c r="B815" t="s">
        <v>1096</v>
      </c>
      <c r="C815" t="s">
        <v>1095</v>
      </c>
      <c r="D815">
        <v>35</v>
      </c>
      <c r="E815" t="s">
        <v>13</v>
      </c>
      <c r="F815" s="1">
        <v>44497</v>
      </c>
      <c r="G815" s="1">
        <v>46059</v>
      </c>
      <c r="H815" t="s">
        <v>14</v>
      </c>
      <c r="I815" s="2">
        <v>318853</v>
      </c>
      <c r="J815">
        <v>267077</v>
      </c>
      <c r="K815" t="s">
        <v>15</v>
      </c>
      <c r="L815" t="str">
        <f t="shared" si="36"/>
        <v>Available</v>
      </c>
      <c r="M815">
        <f t="shared" si="37"/>
        <v>1</v>
      </c>
      <c r="N815">
        <f t="shared" si="38"/>
        <v>1</v>
      </c>
    </row>
    <row r="816" spans="1:14" x14ac:dyDescent="0.35">
      <c r="A816" t="s">
        <v>2372</v>
      </c>
      <c r="B816" t="s">
        <v>926</v>
      </c>
      <c r="C816" t="s">
        <v>1097</v>
      </c>
      <c r="D816">
        <v>25</v>
      </c>
      <c r="E816" t="s">
        <v>13</v>
      </c>
      <c r="F816" s="1">
        <v>44500</v>
      </c>
      <c r="G816" s="1">
        <v>46057</v>
      </c>
      <c r="H816" t="s">
        <v>14</v>
      </c>
      <c r="I816" t="s">
        <v>2778</v>
      </c>
      <c r="J816">
        <v>261586</v>
      </c>
      <c r="K816" t="s">
        <v>30</v>
      </c>
      <c r="L816" t="str">
        <f t="shared" si="36"/>
        <v>Available</v>
      </c>
      <c r="M816">
        <f t="shared" si="37"/>
        <v>0</v>
      </c>
      <c r="N816">
        <f t="shared" si="38"/>
        <v>1</v>
      </c>
    </row>
    <row r="817" spans="1:14" x14ac:dyDescent="0.35">
      <c r="A817" t="s">
        <v>2373</v>
      </c>
      <c r="B817" t="s">
        <v>1099</v>
      </c>
      <c r="C817" t="s">
        <v>1098</v>
      </c>
      <c r="D817">
        <v>8</v>
      </c>
      <c r="E817" t="s">
        <v>13</v>
      </c>
      <c r="F817" s="1">
        <v>44497</v>
      </c>
      <c r="G817" s="1">
        <v>46059</v>
      </c>
      <c r="H817" t="s">
        <v>14</v>
      </c>
      <c r="I817" s="2">
        <v>16560607</v>
      </c>
      <c r="J817">
        <v>264331</v>
      </c>
      <c r="K817" t="s">
        <v>15</v>
      </c>
      <c r="L817" t="str">
        <f t="shared" si="36"/>
        <v>Available</v>
      </c>
      <c r="M817">
        <f t="shared" si="37"/>
        <v>1</v>
      </c>
      <c r="N817">
        <f t="shared" si="38"/>
        <v>1</v>
      </c>
    </row>
    <row r="818" spans="1:14" x14ac:dyDescent="0.35">
      <c r="A818" t="s">
        <v>2374</v>
      </c>
      <c r="B818" t="s">
        <v>1101</v>
      </c>
      <c r="C818" t="s">
        <v>1100</v>
      </c>
      <c r="D818">
        <v>33</v>
      </c>
      <c r="E818" t="s">
        <v>13</v>
      </c>
      <c r="F818" s="1">
        <v>44901</v>
      </c>
      <c r="G818" s="1">
        <v>46055</v>
      </c>
      <c r="H818" t="s">
        <v>14</v>
      </c>
      <c r="I818" s="2">
        <v>2812440</v>
      </c>
      <c r="J818">
        <v>264130</v>
      </c>
      <c r="K818" t="s">
        <v>15</v>
      </c>
      <c r="L818" t="str">
        <f t="shared" si="36"/>
        <v>Available</v>
      </c>
      <c r="M818">
        <f t="shared" si="37"/>
        <v>1</v>
      </c>
      <c r="N818">
        <f t="shared" si="38"/>
        <v>1</v>
      </c>
    </row>
    <row r="819" spans="1:14" x14ac:dyDescent="0.35">
      <c r="A819" t="s">
        <v>2375</v>
      </c>
      <c r="B819" t="s">
        <v>121</v>
      </c>
      <c r="C819" t="s">
        <v>1102</v>
      </c>
      <c r="D819">
        <v>24</v>
      </c>
      <c r="E819" t="s">
        <v>13</v>
      </c>
      <c r="F819" s="1">
        <v>45466</v>
      </c>
      <c r="G819" s="1">
        <v>46059</v>
      </c>
      <c r="H819" t="s">
        <v>14</v>
      </c>
      <c r="I819" s="2">
        <v>48569368</v>
      </c>
      <c r="J819">
        <v>266862</v>
      </c>
      <c r="K819" t="s">
        <v>15</v>
      </c>
      <c r="L819" t="str">
        <f t="shared" si="36"/>
        <v>Available</v>
      </c>
      <c r="M819">
        <f t="shared" si="37"/>
        <v>1</v>
      </c>
      <c r="N819">
        <f t="shared" si="38"/>
        <v>1</v>
      </c>
    </row>
    <row r="820" spans="1:14" x14ac:dyDescent="0.35">
      <c r="A820" t="s">
        <v>2376</v>
      </c>
      <c r="B820" t="s">
        <v>156</v>
      </c>
      <c r="C820" t="s">
        <v>1103</v>
      </c>
      <c r="D820">
        <v>32</v>
      </c>
      <c r="E820" t="s">
        <v>13</v>
      </c>
      <c r="F820" s="1">
        <v>44633</v>
      </c>
      <c r="G820" s="1">
        <v>46059</v>
      </c>
      <c r="H820" t="s">
        <v>14</v>
      </c>
      <c r="I820" s="2">
        <v>26962670</v>
      </c>
      <c r="J820">
        <v>266288</v>
      </c>
      <c r="K820" t="s">
        <v>15</v>
      </c>
      <c r="L820" t="str">
        <f t="shared" si="36"/>
        <v>Available</v>
      </c>
      <c r="M820">
        <f t="shared" si="37"/>
        <v>1</v>
      </c>
      <c r="N820">
        <f t="shared" si="38"/>
        <v>1</v>
      </c>
    </row>
    <row r="821" spans="1:14" x14ac:dyDescent="0.35">
      <c r="A821" t="s">
        <v>2377</v>
      </c>
      <c r="B821" t="s">
        <v>668</v>
      </c>
      <c r="C821" t="s">
        <v>1104</v>
      </c>
      <c r="D821">
        <v>24</v>
      </c>
      <c r="E821" t="s">
        <v>13</v>
      </c>
      <c r="F821" s="1">
        <v>44497</v>
      </c>
      <c r="G821" s="1">
        <v>46059</v>
      </c>
      <c r="H821" t="s">
        <v>14</v>
      </c>
      <c r="I821" s="2">
        <v>2581476</v>
      </c>
      <c r="J821">
        <v>267068</v>
      </c>
      <c r="K821" t="s">
        <v>15</v>
      </c>
      <c r="L821" t="str">
        <f t="shared" si="36"/>
        <v>Available</v>
      </c>
      <c r="M821">
        <f t="shared" si="37"/>
        <v>1</v>
      </c>
      <c r="N821">
        <f t="shared" si="38"/>
        <v>1</v>
      </c>
    </row>
    <row r="822" spans="1:14" x14ac:dyDescent="0.35">
      <c r="A822" t="s">
        <v>2378</v>
      </c>
      <c r="B822" t="s">
        <v>47</v>
      </c>
      <c r="C822" t="s">
        <v>1105</v>
      </c>
      <c r="D822">
        <v>24</v>
      </c>
      <c r="E822" t="s">
        <v>13</v>
      </c>
      <c r="F822" s="1">
        <v>44497</v>
      </c>
      <c r="G822" s="1">
        <v>46060</v>
      </c>
      <c r="H822" t="s">
        <v>14</v>
      </c>
      <c r="I822" s="2">
        <v>39244</v>
      </c>
      <c r="J822">
        <v>264334</v>
      </c>
      <c r="K822" t="s">
        <v>15</v>
      </c>
      <c r="L822" t="str">
        <f t="shared" si="36"/>
        <v>Available</v>
      </c>
      <c r="M822">
        <f t="shared" si="37"/>
        <v>1</v>
      </c>
      <c r="N822">
        <f t="shared" si="38"/>
        <v>1</v>
      </c>
    </row>
    <row r="823" spans="1:14" x14ac:dyDescent="0.35">
      <c r="A823" t="s">
        <v>2379</v>
      </c>
      <c r="B823" t="s">
        <v>199</v>
      </c>
      <c r="C823" t="s">
        <v>1106</v>
      </c>
      <c r="D823">
        <v>15</v>
      </c>
      <c r="E823" t="s">
        <v>13</v>
      </c>
      <c r="F823" s="1">
        <v>44497</v>
      </c>
      <c r="G823" s="1">
        <v>46059</v>
      </c>
      <c r="H823" t="s">
        <v>14</v>
      </c>
      <c r="I823" s="2">
        <v>39925</v>
      </c>
      <c r="J823">
        <v>261569</v>
      </c>
      <c r="K823" t="s">
        <v>15</v>
      </c>
      <c r="L823" t="str">
        <f t="shared" si="36"/>
        <v>Available</v>
      </c>
      <c r="M823">
        <f t="shared" si="37"/>
        <v>1</v>
      </c>
      <c r="N823">
        <f t="shared" si="38"/>
        <v>1</v>
      </c>
    </row>
    <row r="824" spans="1:14" x14ac:dyDescent="0.35">
      <c r="A824" t="s">
        <v>2380</v>
      </c>
      <c r="B824" t="s">
        <v>118</v>
      </c>
      <c r="C824" t="s">
        <v>1107</v>
      </c>
      <c r="D824">
        <v>24</v>
      </c>
      <c r="E824" t="s">
        <v>13</v>
      </c>
      <c r="F824" s="1">
        <v>45480</v>
      </c>
      <c r="G824" s="1">
        <v>46059</v>
      </c>
      <c r="H824" t="s">
        <v>14</v>
      </c>
      <c r="I824" s="2">
        <v>48699360</v>
      </c>
      <c r="J824">
        <v>266406</v>
      </c>
      <c r="K824" t="s">
        <v>15</v>
      </c>
      <c r="L824" t="str">
        <f t="shared" si="36"/>
        <v>Available</v>
      </c>
      <c r="M824">
        <f t="shared" si="37"/>
        <v>1</v>
      </c>
      <c r="N824">
        <f t="shared" si="38"/>
        <v>1</v>
      </c>
    </row>
    <row r="825" spans="1:14" x14ac:dyDescent="0.35">
      <c r="A825" t="s">
        <v>2381</v>
      </c>
      <c r="B825" t="s">
        <v>1109</v>
      </c>
      <c r="C825" t="s">
        <v>1108</v>
      </c>
      <c r="D825">
        <v>24</v>
      </c>
      <c r="E825" t="s">
        <v>13</v>
      </c>
      <c r="F825" s="1">
        <v>44497</v>
      </c>
      <c r="G825" s="1">
        <v>46059</v>
      </c>
      <c r="H825" t="s">
        <v>14</v>
      </c>
      <c r="I825" s="2">
        <v>288575</v>
      </c>
      <c r="J825">
        <v>262262</v>
      </c>
      <c r="K825" t="s">
        <v>15</v>
      </c>
      <c r="L825" t="str">
        <f t="shared" si="36"/>
        <v>Available</v>
      </c>
      <c r="M825">
        <f t="shared" si="37"/>
        <v>1</v>
      </c>
      <c r="N825">
        <f t="shared" si="38"/>
        <v>1</v>
      </c>
    </row>
    <row r="826" spans="1:14" x14ac:dyDescent="0.35">
      <c r="A826" t="s">
        <v>2382</v>
      </c>
      <c r="B826" t="s">
        <v>152</v>
      </c>
      <c r="C826" t="s">
        <v>1110</v>
      </c>
      <c r="D826">
        <v>24</v>
      </c>
      <c r="E826" t="s">
        <v>13</v>
      </c>
      <c r="F826" s="1">
        <v>45358</v>
      </c>
      <c r="G826" s="1">
        <v>46057</v>
      </c>
      <c r="H826" t="s">
        <v>14</v>
      </c>
      <c r="I826" t="s">
        <v>2778</v>
      </c>
      <c r="J826">
        <v>261633</v>
      </c>
      <c r="K826" t="s">
        <v>30</v>
      </c>
      <c r="L826" t="str">
        <f t="shared" si="36"/>
        <v>Available</v>
      </c>
      <c r="M826">
        <f t="shared" si="37"/>
        <v>0</v>
      </c>
      <c r="N826">
        <f t="shared" si="38"/>
        <v>1</v>
      </c>
    </row>
    <row r="827" spans="1:14" x14ac:dyDescent="0.35">
      <c r="A827" t="s">
        <v>2383</v>
      </c>
      <c r="B827" t="s">
        <v>168</v>
      </c>
      <c r="C827" t="s">
        <v>1111</v>
      </c>
      <c r="D827">
        <v>19.399999999999999</v>
      </c>
      <c r="E827" t="s">
        <v>13</v>
      </c>
      <c r="F827" s="1">
        <v>44497</v>
      </c>
      <c r="G827" s="1">
        <v>46059</v>
      </c>
      <c r="H827" t="s">
        <v>14</v>
      </c>
      <c r="I827" s="2">
        <v>19044640</v>
      </c>
      <c r="J827">
        <v>267078</v>
      </c>
      <c r="K827" t="s">
        <v>15</v>
      </c>
      <c r="L827" t="str">
        <f t="shared" si="36"/>
        <v>Available</v>
      </c>
      <c r="M827">
        <f t="shared" si="37"/>
        <v>1</v>
      </c>
      <c r="N827">
        <f t="shared" si="38"/>
        <v>1</v>
      </c>
    </row>
    <row r="828" spans="1:14" x14ac:dyDescent="0.35">
      <c r="A828" t="s">
        <v>2384</v>
      </c>
      <c r="B828" t="s">
        <v>318</v>
      </c>
      <c r="C828" t="s">
        <v>1112</v>
      </c>
      <c r="D828">
        <v>25.25</v>
      </c>
      <c r="E828" t="s">
        <v>13</v>
      </c>
      <c r="F828" s="1">
        <v>44497</v>
      </c>
      <c r="G828" s="1">
        <v>46059</v>
      </c>
      <c r="H828" t="s">
        <v>14</v>
      </c>
      <c r="I828" s="2">
        <v>20512683</v>
      </c>
      <c r="J828">
        <v>264461</v>
      </c>
      <c r="K828" t="s">
        <v>15</v>
      </c>
      <c r="L828" t="str">
        <f t="shared" si="36"/>
        <v>Available</v>
      </c>
      <c r="M828">
        <f t="shared" si="37"/>
        <v>1</v>
      </c>
      <c r="N828">
        <f t="shared" si="38"/>
        <v>1</v>
      </c>
    </row>
    <row r="829" spans="1:14" x14ac:dyDescent="0.35">
      <c r="A829" t="s">
        <v>2385</v>
      </c>
      <c r="B829" t="s">
        <v>91</v>
      </c>
      <c r="C829" t="s">
        <v>1113</v>
      </c>
      <c r="D829">
        <v>28</v>
      </c>
      <c r="E829" t="s">
        <v>13</v>
      </c>
      <c r="F829" s="1">
        <v>44497</v>
      </c>
      <c r="G829" s="1">
        <v>46059</v>
      </c>
      <c r="H829" t="s">
        <v>14</v>
      </c>
      <c r="I829" s="2">
        <v>29327558</v>
      </c>
      <c r="J829">
        <v>261644</v>
      </c>
      <c r="K829" t="s">
        <v>15</v>
      </c>
      <c r="L829" t="str">
        <f t="shared" si="36"/>
        <v>Available</v>
      </c>
      <c r="M829">
        <f t="shared" si="37"/>
        <v>1</v>
      </c>
      <c r="N829">
        <f t="shared" si="38"/>
        <v>1</v>
      </c>
    </row>
    <row r="830" spans="1:14" x14ac:dyDescent="0.35">
      <c r="A830" t="s">
        <v>2386</v>
      </c>
      <c r="B830" t="s">
        <v>1115</v>
      </c>
      <c r="C830" t="s">
        <v>1114</v>
      </c>
      <c r="D830">
        <v>24</v>
      </c>
      <c r="E830" t="s">
        <v>13</v>
      </c>
      <c r="F830" s="1">
        <v>44497</v>
      </c>
      <c r="G830" s="1">
        <v>46059</v>
      </c>
      <c r="H830" t="s">
        <v>14</v>
      </c>
      <c r="I830" s="2">
        <v>147497</v>
      </c>
      <c r="J830">
        <v>261574</v>
      </c>
      <c r="K830" t="s">
        <v>15</v>
      </c>
      <c r="L830" t="str">
        <f t="shared" si="36"/>
        <v>Available</v>
      </c>
      <c r="M830">
        <f t="shared" si="37"/>
        <v>1</v>
      </c>
      <c r="N830">
        <f t="shared" si="38"/>
        <v>1</v>
      </c>
    </row>
    <row r="831" spans="1:14" x14ac:dyDescent="0.35">
      <c r="A831" t="s">
        <v>2387</v>
      </c>
      <c r="B831" t="s">
        <v>1117</v>
      </c>
      <c r="C831" t="s">
        <v>1116</v>
      </c>
      <c r="D831">
        <v>25</v>
      </c>
      <c r="E831" t="s">
        <v>13</v>
      </c>
      <c r="F831" s="1">
        <v>44680</v>
      </c>
      <c r="G831" s="1">
        <v>46056</v>
      </c>
      <c r="H831" t="s">
        <v>14</v>
      </c>
      <c r="I831" t="s">
        <v>2778</v>
      </c>
      <c r="J831">
        <v>266364</v>
      </c>
      <c r="K831" t="s">
        <v>30</v>
      </c>
      <c r="L831" t="str">
        <f t="shared" si="36"/>
        <v>Available</v>
      </c>
      <c r="M831">
        <f t="shared" si="37"/>
        <v>0</v>
      </c>
      <c r="N831">
        <f t="shared" si="38"/>
        <v>1</v>
      </c>
    </row>
    <row r="832" spans="1:14" x14ac:dyDescent="0.35">
      <c r="A832" t="s">
        <v>2388</v>
      </c>
      <c r="B832" t="s">
        <v>110</v>
      </c>
      <c r="C832" t="s">
        <v>1118</v>
      </c>
      <c r="D832">
        <v>24</v>
      </c>
      <c r="E832" t="s">
        <v>13</v>
      </c>
      <c r="F832" s="1">
        <v>44497</v>
      </c>
      <c r="G832" s="1">
        <v>46058</v>
      </c>
      <c r="H832" t="s">
        <v>14</v>
      </c>
      <c r="I832" s="2">
        <v>333865</v>
      </c>
      <c r="J832">
        <v>261828</v>
      </c>
      <c r="K832" t="s">
        <v>15</v>
      </c>
      <c r="L832" t="str">
        <f t="shared" si="36"/>
        <v>Available</v>
      </c>
      <c r="M832">
        <f t="shared" si="37"/>
        <v>1</v>
      </c>
      <c r="N832">
        <f t="shared" si="38"/>
        <v>1</v>
      </c>
    </row>
    <row r="833" spans="1:14" x14ac:dyDescent="0.35">
      <c r="A833" t="s">
        <v>2389</v>
      </c>
      <c r="B833" t="s">
        <v>123</v>
      </c>
      <c r="C833" t="s">
        <v>1119</v>
      </c>
      <c r="D833">
        <v>24</v>
      </c>
      <c r="E833" t="s">
        <v>13</v>
      </c>
      <c r="F833" s="1">
        <v>45735</v>
      </c>
      <c r="G833" s="1">
        <v>46060</v>
      </c>
      <c r="H833" t="s">
        <v>14</v>
      </c>
      <c r="I833" s="2">
        <v>64392530</v>
      </c>
      <c r="J833">
        <v>264658</v>
      </c>
      <c r="K833" t="s">
        <v>15</v>
      </c>
      <c r="L833" t="str">
        <f t="shared" si="36"/>
        <v>Available</v>
      </c>
      <c r="M833">
        <f t="shared" si="37"/>
        <v>1</v>
      </c>
      <c r="N833">
        <f t="shared" si="38"/>
        <v>1</v>
      </c>
    </row>
    <row r="834" spans="1:14" x14ac:dyDescent="0.35">
      <c r="A834" t="s">
        <v>2390</v>
      </c>
      <c r="B834" t="s">
        <v>58</v>
      </c>
      <c r="C834" t="s">
        <v>1120</v>
      </c>
      <c r="D834">
        <v>21.978764999999999</v>
      </c>
      <c r="E834" t="s">
        <v>35</v>
      </c>
      <c r="F834" s="1">
        <v>44497</v>
      </c>
      <c r="G834" s="1">
        <v>45638</v>
      </c>
      <c r="H834" t="s">
        <v>14</v>
      </c>
      <c r="I834" t="s">
        <v>2778</v>
      </c>
      <c r="J834">
        <v>266853</v>
      </c>
      <c r="K834" t="s">
        <v>30</v>
      </c>
      <c r="L834" t="str">
        <f t="shared" si="36"/>
        <v>Available</v>
      </c>
      <c r="M834">
        <f t="shared" si="37"/>
        <v>0</v>
      </c>
      <c r="N834">
        <f t="shared" si="38"/>
        <v>1</v>
      </c>
    </row>
    <row r="835" spans="1:14" x14ac:dyDescent="0.35">
      <c r="A835" t="s">
        <v>2391</v>
      </c>
      <c r="B835" t="s">
        <v>293</v>
      </c>
      <c r="C835" t="s">
        <v>1121</v>
      </c>
      <c r="D835">
        <v>18.5</v>
      </c>
      <c r="E835" t="s">
        <v>13</v>
      </c>
      <c r="F835" s="1">
        <v>44497</v>
      </c>
      <c r="G835" s="1">
        <v>46059</v>
      </c>
      <c r="H835" t="s">
        <v>14</v>
      </c>
      <c r="I835" s="2">
        <v>260921</v>
      </c>
      <c r="J835">
        <v>262626</v>
      </c>
      <c r="K835" t="s">
        <v>15</v>
      </c>
      <c r="L835" t="str">
        <f t="shared" ref="L835:L898" si="39">IF(OR(B835="",ISBLANK(B835)),"Missing","Available")</f>
        <v>Available</v>
      </c>
      <c r="M835">
        <f t="shared" ref="M835:M898" si="40">IF(K835="Mapped",1,0)</f>
        <v>1</v>
      </c>
      <c r="N835">
        <f t="shared" ref="N835:N898" si="41">IF(AND(B835&lt;&gt;"",A835&lt;&gt;""),1,0)</f>
        <v>1</v>
      </c>
    </row>
    <row r="836" spans="1:14" x14ac:dyDescent="0.35">
      <c r="A836" t="s">
        <v>2392</v>
      </c>
      <c r="B836" t="s">
        <v>1123</v>
      </c>
      <c r="C836" t="s">
        <v>1122</v>
      </c>
      <c r="D836">
        <v>15</v>
      </c>
      <c r="E836" t="s">
        <v>13</v>
      </c>
      <c r="F836" s="1">
        <v>45141</v>
      </c>
      <c r="G836" s="1">
        <v>46059</v>
      </c>
      <c r="H836" t="s">
        <v>14</v>
      </c>
      <c r="I836" s="2">
        <v>33263823</v>
      </c>
      <c r="J836">
        <v>264468</v>
      </c>
      <c r="K836" t="s">
        <v>15</v>
      </c>
      <c r="L836" t="str">
        <f t="shared" si="39"/>
        <v>Available</v>
      </c>
      <c r="M836">
        <f t="shared" si="40"/>
        <v>1</v>
      </c>
      <c r="N836">
        <f t="shared" si="41"/>
        <v>1</v>
      </c>
    </row>
    <row r="837" spans="1:14" x14ac:dyDescent="0.35">
      <c r="A837" t="s">
        <v>2393</v>
      </c>
      <c r="C837" t="s">
        <v>1124</v>
      </c>
      <c r="D837">
        <v>53</v>
      </c>
      <c r="E837" t="s">
        <v>13</v>
      </c>
      <c r="F837" s="1">
        <v>44969</v>
      </c>
      <c r="G837" s="1">
        <v>45600</v>
      </c>
      <c r="H837" t="s">
        <v>14</v>
      </c>
      <c r="I837" t="s">
        <v>2778</v>
      </c>
      <c r="J837">
        <v>264433</v>
      </c>
      <c r="K837" t="s">
        <v>30</v>
      </c>
      <c r="L837" t="str">
        <f t="shared" si="39"/>
        <v>Missing</v>
      </c>
      <c r="M837">
        <f t="shared" si="40"/>
        <v>0</v>
      </c>
      <c r="N837">
        <f t="shared" si="41"/>
        <v>0</v>
      </c>
    </row>
    <row r="838" spans="1:14" x14ac:dyDescent="0.35">
      <c r="A838" t="s">
        <v>2394</v>
      </c>
      <c r="B838" t="s">
        <v>318</v>
      </c>
      <c r="C838" t="s">
        <v>1125</v>
      </c>
      <c r="D838">
        <v>24</v>
      </c>
      <c r="E838" t="s">
        <v>13</v>
      </c>
      <c r="F838" s="1">
        <v>44497</v>
      </c>
      <c r="G838" s="1">
        <v>46059</v>
      </c>
      <c r="H838" t="s">
        <v>14</v>
      </c>
      <c r="I838" s="2">
        <v>2870614</v>
      </c>
      <c r="J838">
        <v>261500</v>
      </c>
      <c r="K838" t="s">
        <v>15</v>
      </c>
      <c r="L838" t="str">
        <f t="shared" si="39"/>
        <v>Available</v>
      </c>
      <c r="M838">
        <f t="shared" si="40"/>
        <v>1</v>
      </c>
      <c r="N838">
        <f t="shared" si="41"/>
        <v>1</v>
      </c>
    </row>
    <row r="839" spans="1:14" x14ac:dyDescent="0.35">
      <c r="A839" t="s">
        <v>2395</v>
      </c>
      <c r="B839" t="s">
        <v>346</v>
      </c>
      <c r="C839" t="s">
        <v>1126</v>
      </c>
      <c r="D839">
        <v>24.3</v>
      </c>
      <c r="E839" t="s">
        <v>13</v>
      </c>
      <c r="F839" s="1">
        <v>44497</v>
      </c>
      <c r="G839" s="1">
        <v>46059</v>
      </c>
      <c r="H839" t="s">
        <v>14</v>
      </c>
      <c r="I839" s="2">
        <v>170940</v>
      </c>
      <c r="J839">
        <v>261715</v>
      </c>
      <c r="K839" t="s">
        <v>15</v>
      </c>
      <c r="L839" t="str">
        <f t="shared" si="39"/>
        <v>Available</v>
      </c>
      <c r="M839">
        <f t="shared" si="40"/>
        <v>1</v>
      </c>
      <c r="N839">
        <f t="shared" si="41"/>
        <v>1</v>
      </c>
    </row>
    <row r="840" spans="1:14" x14ac:dyDescent="0.35">
      <c r="A840" t="s">
        <v>2396</v>
      </c>
      <c r="B840" t="s">
        <v>253</v>
      </c>
      <c r="C840" t="s">
        <v>1127</v>
      </c>
      <c r="D840">
        <v>24</v>
      </c>
      <c r="E840" t="s">
        <v>13</v>
      </c>
      <c r="F840" s="1">
        <v>45805</v>
      </c>
      <c r="G840" s="1">
        <v>45952</v>
      </c>
      <c r="H840" t="s">
        <v>14</v>
      </c>
      <c r="I840" t="s">
        <v>2778</v>
      </c>
      <c r="J840">
        <v>262599</v>
      </c>
      <c r="K840" t="s">
        <v>30</v>
      </c>
      <c r="L840" t="str">
        <f t="shared" si="39"/>
        <v>Available</v>
      </c>
      <c r="M840">
        <f t="shared" si="40"/>
        <v>0</v>
      </c>
      <c r="N840">
        <f t="shared" si="41"/>
        <v>1</v>
      </c>
    </row>
    <row r="841" spans="1:14" x14ac:dyDescent="0.35">
      <c r="A841" t="s">
        <v>2397</v>
      </c>
      <c r="B841" t="s">
        <v>445</v>
      </c>
      <c r="C841" t="s">
        <v>1128</v>
      </c>
      <c r="D841">
        <v>16</v>
      </c>
      <c r="E841" t="s">
        <v>13</v>
      </c>
      <c r="F841" s="1">
        <v>45039</v>
      </c>
      <c r="G841" s="1">
        <v>46058</v>
      </c>
      <c r="H841" t="s">
        <v>14</v>
      </c>
      <c r="I841" s="2">
        <v>27910621</v>
      </c>
      <c r="J841">
        <v>261499</v>
      </c>
      <c r="K841" t="s">
        <v>15</v>
      </c>
      <c r="L841" t="str">
        <f t="shared" si="39"/>
        <v>Available</v>
      </c>
      <c r="M841">
        <f t="shared" si="40"/>
        <v>1</v>
      </c>
      <c r="N841">
        <f t="shared" si="41"/>
        <v>1</v>
      </c>
    </row>
    <row r="842" spans="1:14" x14ac:dyDescent="0.35">
      <c r="A842" t="s">
        <v>2398</v>
      </c>
      <c r="B842" t="s">
        <v>428</v>
      </c>
      <c r="C842" t="s">
        <v>1129</v>
      </c>
      <c r="D842">
        <v>32</v>
      </c>
      <c r="E842" t="s">
        <v>13</v>
      </c>
      <c r="F842" s="1">
        <v>44948</v>
      </c>
      <c r="G842" s="1">
        <v>46057</v>
      </c>
      <c r="H842" t="s">
        <v>14</v>
      </c>
      <c r="I842" s="2">
        <v>27590178</v>
      </c>
      <c r="J842">
        <v>262616</v>
      </c>
      <c r="K842" t="s">
        <v>15</v>
      </c>
      <c r="L842" t="str">
        <f t="shared" si="39"/>
        <v>Available</v>
      </c>
      <c r="M842">
        <f t="shared" si="40"/>
        <v>1</v>
      </c>
      <c r="N842">
        <f t="shared" si="41"/>
        <v>1</v>
      </c>
    </row>
    <row r="843" spans="1:14" x14ac:dyDescent="0.35">
      <c r="A843" t="s">
        <v>2399</v>
      </c>
      <c r="B843" t="s">
        <v>152</v>
      </c>
      <c r="C843" t="s">
        <v>1130</v>
      </c>
      <c r="D843">
        <v>24</v>
      </c>
      <c r="E843" t="s">
        <v>13</v>
      </c>
      <c r="F843" s="1">
        <v>44497</v>
      </c>
      <c r="G843" s="1">
        <v>46057</v>
      </c>
      <c r="H843" t="s">
        <v>14</v>
      </c>
      <c r="I843" t="s">
        <v>2778</v>
      </c>
      <c r="J843">
        <v>266832</v>
      </c>
      <c r="K843" t="s">
        <v>30</v>
      </c>
      <c r="L843" t="str">
        <f t="shared" si="39"/>
        <v>Available</v>
      </c>
      <c r="M843">
        <f t="shared" si="40"/>
        <v>0</v>
      </c>
      <c r="N843">
        <f t="shared" si="41"/>
        <v>1</v>
      </c>
    </row>
    <row r="844" spans="1:14" x14ac:dyDescent="0.35">
      <c r="A844" t="s">
        <v>2400</v>
      </c>
      <c r="B844" t="s">
        <v>1132</v>
      </c>
      <c r="C844" t="s">
        <v>1131</v>
      </c>
      <c r="D844">
        <v>23.5</v>
      </c>
      <c r="E844" t="s">
        <v>13</v>
      </c>
      <c r="F844" s="1">
        <v>44497</v>
      </c>
      <c r="G844" s="1">
        <v>46059</v>
      </c>
      <c r="H844" t="s">
        <v>14</v>
      </c>
      <c r="I844" t="s">
        <v>2778</v>
      </c>
      <c r="J844">
        <v>261772</v>
      </c>
      <c r="K844" t="s">
        <v>30</v>
      </c>
      <c r="L844" t="str">
        <f t="shared" si="39"/>
        <v>Available</v>
      </c>
      <c r="M844">
        <f t="shared" si="40"/>
        <v>0</v>
      </c>
      <c r="N844">
        <f t="shared" si="41"/>
        <v>1</v>
      </c>
    </row>
    <row r="845" spans="1:14" x14ac:dyDescent="0.35">
      <c r="A845" t="s">
        <v>2401</v>
      </c>
      <c r="B845" t="s">
        <v>875</v>
      </c>
      <c r="C845" t="s">
        <v>1133</v>
      </c>
      <c r="D845">
        <v>24</v>
      </c>
      <c r="E845" t="s">
        <v>13</v>
      </c>
      <c r="F845" s="1">
        <v>44713</v>
      </c>
      <c r="G845" s="1">
        <v>46059</v>
      </c>
      <c r="H845" t="s">
        <v>14</v>
      </c>
      <c r="I845" s="2">
        <v>24845276</v>
      </c>
      <c r="J845">
        <v>261503</v>
      </c>
      <c r="K845" t="s">
        <v>15</v>
      </c>
      <c r="L845" t="str">
        <f t="shared" si="39"/>
        <v>Available</v>
      </c>
      <c r="M845">
        <f t="shared" si="40"/>
        <v>1</v>
      </c>
      <c r="N845">
        <f t="shared" si="41"/>
        <v>1</v>
      </c>
    </row>
    <row r="846" spans="1:14" x14ac:dyDescent="0.35">
      <c r="A846" t="s">
        <v>2402</v>
      </c>
      <c r="B846" t="s">
        <v>811</v>
      </c>
      <c r="C846" t="s">
        <v>1134</v>
      </c>
      <c r="D846">
        <v>24</v>
      </c>
      <c r="E846" t="s">
        <v>13</v>
      </c>
      <c r="F846" s="1">
        <v>44497</v>
      </c>
      <c r="G846" s="1">
        <v>46059</v>
      </c>
      <c r="H846" t="s">
        <v>14</v>
      </c>
      <c r="I846" s="2">
        <v>91491</v>
      </c>
      <c r="J846">
        <v>266865</v>
      </c>
      <c r="K846" t="s">
        <v>15</v>
      </c>
      <c r="L846" t="str">
        <f t="shared" si="39"/>
        <v>Available</v>
      </c>
      <c r="M846">
        <f t="shared" si="40"/>
        <v>1</v>
      </c>
      <c r="N846">
        <f t="shared" si="41"/>
        <v>1</v>
      </c>
    </row>
    <row r="847" spans="1:14" x14ac:dyDescent="0.35">
      <c r="A847" t="s">
        <v>2403</v>
      </c>
      <c r="C847" t="s">
        <v>1135</v>
      </c>
      <c r="D847">
        <v>24</v>
      </c>
      <c r="E847" t="s">
        <v>13</v>
      </c>
      <c r="F847" s="1">
        <v>44593</v>
      </c>
      <c r="G847" s="1">
        <v>45524</v>
      </c>
      <c r="H847" t="s">
        <v>14</v>
      </c>
      <c r="I847" t="s">
        <v>2778</v>
      </c>
      <c r="J847">
        <v>261814</v>
      </c>
      <c r="K847" t="s">
        <v>30</v>
      </c>
      <c r="L847" t="str">
        <f t="shared" si="39"/>
        <v>Missing</v>
      </c>
      <c r="M847">
        <f t="shared" si="40"/>
        <v>0</v>
      </c>
      <c r="N847">
        <f t="shared" si="41"/>
        <v>0</v>
      </c>
    </row>
    <row r="848" spans="1:14" x14ac:dyDescent="0.35">
      <c r="A848" t="s">
        <v>2404</v>
      </c>
      <c r="B848" t="s">
        <v>1137</v>
      </c>
      <c r="C848" t="s">
        <v>1136</v>
      </c>
      <c r="D848">
        <v>24</v>
      </c>
      <c r="E848" t="s">
        <v>13</v>
      </c>
      <c r="F848" s="1">
        <v>44501</v>
      </c>
      <c r="G848" s="1">
        <v>46054</v>
      </c>
      <c r="H848" t="s">
        <v>14</v>
      </c>
      <c r="I848" s="2">
        <v>162274</v>
      </c>
      <c r="J848">
        <v>261759</v>
      </c>
      <c r="K848" t="s">
        <v>15</v>
      </c>
      <c r="L848" t="str">
        <f t="shared" si="39"/>
        <v>Available</v>
      </c>
      <c r="M848">
        <f t="shared" si="40"/>
        <v>1</v>
      </c>
      <c r="N848">
        <f t="shared" si="41"/>
        <v>1</v>
      </c>
    </row>
    <row r="849" spans="1:14" x14ac:dyDescent="0.35">
      <c r="A849" t="s">
        <v>2405</v>
      </c>
      <c r="B849" t="s">
        <v>60</v>
      </c>
      <c r="C849" t="s">
        <v>1138</v>
      </c>
      <c r="D849">
        <v>25</v>
      </c>
      <c r="E849" t="s">
        <v>13</v>
      </c>
      <c r="F849" s="1">
        <v>44497</v>
      </c>
      <c r="G849" s="1">
        <v>46059</v>
      </c>
      <c r="H849" t="s">
        <v>14</v>
      </c>
      <c r="I849" s="2">
        <v>22696564</v>
      </c>
      <c r="J849">
        <v>266827</v>
      </c>
      <c r="K849" t="s">
        <v>15</v>
      </c>
      <c r="L849" t="str">
        <f t="shared" si="39"/>
        <v>Available</v>
      </c>
      <c r="M849">
        <f t="shared" si="40"/>
        <v>1</v>
      </c>
      <c r="N849">
        <f t="shared" si="41"/>
        <v>1</v>
      </c>
    </row>
    <row r="850" spans="1:14" x14ac:dyDescent="0.35">
      <c r="A850" t="s">
        <v>2406</v>
      </c>
      <c r="B850" t="s">
        <v>420</v>
      </c>
      <c r="C850" t="s">
        <v>1139</v>
      </c>
      <c r="F850" s="1">
        <v>45019</v>
      </c>
      <c r="G850" s="1">
        <v>45099</v>
      </c>
      <c r="H850" t="s">
        <v>14</v>
      </c>
      <c r="I850" t="s">
        <v>2778</v>
      </c>
      <c r="J850">
        <v>266848</v>
      </c>
      <c r="K850" t="s">
        <v>30</v>
      </c>
      <c r="L850" t="str">
        <f t="shared" si="39"/>
        <v>Available</v>
      </c>
      <c r="M850">
        <f t="shared" si="40"/>
        <v>0</v>
      </c>
      <c r="N850">
        <f t="shared" si="41"/>
        <v>1</v>
      </c>
    </row>
    <row r="851" spans="1:14" x14ac:dyDescent="0.35">
      <c r="A851" t="s">
        <v>2407</v>
      </c>
      <c r="B851" t="s">
        <v>626</v>
      </c>
      <c r="C851" t="s">
        <v>625</v>
      </c>
      <c r="D851">
        <v>24</v>
      </c>
      <c r="E851" t="s">
        <v>13</v>
      </c>
      <c r="F851" s="1">
        <v>44497</v>
      </c>
      <c r="G851" s="1">
        <v>46058</v>
      </c>
      <c r="H851" t="s">
        <v>14</v>
      </c>
      <c r="I851" t="s">
        <v>2778</v>
      </c>
      <c r="J851">
        <v>264110</v>
      </c>
      <c r="K851" t="s">
        <v>30</v>
      </c>
      <c r="L851" t="str">
        <f t="shared" si="39"/>
        <v>Available</v>
      </c>
      <c r="M851">
        <f t="shared" si="40"/>
        <v>0</v>
      </c>
      <c r="N851">
        <f t="shared" si="41"/>
        <v>1</v>
      </c>
    </row>
    <row r="852" spans="1:14" x14ac:dyDescent="0.35">
      <c r="A852" t="s">
        <v>2408</v>
      </c>
      <c r="B852" t="s">
        <v>41</v>
      </c>
      <c r="C852" t="s">
        <v>1140</v>
      </c>
      <c r="D852">
        <v>24.3</v>
      </c>
      <c r="E852" t="s">
        <v>13</v>
      </c>
      <c r="F852" s="1">
        <v>44497</v>
      </c>
      <c r="G852" s="1">
        <v>46058</v>
      </c>
      <c r="H852" t="s">
        <v>14</v>
      </c>
      <c r="I852" s="2">
        <v>333889</v>
      </c>
      <c r="J852">
        <v>266510</v>
      </c>
      <c r="K852" t="s">
        <v>15</v>
      </c>
      <c r="L852" t="str">
        <f t="shared" si="39"/>
        <v>Available</v>
      </c>
      <c r="M852">
        <f t="shared" si="40"/>
        <v>1</v>
      </c>
      <c r="N852">
        <f t="shared" si="41"/>
        <v>1</v>
      </c>
    </row>
    <row r="853" spans="1:14" x14ac:dyDescent="0.35">
      <c r="A853" t="s">
        <v>2409</v>
      </c>
      <c r="B853" t="s">
        <v>1142</v>
      </c>
      <c r="C853" t="s">
        <v>1141</v>
      </c>
      <c r="D853">
        <v>16</v>
      </c>
      <c r="E853" t="s">
        <v>13</v>
      </c>
      <c r="F853" s="1">
        <v>45646</v>
      </c>
      <c r="G853" s="1">
        <v>46059</v>
      </c>
      <c r="H853" t="s">
        <v>14</v>
      </c>
      <c r="I853" s="2">
        <v>56340212</v>
      </c>
      <c r="J853">
        <v>262392</v>
      </c>
      <c r="K853" t="s">
        <v>15</v>
      </c>
      <c r="L853" t="str">
        <f t="shared" si="39"/>
        <v>Available</v>
      </c>
      <c r="M853">
        <f t="shared" si="40"/>
        <v>1</v>
      </c>
      <c r="N853">
        <f t="shared" si="41"/>
        <v>1</v>
      </c>
    </row>
    <row r="854" spans="1:14" x14ac:dyDescent="0.35">
      <c r="A854" t="s">
        <v>2410</v>
      </c>
      <c r="B854" t="s">
        <v>156</v>
      </c>
      <c r="C854" t="s">
        <v>1143</v>
      </c>
      <c r="D854">
        <v>44</v>
      </c>
      <c r="E854" t="s">
        <v>13</v>
      </c>
      <c r="F854" s="1">
        <v>45739</v>
      </c>
      <c r="G854" s="1">
        <v>46056</v>
      </c>
      <c r="H854" t="s">
        <v>14</v>
      </c>
      <c r="I854" t="s">
        <v>2778</v>
      </c>
      <c r="J854">
        <v>264363</v>
      </c>
      <c r="K854" t="s">
        <v>30</v>
      </c>
      <c r="L854" t="str">
        <f t="shared" si="39"/>
        <v>Available</v>
      </c>
      <c r="M854">
        <f t="shared" si="40"/>
        <v>0</v>
      </c>
      <c r="N854">
        <f t="shared" si="41"/>
        <v>1</v>
      </c>
    </row>
    <row r="855" spans="1:14" x14ac:dyDescent="0.35">
      <c r="A855" t="s">
        <v>2411</v>
      </c>
      <c r="B855" t="s">
        <v>123</v>
      </c>
      <c r="C855" t="s">
        <v>1144</v>
      </c>
      <c r="D855">
        <v>23</v>
      </c>
      <c r="E855" t="s">
        <v>13</v>
      </c>
      <c r="F855" s="1">
        <v>44497</v>
      </c>
      <c r="G855" s="1">
        <v>46060</v>
      </c>
      <c r="H855" t="s">
        <v>14</v>
      </c>
      <c r="I855" s="2">
        <v>77112</v>
      </c>
      <c r="J855">
        <v>264164</v>
      </c>
      <c r="K855" t="s">
        <v>15</v>
      </c>
      <c r="L855" t="str">
        <f t="shared" si="39"/>
        <v>Available</v>
      </c>
      <c r="M855">
        <f t="shared" si="40"/>
        <v>1</v>
      </c>
      <c r="N855">
        <f t="shared" si="41"/>
        <v>1</v>
      </c>
    </row>
    <row r="856" spans="1:14" x14ac:dyDescent="0.35">
      <c r="A856" t="s">
        <v>2412</v>
      </c>
      <c r="B856" t="s">
        <v>1146</v>
      </c>
      <c r="C856" t="s">
        <v>1145</v>
      </c>
      <c r="D856">
        <v>25</v>
      </c>
      <c r="E856" t="s">
        <v>13</v>
      </c>
      <c r="F856" s="1">
        <v>44497</v>
      </c>
      <c r="G856" s="1">
        <v>46059</v>
      </c>
      <c r="H856" t="s">
        <v>14</v>
      </c>
      <c r="I856" s="2">
        <v>21670073</v>
      </c>
      <c r="J856">
        <v>266403</v>
      </c>
      <c r="K856" t="s">
        <v>15</v>
      </c>
      <c r="L856" t="str">
        <f t="shared" si="39"/>
        <v>Available</v>
      </c>
      <c r="M856">
        <f t="shared" si="40"/>
        <v>1</v>
      </c>
      <c r="N856">
        <f t="shared" si="41"/>
        <v>1</v>
      </c>
    </row>
    <row r="857" spans="1:14" x14ac:dyDescent="0.35">
      <c r="A857" t="s">
        <v>2413</v>
      </c>
      <c r="B857" t="s">
        <v>103</v>
      </c>
      <c r="C857" t="s">
        <v>1147</v>
      </c>
      <c r="D857">
        <v>24</v>
      </c>
      <c r="E857" t="s">
        <v>13</v>
      </c>
      <c r="F857" s="1">
        <v>45522</v>
      </c>
      <c r="G857" s="1">
        <v>46058</v>
      </c>
      <c r="H857" t="s">
        <v>14</v>
      </c>
      <c r="I857" s="2">
        <v>28088472</v>
      </c>
      <c r="J857">
        <v>264527</v>
      </c>
      <c r="K857" t="s">
        <v>15</v>
      </c>
      <c r="L857" t="str">
        <f t="shared" si="39"/>
        <v>Available</v>
      </c>
      <c r="M857">
        <f t="shared" si="40"/>
        <v>1</v>
      </c>
      <c r="N857">
        <f t="shared" si="41"/>
        <v>1</v>
      </c>
    </row>
    <row r="858" spans="1:14" x14ac:dyDescent="0.35">
      <c r="A858" t="s">
        <v>2414</v>
      </c>
      <c r="B858" t="s">
        <v>856</v>
      </c>
      <c r="C858" t="s">
        <v>1148</v>
      </c>
      <c r="D858">
        <v>24</v>
      </c>
      <c r="E858" t="s">
        <v>13</v>
      </c>
      <c r="F858" s="1">
        <v>45337</v>
      </c>
      <c r="G858" s="1">
        <v>46055</v>
      </c>
      <c r="H858" t="s">
        <v>14</v>
      </c>
      <c r="I858" s="2">
        <v>2809525</v>
      </c>
      <c r="J858">
        <v>262258</v>
      </c>
      <c r="K858" t="s">
        <v>15</v>
      </c>
      <c r="L858" t="str">
        <f t="shared" si="39"/>
        <v>Available</v>
      </c>
      <c r="M858">
        <f t="shared" si="40"/>
        <v>1</v>
      </c>
      <c r="N858">
        <f t="shared" si="41"/>
        <v>1</v>
      </c>
    </row>
    <row r="859" spans="1:14" x14ac:dyDescent="0.35">
      <c r="A859" t="s">
        <v>2415</v>
      </c>
      <c r="B859" t="s">
        <v>47</v>
      </c>
      <c r="C859" t="s">
        <v>1149</v>
      </c>
      <c r="D859">
        <v>24</v>
      </c>
      <c r="E859" t="s">
        <v>13</v>
      </c>
      <c r="F859" s="1">
        <v>45250</v>
      </c>
      <c r="G859" s="1">
        <v>45683</v>
      </c>
      <c r="H859" t="s">
        <v>14</v>
      </c>
      <c r="I859" t="s">
        <v>2778</v>
      </c>
      <c r="J859">
        <v>261809</v>
      </c>
      <c r="K859" t="s">
        <v>30</v>
      </c>
      <c r="L859" t="str">
        <f t="shared" si="39"/>
        <v>Available</v>
      </c>
      <c r="M859">
        <f t="shared" si="40"/>
        <v>0</v>
      </c>
      <c r="N859">
        <f t="shared" si="41"/>
        <v>1</v>
      </c>
    </row>
    <row r="860" spans="1:14" x14ac:dyDescent="0.35">
      <c r="A860" t="s">
        <v>2416</v>
      </c>
      <c r="C860" t="s">
        <v>1150</v>
      </c>
      <c r="D860">
        <v>10</v>
      </c>
      <c r="E860" t="s">
        <v>13</v>
      </c>
      <c r="F860" s="1">
        <v>44514</v>
      </c>
      <c r="G860" s="1">
        <v>46057</v>
      </c>
      <c r="H860" t="s">
        <v>14</v>
      </c>
      <c r="I860" s="2">
        <v>26505413</v>
      </c>
      <c r="J860">
        <v>262232</v>
      </c>
      <c r="K860" t="s">
        <v>15</v>
      </c>
      <c r="L860" t="str">
        <f t="shared" si="39"/>
        <v>Missing</v>
      </c>
      <c r="M860">
        <f t="shared" si="40"/>
        <v>1</v>
      </c>
      <c r="N860">
        <f t="shared" si="41"/>
        <v>0</v>
      </c>
    </row>
    <row r="861" spans="1:14" x14ac:dyDescent="0.35">
      <c r="A861" t="s">
        <v>2417</v>
      </c>
      <c r="C861" t="s">
        <v>1151</v>
      </c>
      <c r="F861" s="1">
        <v>44703</v>
      </c>
      <c r="G861" s="1">
        <v>45039</v>
      </c>
      <c r="H861" t="s">
        <v>14</v>
      </c>
      <c r="I861" t="s">
        <v>2778</v>
      </c>
      <c r="J861">
        <v>261729</v>
      </c>
      <c r="K861" t="s">
        <v>30</v>
      </c>
      <c r="L861" t="str">
        <f t="shared" si="39"/>
        <v>Missing</v>
      </c>
      <c r="M861">
        <f t="shared" si="40"/>
        <v>0</v>
      </c>
      <c r="N861">
        <f t="shared" si="41"/>
        <v>0</v>
      </c>
    </row>
    <row r="862" spans="1:14" x14ac:dyDescent="0.35">
      <c r="A862" t="s">
        <v>2418</v>
      </c>
      <c r="B862" t="s">
        <v>402</v>
      </c>
      <c r="C862" t="s">
        <v>1152</v>
      </c>
      <c r="D862">
        <v>24</v>
      </c>
      <c r="E862" t="s">
        <v>13</v>
      </c>
      <c r="F862" s="1">
        <v>44498</v>
      </c>
      <c r="G862" s="1">
        <v>46058</v>
      </c>
      <c r="H862" t="s">
        <v>14</v>
      </c>
      <c r="I862" s="2">
        <v>311592</v>
      </c>
      <c r="J862">
        <v>267070</v>
      </c>
      <c r="K862" t="s">
        <v>15</v>
      </c>
      <c r="L862" t="str">
        <f t="shared" si="39"/>
        <v>Available</v>
      </c>
      <c r="M862">
        <f t="shared" si="40"/>
        <v>1</v>
      </c>
      <c r="N862">
        <f t="shared" si="41"/>
        <v>1</v>
      </c>
    </row>
    <row r="863" spans="1:14" x14ac:dyDescent="0.35">
      <c r="A863" t="s">
        <v>2419</v>
      </c>
      <c r="B863" t="s">
        <v>23</v>
      </c>
      <c r="C863" t="s">
        <v>1153</v>
      </c>
      <c r="F863" s="1">
        <v>44500</v>
      </c>
      <c r="G863" s="1">
        <v>45133</v>
      </c>
      <c r="H863" t="s">
        <v>14</v>
      </c>
      <c r="I863" t="s">
        <v>2778</v>
      </c>
      <c r="J863">
        <v>264431</v>
      </c>
      <c r="K863" t="s">
        <v>30</v>
      </c>
      <c r="L863" t="str">
        <f t="shared" si="39"/>
        <v>Available</v>
      </c>
      <c r="M863">
        <f t="shared" si="40"/>
        <v>0</v>
      </c>
      <c r="N863">
        <f t="shared" si="41"/>
        <v>1</v>
      </c>
    </row>
    <row r="864" spans="1:14" x14ac:dyDescent="0.35">
      <c r="A864" t="s">
        <v>2420</v>
      </c>
      <c r="B864" t="s">
        <v>1155</v>
      </c>
      <c r="C864" t="s">
        <v>1154</v>
      </c>
      <c r="D864">
        <v>25</v>
      </c>
      <c r="E864" t="s">
        <v>13</v>
      </c>
      <c r="F864" s="1">
        <v>44861</v>
      </c>
      <c r="G864" s="1">
        <v>46059</v>
      </c>
      <c r="H864" t="s">
        <v>14</v>
      </c>
      <c r="I864" s="2">
        <v>26220681</v>
      </c>
      <c r="J864">
        <v>264125</v>
      </c>
      <c r="K864" t="s">
        <v>15</v>
      </c>
      <c r="L864" t="str">
        <f t="shared" si="39"/>
        <v>Available</v>
      </c>
      <c r="M864">
        <f t="shared" si="40"/>
        <v>1</v>
      </c>
      <c r="N864">
        <f t="shared" si="41"/>
        <v>1</v>
      </c>
    </row>
    <row r="865" spans="1:14" x14ac:dyDescent="0.35">
      <c r="A865" t="s">
        <v>2421</v>
      </c>
      <c r="B865" t="s">
        <v>1157</v>
      </c>
      <c r="C865" t="s">
        <v>1156</v>
      </c>
      <c r="D865">
        <v>2</v>
      </c>
      <c r="E865" t="s">
        <v>13</v>
      </c>
      <c r="F865" s="1">
        <v>44497</v>
      </c>
      <c r="G865" s="1">
        <v>46056</v>
      </c>
      <c r="H865" t="s">
        <v>14</v>
      </c>
      <c r="I865" s="2">
        <v>18179392</v>
      </c>
      <c r="J865">
        <v>264136</v>
      </c>
      <c r="K865" t="s">
        <v>15</v>
      </c>
      <c r="L865" t="str">
        <f t="shared" si="39"/>
        <v>Available</v>
      </c>
      <c r="M865">
        <f t="shared" si="40"/>
        <v>1</v>
      </c>
      <c r="N865">
        <f t="shared" si="41"/>
        <v>1</v>
      </c>
    </row>
    <row r="866" spans="1:14" x14ac:dyDescent="0.35">
      <c r="A866" t="s">
        <v>2422</v>
      </c>
      <c r="B866" t="s">
        <v>690</v>
      </c>
      <c r="C866" t="s">
        <v>1158</v>
      </c>
      <c r="D866">
        <v>15</v>
      </c>
      <c r="E866" t="s">
        <v>13</v>
      </c>
      <c r="F866" s="1">
        <v>44752</v>
      </c>
      <c r="G866" s="1">
        <v>46059</v>
      </c>
      <c r="H866" t="s">
        <v>14</v>
      </c>
      <c r="I866" s="2">
        <v>27550238</v>
      </c>
      <c r="J866">
        <v>266351</v>
      </c>
      <c r="K866" t="s">
        <v>15</v>
      </c>
      <c r="L866" t="str">
        <f t="shared" si="39"/>
        <v>Available</v>
      </c>
      <c r="M866">
        <f t="shared" si="40"/>
        <v>1</v>
      </c>
      <c r="N866">
        <f t="shared" si="41"/>
        <v>1</v>
      </c>
    </row>
    <row r="867" spans="1:14" x14ac:dyDescent="0.35">
      <c r="A867" t="s">
        <v>2423</v>
      </c>
      <c r="B867" t="s">
        <v>21</v>
      </c>
      <c r="C867" t="s">
        <v>1159</v>
      </c>
      <c r="D867">
        <v>24</v>
      </c>
      <c r="E867" t="s">
        <v>13</v>
      </c>
      <c r="F867" s="1">
        <v>44497</v>
      </c>
      <c r="G867" s="1">
        <v>46059</v>
      </c>
      <c r="H867" t="s">
        <v>14</v>
      </c>
      <c r="I867" s="2">
        <v>53416</v>
      </c>
      <c r="J867">
        <v>266831</v>
      </c>
      <c r="K867" t="s">
        <v>15</v>
      </c>
      <c r="L867" t="str">
        <f t="shared" si="39"/>
        <v>Available</v>
      </c>
      <c r="M867">
        <f t="shared" si="40"/>
        <v>1</v>
      </c>
      <c r="N867">
        <f t="shared" si="41"/>
        <v>1</v>
      </c>
    </row>
    <row r="868" spans="1:14" x14ac:dyDescent="0.35">
      <c r="A868" t="s">
        <v>2424</v>
      </c>
      <c r="B868" t="s">
        <v>147</v>
      </c>
      <c r="C868" t="s">
        <v>1160</v>
      </c>
      <c r="D868">
        <v>25</v>
      </c>
      <c r="E868" t="s">
        <v>13</v>
      </c>
      <c r="F868" s="1">
        <v>44497</v>
      </c>
      <c r="G868" s="1">
        <v>46059</v>
      </c>
      <c r="H868" t="s">
        <v>14</v>
      </c>
      <c r="I868" s="2">
        <v>24823</v>
      </c>
      <c r="J868">
        <v>266401</v>
      </c>
      <c r="K868" t="s">
        <v>15</v>
      </c>
      <c r="L868" t="str">
        <f t="shared" si="39"/>
        <v>Available</v>
      </c>
      <c r="M868">
        <f t="shared" si="40"/>
        <v>1</v>
      </c>
      <c r="N868">
        <f t="shared" si="41"/>
        <v>1</v>
      </c>
    </row>
    <row r="869" spans="1:14" x14ac:dyDescent="0.35">
      <c r="A869" t="s">
        <v>2425</v>
      </c>
      <c r="B869" t="s">
        <v>118</v>
      </c>
      <c r="C869" t="s">
        <v>1161</v>
      </c>
      <c r="D869">
        <v>24</v>
      </c>
      <c r="E869" t="s">
        <v>13</v>
      </c>
      <c r="F869" s="1">
        <v>45459</v>
      </c>
      <c r="G869" s="1">
        <v>46059</v>
      </c>
      <c r="H869" t="s">
        <v>14</v>
      </c>
      <c r="I869" s="2">
        <v>21866473</v>
      </c>
      <c r="J869">
        <v>261776</v>
      </c>
      <c r="K869" t="s">
        <v>15</v>
      </c>
      <c r="L869" t="str">
        <f t="shared" si="39"/>
        <v>Available</v>
      </c>
      <c r="M869">
        <f t="shared" si="40"/>
        <v>1</v>
      </c>
      <c r="N869">
        <f t="shared" si="41"/>
        <v>1</v>
      </c>
    </row>
    <row r="870" spans="1:14" x14ac:dyDescent="0.35">
      <c r="A870" t="s">
        <v>2426</v>
      </c>
      <c r="B870" t="s">
        <v>19</v>
      </c>
      <c r="C870" t="s">
        <v>1162</v>
      </c>
      <c r="D870">
        <v>40</v>
      </c>
      <c r="E870" t="s">
        <v>13</v>
      </c>
      <c r="F870" s="1">
        <v>44497</v>
      </c>
      <c r="G870" s="1">
        <v>45723</v>
      </c>
      <c r="H870" t="s">
        <v>14</v>
      </c>
      <c r="I870" t="s">
        <v>2778</v>
      </c>
      <c r="J870">
        <v>264102</v>
      </c>
      <c r="K870" t="s">
        <v>30</v>
      </c>
      <c r="L870" t="str">
        <f t="shared" si="39"/>
        <v>Available</v>
      </c>
      <c r="M870">
        <f t="shared" si="40"/>
        <v>0</v>
      </c>
      <c r="N870">
        <f t="shared" si="41"/>
        <v>1</v>
      </c>
    </row>
    <row r="871" spans="1:14" x14ac:dyDescent="0.35">
      <c r="A871" t="s">
        <v>2427</v>
      </c>
      <c r="C871" t="s">
        <v>1163</v>
      </c>
      <c r="F871" s="1">
        <v>44840</v>
      </c>
      <c r="G871" s="1">
        <v>45354</v>
      </c>
      <c r="H871" t="s">
        <v>14</v>
      </c>
      <c r="I871" t="s">
        <v>2778</v>
      </c>
      <c r="J871">
        <v>261818</v>
      </c>
      <c r="K871" t="s">
        <v>30</v>
      </c>
      <c r="L871" t="str">
        <f t="shared" si="39"/>
        <v>Missing</v>
      </c>
      <c r="M871">
        <f t="shared" si="40"/>
        <v>0</v>
      </c>
      <c r="N871">
        <f t="shared" si="41"/>
        <v>0</v>
      </c>
    </row>
    <row r="872" spans="1:14" x14ac:dyDescent="0.35">
      <c r="A872" t="s">
        <v>2428</v>
      </c>
      <c r="C872" t="s">
        <v>1164</v>
      </c>
      <c r="D872">
        <v>17</v>
      </c>
      <c r="E872" t="s">
        <v>13</v>
      </c>
      <c r="F872" s="1">
        <v>44500</v>
      </c>
      <c r="G872" s="1">
        <v>46010</v>
      </c>
      <c r="H872" t="s">
        <v>14</v>
      </c>
      <c r="I872" t="s">
        <v>2778</v>
      </c>
      <c r="J872">
        <v>267016</v>
      </c>
      <c r="K872" t="s">
        <v>30</v>
      </c>
      <c r="L872" t="str">
        <f t="shared" si="39"/>
        <v>Missing</v>
      </c>
      <c r="M872">
        <f t="shared" si="40"/>
        <v>0</v>
      </c>
      <c r="N872">
        <f t="shared" si="41"/>
        <v>0</v>
      </c>
    </row>
    <row r="873" spans="1:14" x14ac:dyDescent="0.35">
      <c r="A873" t="s">
        <v>2429</v>
      </c>
      <c r="B873" t="s">
        <v>137</v>
      </c>
      <c r="C873" t="s">
        <v>1165</v>
      </c>
      <c r="D873">
        <v>21.2</v>
      </c>
      <c r="E873" t="s">
        <v>13</v>
      </c>
      <c r="F873" s="1">
        <v>44538</v>
      </c>
      <c r="G873" s="1">
        <v>46058</v>
      </c>
      <c r="H873" t="s">
        <v>14</v>
      </c>
      <c r="I873" s="2">
        <v>26251266</v>
      </c>
      <c r="J873">
        <v>264586</v>
      </c>
      <c r="K873" t="s">
        <v>15</v>
      </c>
      <c r="L873" t="str">
        <f t="shared" si="39"/>
        <v>Available</v>
      </c>
      <c r="M873">
        <f t="shared" si="40"/>
        <v>1</v>
      </c>
      <c r="N873">
        <f t="shared" si="41"/>
        <v>1</v>
      </c>
    </row>
    <row r="874" spans="1:14" x14ac:dyDescent="0.35">
      <c r="A874" t="s">
        <v>2430</v>
      </c>
      <c r="B874" t="s">
        <v>1167</v>
      </c>
      <c r="C874" t="s">
        <v>1166</v>
      </c>
      <c r="D874">
        <v>24</v>
      </c>
      <c r="E874" t="s">
        <v>13</v>
      </c>
      <c r="F874" s="1">
        <v>44497</v>
      </c>
      <c r="G874" s="1">
        <v>46059</v>
      </c>
      <c r="H874" t="s">
        <v>14</v>
      </c>
      <c r="I874" t="s">
        <v>2778</v>
      </c>
      <c r="J874">
        <v>266505</v>
      </c>
      <c r="K874" t="s">
        <v>30</v>
      </c>
      <c r="L874" t="str">
        <f t="shared" si="39"/>
        <v>Available</v>
      </c>
      <c r="M874">
        <f t="shared" si="40"/>
        <v>0</v>
      </c>
      <c r="N874">
        <f t="shared" si="41"/>
        <v>1</v>
      </c>
    </row>
    <row r="875" spans="1:14" x14ac:dyDescent="0.35">
      <c r="A875" t="s">
        <v>2431</v>
      </c>
      <c r="C875" t="s">
        <v>1168</v>
      </c>
      <c r="D875">
        <v>24</v>
      </c>
      <c r="E875" t="s">
        <v>13</v>
      </c>
      <c r="F875" s="1">
        <v>44497</v>
      </c>
      <c r="G875" s="1">
        <v>46059</v>
      </c>
      <c r="H875" t="s">
        <v>14</v>
      </c>
      <c r="I875" s="2">
        <v>17071336</v>
      </c>
      <c r="J875">
        <v>266395</v>
      </c>
      <c r="K875" t="s">
        <v>15</v>
      </c>
      <c r="L875" t="str">
        <f t="shared" si="39"/>
        <v>Missing</v>
      </c>
      <c r="M875">
        <f t="shared" si="40"/>
        <v>1</v>
      </c>
      <c r="N875">
        <f t="shared" si="41"/>
        <v>0</v>
      </c>
    </row>
    <row r="876" spans="1:14" x14ac:dyDescent="0.35">
      <c r="A876" t="s">
        <v>2432</v>
      </c>
      <c r="B876" t="s">
        <v>121</v>
      </c>
      <c r="C876" t="s">
        <v>1169</v>
      </c>
      <c r="D876">
        <v>24</v>
      </c>
      <c r="E876" t="s">
        <v>13</v>
      </c>
      <c r="F876" s="1">
        <v>45686</v>
      </c>
      <c r="G876" s="1">
        <v>46030</v>
      </c>
      <c r="H876" t="s">
        <v>14</v>
      </c>
      <c r="I876" t="s">
        <v>2778</v>
      </c>
      <c r="J876">
        <v>266354</v>
      </c>
      <c r="K876" t="s">
        <v>30</v>
      </c>
      <c r="L876" t="str">
        <f t="shared" si="39"/>
        <v>Available</v>
      </c>
      <c r="M876">
        <f t="shared" si="40"/>
        <v>0</v>
      </c>
      <c r="N876">
        <f t="shared" si="41"/>
        <v>1</v>
      </c>
    </row>
    <row r="877" spans="1:14" x14ac:dyDescent="0.35">
      <c r="A877" t="s">
        <v>2433</v>
      </c>
      <c r="B877" t="s">
        <v>424</v>
      </c>
      <c r="C877" t="s">
        <v>1170</v>
      </c>
      <c r="D877">
        <v>24</v>
      </c>
      <c r="E877" t="s">
        <v>13</v>
      </c>
      <c r="F877" s="1">
        <v>45035</v>
      </c>
      <c r="G877" s="1">
        <v>46058</v>
      </c>
      <c r="H877" t="s">
        <v>14</v>
      </c>
      <c r="I877" s="2">
        <v>29770630</v>
      </c>
      <c r="J877">
        <v>266642</v>
      </c>
      <c r="K877" t="s">
        <v>15</v>
      </c>
      <c r="L877" t="str">
        <f t="shared" si="39"/>
        <v>Available</v>
      </c>
      <c r="M877">
        <f t="shared" si="40"/>
        <v>1</v>
      </c>
      <c r="N877">
        <f t="shared" si="41"/>
        <v>1</v>
      </c>
    </row>
    <row r="878" spans="1:14" x14ac:dyDescent="0.35">
      <c r="A878" t="s">
        <v>2434</v>
      </c>
      <c r="C878" t="s">
        <v>1171</v>
      </c>
      <c r="D878">
        <v>19</v>
      </c>
      <c r="E878" t="s">
        <v>13</v>
      </c>
      <c r="F878" s="1">
        <v>45820</v>
      </c>
      <c r="G878" s="1">
        <v>46058</v>
      </c>
      <c r="H878" t="s">
        <v>14</v>
      </c>
      <c r="I878" s="2">
        <v>76042671</v>
      </c>
      <c r="J878">
        <v>267109</v>
      </c>
      <c r="K878" t="s">
        <v>15</v>
      </c>
      <c r="L878" t="str">
        <f t="shared" si="39"/>
        <v>Missing</v>
      </c>
      <c r="M878">
        <f t="shared" si="40"/>
        <v>1</v>
      </c>
      <c r="N878">
        <f t="shared" si="41"/>
        <v>0</v>
      </c>
    </row>
    <row r="879" spans="1:14" x14ac:dyDescent="0.35">
      <c r="A879" t="s">
        <v>2435</v>
      </c>
      <c r="B879" t="s">
        <v>422</v>
      </c>
      <c r="C879" t="s">
        <v>1172</v>
      </c>
      <c r="D879">
        <v>8.8000000000000007</v>
      </c>
      <c r="E879" t="s">
        <v>13</v>
      </c>
      <c r="F879" s="1">
        <v>45517</v>
      </c>
      <c r="G879" s="1">
        <v>46059</v>
      </c>
      <c r="H879" t="s">
        <v>14</v>
      </c>
      <c r="I879" s="2">
        <v>53639633</v>
      </c>
      <c r="J879">
        <v>261496</v>
      </c>
      <c r="K879" t="s">
        <v>15</v>
      </c>
      <c r="L879" t="str">
        <f t="shared" si="39"/>
        <v>Available</v>
      </c>
      <c r="M879">
        <f t="shared" si="40"/>
        <v>1</v>
      </c>
      <c r="N879">
        <f t="shared" si="41"/>
        <v>1</v>
      </c>
    </row>
    <row r="880" spans="1:14" x14ac:dyDescent="0.35">
      <c r="A880" t="s">
        <v>2436</v>
      </c>
      <c r="B880" t="s">
        <v>135</v>
      </c>
      <c r="C880" t="s">
        <v>1173</v>
      </c>
      <c r="D880">
        <v>32</v>
      </c>
      <c r="E880" t="s">
        <v>13</v>
      </c>
      <c r="F880" s="1">
        <v>45733</v>
      </c>
      <c r="G880" s="1">
        <v>46059</v>
      </c>
      <c r="H880" t="s">
        <v>14</v>
      </c>
      <c r="I880" s="2">
        <v>64213205</v>
      </c>
      <c r="J880">
        <v>264365</v>
      </c>
      <c r="K880" t="s">
        <v>15</v>
      </c>
      <c r="L880" t="str">
        <f t="shared" si="39"/>
        <v>Available</v>
      </c>
      <c r="M880">
        <f t="shared" si="40"/>
        <v>1</v>
      </c>
      <c r="N880">
        <f t="shared" si="41"/>
        <v>1</v>
      </c>
    </row>
    <row r="881" spans="1:14" x14ac:dyDescent="0.35">
      <c r="A881" t="s">
        <v>2437</v>
      </c>
      <c r="B881" t="s">
        <v>121</v>
      </c>
      <c r="C881" t="s">
        <v>1174</v>
      </c>
      <c r="D881">
        <v>24</v>
      </c>
      <c r="E881" t="s">
        <v>13</v>
      </c>
      <c r="F881" s="1">
        <v>44500</v>
      </c>
      <c r="G881" s="1">
        <v>46059</v>
      </c>
      <c r="H881" t="s">
        <v>14</v>
      </c>
      <c r="I881" s="2">
        <v>3346280</v>
      </c>
      <c r="J881">
        <v>264303</v>
      </c>
      <c r="K881" t="s">
        <v>15</v>
      </c>
      <c r="L881" t="str">
        <f t="shared" si="39"/>
        <v>Available</v>
      </c>
      <c r="M881">
        <f t="shared" si="40"/>
        <v>1</v>
      </c>
      <c r="N881">
        <f t="shared" si="41"/>
        <v>1</v>
      </c>
    </row>
    <row r="882" spans="1:14" x14ac:dyDescent="0.35">
      <c r="A882" t="s">
        <v>2438</v>
      </c>
      <c r="B882" t="s">
        <v>515</v>
      </c>
      <c r="C882" t="s">
        <v>1175</v>
      </c>
      <c r="D882">
        <v>24</v>
      </c>
      <c r="E882" t="s">
        <v>13</v>
      </c>
      <c r="F882" s="1">
        <v>44665</v>
      </c>
      <c r="G882" s="1">
        <v>46059</v>
      </c>
      <c r="H882" t="s">
        <v>14</v>
      </c>
      <c r="I882" s="2">
        <v>29063059</v>
      </c>
      <c r="J882">
        <v>266515</v>
      </c>
      <c r="K882" t="s">
        <v>15</v>
      </c>
      <c r="L882" t="str">
        <f t="shared" si="39"/>
        <v>Available</v>
      </c>
      <c r="M882">
        <f t="shared" si="40"/>
        <v>1</v>
      </c>
      <c r="N882">
        <f t="shared" si="41"/>
        <v>1</v>
      </c>
    </row>
    <row r="883" spans="1:14" x14ac:dyDescent="0.35">
      <c r="A883" t="s">
        <v>2439</v>
      </c>
      <c r="B883" t="s">
        <v>1177</v>
      </c>
      <c r="C883" t="s">
        <v>1176</v>
      </c>
      <c r="D883">
        <v>15.9</v>
      </c>
      <c r="E883" t="s">
        <v>13</v>
      </c>
      <c r="F883" s="1">
        <v>44861</v>
      </c>
      <c r="G883" s="1">
        <v>45305</v>
      </c>
      <c r="H883" t="s">
        <v>14</v>
      </c>
      <c r="I883" t="s">
        <v>2778</v>
      </c>
      <c r="J883">
        <v>264096</v>
      </c>
      <c r="K883" t="s">
        <v>30</v>
      </c>
      <c r="L883" t="str">
        <f t="shared" si="39"/>
        <v>Available</v>
      </c>
      <c r="M883">
        <f t="shared" si="40"/>
        <v>0</v>
      </c>
      <c r="N883">
        <f t="shared" si="41"/>
        <v>1</v>
      </c>
    </row>
    <row r="884" spans="1:14" x14ac:dyDescent="0.35">
      <c r="A884" t="s">
        <v>2440</v>
      </c>
      <c r="B884" t="s">
        <v>420</v>
      </c>
      <c r="C884" t="s">
        <v>1178</v>
      </c>
      <c r="F884" s="1">
        <v>44866</v>
      </c>
      <c r="G884" s="1">
        <v>45105</v>
      </c>
      <c r="H884" t="s">
        <v>14</v>
      </c>
      <c r="I884" t="s">
        <v>2778</v>
      </c>
      <c r="J884">
        <v>262041</v>
      </c>
      <c r="K884" t="s">
        <v>30</v>
      </c>
      <c r="L884" t="str">
        <f t="shared" si="39"/>
        <v>Available</v>
      </c>
      <c r="M884">
        <f t="shared" si="40"/>
        <v>0</v>
      </c>
      <c r="N884">
        <f t="shared" si="41"/>
        <v>1</v>
      </c>
    </row>
    <row r="885" spans="1:14" x14ac:dyDescent="0.35">
      <c r="A885" t="s">
        <v>2441</v>
      </c>
      <c r="B885" t="s">
        <v>609</v>
      </c>
      <c r="C885" t="s">
        <v>1179</v>
      </c>
      <c r="D885">
        <v>24</v>
      </c>
      <c r="E885" t="s">
        <v>13</v>
      </c>
      <c r="F885" s="1">
        <v>44497</v>
      </c>
      <c r="G885" s="1">
        <v>46059</v>
      </c>
      <c r="H885" t="s">
        <v>14</v>
      </c>
      <c r="I885" s="2">
        <v>53401</v>
      </c>
      <c r="J885">
        <v>266315</v>
      </c>
      <c r="K885" t="s">
        <v>15</v>
      </c>
      <c r="L885" t="str">
        <f t="shared" si="39"/>
        <v>Available</v>
      </c>
      <c r="M885">
        <f t="shared" si="40"/>
        <v>1</v>
      </c>
      <c r="N885">
        <f t="shared" si="41"/>
        <v>1</v>
      </c>
    </row>
    <row r="886" spans="1:14" x14ac:dyDescent="0.35">
      <c r="A886" t="s">
        <v>2442</v>
      </c>
      <c r="B886" t="s">
        <v>1181</v>
      </c>
      <c r="C886" t="s">
        <v>1180</v>
      </c>
      <c r="D886">
        <v>17</v>
      </c>
      <c r="E886" t="s">
        <v>13</v>
      </c>
      <c r="F886" s="1">
        <v>44497</v>
      </c>
      <c r="G886" s="1">
        <v>46059</v>
      </c>
      <c r="H886" t="s">
        <v>14</v>
      </c>
      <c r="I886" s="2">
        <v>23791880</v>
      </c>
      <c r="J886">
        <v>261542</v>
      </c>
      <c r="K886" t="s">
        <v>15</v>
      </c>
      <c r="L886" t="str">
        <f t="shared" si="39"/>
        <v>Available</v>
      </c>
      <c r="M886">
        <f t="shared" si="40"/>
        <v>1</v>
      </c>
      <c r="N886">
        <f t="shared" si="41"/>
        <v>1</v>
      </c>
    </row>
    <row r="887" spans="1:14" x14ac:dyDescent="0.35">
      <c r="A887" t="s">
        <v>2443</v>
      </c>
      <c r="B887" t="s">
        <v>135</v>
      </c>
      <c r="C887" t="s">
        <v>1182</v>
      </c>
      <c r="D887">
        <v>24</v>
      </c>
      <c r="E887" t="s">
        <v>13</v>
      </c>
      <c r="F887" s="1">
        <v>45322</v>
      </c>
      <c r="G887" s="1">
        <v>46059</v>
      </c>
      <c r="H887" t="s">
        <v>14</v>
      </c>
      <c r="I887" s="2">
        <v>36930271</v>
      </c>
      <c r="J887">
        <v>261803</v>
      </c>
      <c r="K887" t="s">
        <v>15</v>
      </c>
      <c r="L887" t="str">
        <f t="shared" si="39"/>
        <v>Available</v>
      </c>
      <c r="M887">
        <f t="shared" si="40"/>
        <v>1</v>
      </c>
      <c r="N887">
        <f t="shared" si="41"/>
        <v>1</v>
      </c>
    </row>
    <row r="888" spans="1:14" x14ac:dyDescent="0.35">
      <c r="A888" t="s">
        <v>2444</v>
      </c>
      <c r="B888" t="s">
        <v>58</v>
      </c>
      <c r="C888" t="s">
        <v>1183</v>
      </c>
      <c r="D888">
        <v>44</v>
      </c>
      <c r="E888" t="s">
        <v>13</v>
      </c>
      <c r="F888" s="1">
        <v>44497</v>
      </c>
      <c r="G888" s="1">
        <v>46060</v>
      </c>
      <c r="H888" t="s">
        <v>14</v>
      </c>
      <c r="I888" s="2">
        <v>98535</v>
      </c>
      <c r="J888">
        <v>261498</v>
      </c>
      <c r="K888" t="s">
        <v>15</v>
      </c>
      <c r="L888" t="str">
        <f t="shared" si="39"/>
        <v>Available</v>
      </c>
      <c r="M888">
        <f t="shared" si="40"/>
        <v>1</v>
      </c>
      <c r="N888">
        <f t="shared" si="41"/>
        <v>1</v>
      </c>
    </row>
    <row r="889" spans="1:14" x14ac:dyDescent="0.35">
      <c r="A889" t="s">
        <v>2445</v>
      </c>
      <c r="B889" t="s">
        <v>123</v>
      </c>
      <c r="C889" t="s">
        <v>1184</v>
      </c>
      <c r="D889">
        <v>24</v>
      </c>
      <c r="E889" t="s">
        <v>13</v>
      </c>
      <c r="F889" s="1">
        <v>44497</v>
      </c>
      <c r="G889" s="1">
        <v>46060</v>
      </c>
      <c r="H889" t="s">
        <v>14</v>
      </c>
      <c r="I889" s="2">
        <v>77108</v>
      </c>
      <c r="J889">
        <v>264750</v>
      </c>
      <c r="K889" t="s">
        <v>15</v>
      </c>
      <c r="L889" t="str">
        <f t="shared" si="39"/>
        <v>Available</v>
      </c>
      <c r="M889">
        <f t="shared" si="40"/>
        <v>1</v>
      </c>
      <c r="N889">
        <f t="shared" si="41"/>
        <v>1</v>
      </c>
    </row>
    <row r="890" spans="1:14" x14ac:dyDescent="0.35">
      <c r="A890" t="s">
        <v>2446</v>
      </c>
      <c r="B890" t="s">
        <v>130</v>
      </c>
      <c r="C890" t="s">
        <v>1185</v>
      </c>
      <c r="D890">
        <v>15.5</v>
      </c>
      <c r="E890" t="s">
        <v>13</v>
      </c>
      <c r="F890" s="1">
        <v>44798</v>
      </c>
      <c r="G890" s="1">
        <v>46059</v>
      </c>
      <c r="H890" t="s">
        <v>14</v>
      </c>
      <c r="I890" s="2">
        <v>27840116</v>
      </c>
      <c r="J890">
        <v>262640</v>
      </c>
      <c r="K890" t="s">
        <v>15</v>
      </c>
      <c r="L890" t="str">
        <f t="shared" si="39"/>
        <v>Available</v>
      </c>
      <c r="M890">
        <f t="shared" si="40"/>
        <v>1</v>
      </c>
      <c r="N890">
        <f t="shared" si="41"/>
        <v>1</v>
      </c>
    </row>
    <row r="891" spans="1:14" x14ac:dyDescent="0.35">
      <c r="A891" t="s">
        <v>2447</v>
      </c>
      <c r="C891" t="s">
        <v>1186</v>
      </c>
      <c r="D891">
        <v>29.5</v>
      </c>
      <c r="E891" t="s">
        <v>13</v>
      </c>
      <c r="F891" s="1">
        <v>44500</v>
      </c>
      <c r="G891" s="1">
        <v>46057</v>
      </c>
      <c r="H891" t="s">
        <v>14</v>
      </c>
      <c r="I891" s="2">
        <v>2387367</v>
      </c>
      <c r="J891">
        <v>264652</v>
      </c>
      <c r="K891" t="s">
        <v>15</v>
      </c>
      <c r="L891" t="str">
        <f t="shared" si="39"/>
        <v>Missing</v>
      </c>
      <c r="M891">
        <f t="shared" si="40"/>
        <v>1</v>
      </c>
      <c r="N891">
        <f t="shared" si="41"/>
        <v>0</v>
      </c>
    </row>
    <row r="892" spans="1:14" x14ac:dyDescent="0.35">
      <c r="A892" t="s">
        <v>2448</v>
      </c>
      <c r="B892" t="s">
        <v>541</v>
      </c>
      <c r="C892" t="s">
        <v>1187</v>
      </c>
      <c r="D892">
        <v>25</v>
      </c>
      <c r="E892" t="s">
        <v>13</v>
      </c>
      <c r="F892" s="1">
        <v>44497</v>
      </c>
      <c r="G892" s="1">
        <v>45858</v>
      </c>
      <c r="H892" t="s">
        <v>14</v>
      </c>
      <c r="I892" t="s">
        <v>2778</v>
      </c>
      <c r="J892">
        <v>266859</v>
      </c>
      <c r="K892" t="s">
        <v>30</v>
      </c>
      <c r="L892" t="str">
        <f t="shared" si="39"/>
        <v>Available</v>
      </c>
      <c r="M892">
        <f t="shared" si="40"/>
        <v>0</v>
      </c>
      <c r="N892">
        <f t="shared" si="41"/>
        <v>1</v>
      </c>
    </row>
    <row r="893" spans="1:14" x14ac:dyDescent="0.35">
      <c r="A893" t="s">
        <v>2449</v>
      </c>
      <c r="C893" t="s">
        <v>1188</v>
      </c>
      <c r="D893">
        <v>24</v>
      </c>
      <c r="E893" t="s">
        <v>13</v>
      </c>
      <c r="F893" s="1">
        <v>44501</v>
      </c>
      <c r="G893" s="1">
        <v>46058</v>
      </c>
      <c r="H893" t="s">
        <v>14</v>
      </c>
      <c r="I893" s="2">
        <v>3079003</v>
      </c>
      <c r="J893">
        <v>266818</v>
      </c>
      <c r="K893" t="s">
        <v>15</v>
      </c>
      <c r="L893" t="str">
        <f t="shared" si="39"/>
        <v>Missing</v>
      </c>
      <c r="M893">
        <f t="shared" si="40"/>
        <v>1</v>
      </c>
      <c r="N893">
        <f t="shared" si="41"/>
        <v>0</v>
      </c>
    </row>
    <row r="894" spans="1:14" x14ac:dyDescent="0.35">
      <c r="A894" t="s">
        <v>2450</v>
      </c>
      <c r="B894" t="s">
        <v>105</v>
      </c>
      <c r="C894" t="s">
        <v>1189</v>
      </c>
      <c r="D894">
        <v>23.162237000000001</v>
      </c>
      <c r="E894" t="s">
        <v>35</v>
      </c>
      <c r="F894" s="1">
        <v>44497</v>
      </c>
      <c r="G894" s="1">
        <v>45442</v>
      </c>
      <c r="H894" t="s">
        <v>14</v>
      </c>
      <c r="I894" t="s">
        <v>2778</v>
      </c>
      <c r="J894">
        <v>266857</v>
      </c>
      <c r="K894" t="s">
        <v>30</v>
      </c>
      <c r="L894" t="str">
        <f t="shared" si="39"/>
        <v>Available</v>
      </c>
      <c r="M894">
        <f t="shared" si="40"/>
        <v>0</v>
      </c>
      <c r="N894">
        <f t="shared" si="41"/>
        <v>1</v>
      </c>
    </row>
    <row r="895" spans="1:14" x14ac:dyDescent="0.35">
      <c r="A895" t="s">
        <v>2451</v>
      </c>
      <c r="B895" t="s">
        <v>1181</v>
      </c>
      <c r="C895" t="s">
        <v>1190</v>
      </c>
      <c r="D895">
        <v>17</v>
      </c>
      <c r="E895" t="s">
        <v>13</v>
      </c>
      <c r="F895" s="1">
        <v>44497</v>
      </c>
      <c r="G895" s="1">
        <v>46059</v>
      </c>
      <c r="H895" t="s">
        <v>14</v>
      </c>
      <c r="I895" s="2">
        <v>23791997</v>
      </c>
      <c r="J895">
        <v>267042</v>
      </c>
      <c r="K895" t="s">
        <v>15</v>
      </c>
      <c r="L895" t="str">
        <f t="shared" si="39"/>
        <v>Available</v>
      </c>
      <c r="M895">
        <f t="shared" si="40"/>
        <v>1</v>
      </c>
      <c r="N895">
        <f t="shared" si="41"/>
        <v>1</v>
      </c>
    </row>
    <row r="896" spans="1:14" x14ac:dyDescent="0.35">
      <c r="A896" t="s">
        <v>2452</v>
      </c>
      <c r="B896" t="s">
        <v>25</v>
      </c>
      <c r="C896" t="s">
        <v>1191</v>
      </c>
      <c r="D896">
        <v>21.809698000000001</v>
      </c>
      <c r="E896" t="s">
        <v>35</v>
      </c>
      <c r="F896" s="1">
        <v>44497</v>
      </c>
      <c r="G896" s="1">
        <v>46058</v>
      </c>
      <c r="H896" t="s">
        <v>14</v>
      </c>
      <c r="I896" t="s">
        <v>2778</v>
      </c>
      <c r="J896">
        <v>266378</v>
      </c>
      <c r="K896" t="s">
        <v>30</v>
      </c>
      <c r="L896" t="str">
        <f t="shared" si="39"/>
        <v>Available</v>
      </c>
      <c r="M896">
        <f t="shared" si="40"/>
        <v>0</v>
      </c>
      <c r="N896">
        <f t="shared" si="41"/>
        <v>1</v>
      </c>
    </row>
    <row r="897" spans="1:14" x14ac:dyDescent="0.35">
      <c r="A897" t="s">
        <v>2453</v>
      </c>
      <c r="B897" t="s">
        <v>1193</v>
      </c>
      <c r="C897" t="s">
        <v>1192</v>
      </c>
      <c r="D897">
        <v>25</v>
      </c>
      <c r="E897" t="s">
        <v>13</v>
      </c>
      <c r="F897" s="1">
        <v>44497</v>
      </c>
      <c r="G897" s="1">
        <v>46059</v>
      </c>
      <c r="H897" t="s">
        <v>14</v>
      </c>
      <c r="I897" s="2">
        <v>24826</v>
      </c>
      <c r="J897">
        <v>261565</v>
      </c>
      <c r="K897" t="s">
        <v>15</v>
      </c>
      <c r="L897" t="str">
        <f t="shared" si="39"/>
        <v>Available</v>
      </c>
      <c r="M897">
        <f t="shared" si="40"/>
        <v>1</v>
      </c>
      <c r="N897">
        <f t="shared" si="41"/>
        <v>1</v>
      </c>
    </row>
    <row r="898" spans="1:14" x14ac:dyDescent="0.35">
      <c r="A898" t="s">
        <v>2454</v>
      </c>
      <c r="B898" t="s">
        <v>373</v>
      </c>
      <c r="C898" t="s">
        <v>1194</v>
      </c>
      <c r="D898">
        <v>17.921147000000001</v>
      </c>
      <c r="E898" t="s">
        <v>35</v>
      </c>
      <c r="F898" s="1">
        <v>44497</v>
      </c>
      <c r="G898" s="1">
        <v>46047</v>
      </c>
      <c r="H898" t="s">
        <v>14</v>
      </c>
      <c r="I898" t="s">
        <v>2778</v>
      </c>
      <c r="J898">
        <v>264267</v>
      </c>
      <c r="K898" t="s">
        <v>30</v>
      </c>
      <c r="L898" t="str">
        <f t="shared" si="39"/>
        <v>Available</v>
      </c>
      <c r="M898">
        <f t="shared" si="40"/>
        <v>0</v>
      </c>
      <c r="N898">
        <f t="shared" si="41"/>
        <v>1</v>
      </c>
    </row>
    <row r="899" spans="1:14" x14ac:dyDescent="0.35">
      <c r="A899" t="s">
        <v>2455</v>
      </c>
      <c r="B899" t="s">
        <v>47</v>
      </c>
      <c r="C899" t="s">
        <v>1195</v>
      </c>
      <c r="D899">
        <v>45</v>
      </c>
      <c r="E899" t="s">
        <v>13</v>
      </c>
      <c r="F899" s="1">
        <v>44497</v>
      </c>
      <c r="G899" s="1">
        <v>46060</v>
      </c>
      <c r="H899" t="s">
        <v>14</v>
      </c>
      <c r="I899" s="2">
        <v>73904</v>
      </c>
      <c r="J899">
        <v>264138</v>
      </c>
      <c r="K899" t="s">
        <v>15</v>
      </c>
      <c r="L899" t="str">
        <f t="shared" ref="L899:L962" si="42">IF(OR(B899="",ISBLANK(B899)),"Missing","Available")</f>
        <v>Available</v>
      </c>
      <c r="M899">
        <f t="shared" ref="M899:M962" si="43">IF(K899="Mapped",1,0)</f>
        <v>1</v>
      </c>
      <c r="N899">
        <f t="shared" ref="N899:N962" si="44">IF(AND(B899&lt;&gt;"",A899&lt;&gt;""),1,0)</f>
        <v>1</v>
      </c>
    </row>
    <row r="900" spans="1:14" x14ac:dyDescent="0.35">
      <c r="A900" t="s">
        <v>2456</v>
      </c>
      <c r="B900" t="s">
        <v>400</v>
      </c>
      <c r="C900" t="s">
        <v>1196</v>
      </c>
      <c r="D900">
        <v>25</v>
      </c>
      <c r="E900" t="s">
        <v>13</v>
      </c>
      <c r="F900" s="1">
        <v>45561</v>
      </c>
      <c r="G900" s="1">
        <v>46059</v>
      </c>
      <c r="H900" t="s">
        <v>14</v>
      </c>
      <c r="I900" s="2">
        <v>57422773</v>
      </c>
      <c r="J900">
        <v>266400</v>
      </c>
      <c r="K900" t="s">
        <v>15</v>
      </c>
      <c r="L900" t="str">
        <f t="shared" si="42"/>
        <v>Available</v>
      </c>
      <c r="M900">
        <f t="shared" si="43"/>
        <v>1</v>
      </c>
      <c r="N900">
        <f t="shared" si="44"/>
        <v>1</v>
      </c>
    </row>
    <row r="901" spans="1:14" x14ac:dyDescent="0.35">
      <c r="A901" t="s">
        <v>2457</v>
      </c>
      <c r="C901" t="s">
        <v>1197</v>
      </c>
      <c r="D901">
        <v>26</v>
      </c>
      <c r="E901" t="s">
        <v>13</v>
      </c>
      <c r="F901" s="1">
        <v>44498</v>
      </c>
      <c r="G901" s="1">
        <v>46056</v>
      </c>
      <c r="H901" t="s">
        <v>14</v>
      </c>
      <c r="I901" s="2">
        <v>312692</v>
      </c>
      <c r="J901">
        <v>261835</v>
      </c>
      <c r="K901" t="s">
        <v>15</v>
      </c>
      <c r="L901" t="str">
        <f t="shared" si="42"/>
        <v>Missing</v>
      </c>
      <c r="M901">
        <f t="shared" si="43"/>
        <v>1</v>
      </c>
      <c r="N901">
        <f t="shared" si="44"/>
        <v>0</v>
      </c>
    </row>
    <row r="902" spans="1:14" x14ac:dyDescent="0.35">
      <c r="A902" t="s">
        <v>2458</v>
      </c>
      <c r="B902" t="s">
        <v>1199</v>
      </c>
      <c r="C902" t="s">
        <v>1198</v>
      </c>
      <c r="D902">
        <v>24</v>
      </c>
      <c r="E902" t="s">
        <v>13</v>
      </c>
      <c r="F902" s="1">
        <v>44500</v>
      </c>
      <c r="G902" s="1">
        <v>46059</v>
      </c>
      <c r="H902" t="s">
        <v>14</v>
      </c>
      <c r="I902" s="2">
        <v>577767</v>
      </c>
      <c r="J902">
        <v>261743</v>
      </c>
      <c r="K902" t="s">
        <v>15</v>
      </c>
      <c r="L902" t="str">
        <f t="shared" si="42"/>
        <v>Available</v>
      </c>
      <c r="M902">
        <f t="shared" si="43"/>
        <v>1</v>
      </c>
      <c r="N902">
        <f t="shared" si="44"/>
        <v>1</v>
      </c>
    </row>
    <row r="903" spans="1:14" x14ac:dyDescent="0.35">
      <c r="A903" t="s">
        <v>2459</v>
      </c>
      <c r="B903" t="s">
        <v>156</v>
      </c>
      <c r="C903" t="s">
        <v>1200</v>
      </c>
      <c r="D903">
        <v>24</v>
      </c>
      <c r="E903" t="s">
        <v>13</v>
      </c>
      <c r="F903" s="1">
        <v>45939</v>
      </c>
      <c r="G903" s="1">
        <v>46059</v>
      </c>
      <c r="H903" t="s">
        <v>14</v>
      </c>
      <c r="I903" s="2">
        <v>89944336</v>
      </c>
      <c r="J903">
        <v>267006</v>
      </c>
      <c r="K903" t="s">
        <v>15</v>
      </c>
      <c r="L903" t="str">
        <f t="shared" si="42"/>
        <v>Available</v>
      </c>
      <c r="M903">
        <f t="shared" si="43"/>
        <v>1</v>
      </c>
      <c r="N903">
        <f t="shared" si="44"/>
        <v>1</v>
      </c>
    </row>
    <row r="904" spans="1:14" x14ac:dyDescent="0.35">
      <c r="A904" t="s">
        <v>2460</v>
      </c>
      <c r="B904" t="s">
        <v>139</v>
      </c>
      <c r="C904" t="s">
        <v>1201</v>
      </c>
      <c r="D904">
        <v>24</v>
      </c>
      <c r="E904" t="s">
        <v>13</v>
      </c>
      <c r="F904" s="1">
        <v>44497</v>
      </c>
      <c r="G904" s="1">
        <v>46059</v>
      </c>
      <c r="H904" t="s">
        <v>14</v>
      </c>
      <c r="I904" s="2">
        <v>23801232</v>
      </c>
      <c r="J904">
        <v>261856</v>
      </c>
      <c r="K904" t="s">
        <v>15</v>
      </c>
      <c r="L904" t="str">
        <f t="shared" si="42"/>
        <v>Available</v>
      </c>
      <c r="M904">
        <f t="shared" si="43"/>
        <v>1</v>
      </c>
      <c r="N904">
        <f t="shared" si="44"/>
        <v>1</v>
      </c>
    </row>
    <row r="905" spans="1:14" x14ac:dyDescent="0.35">
      <c r="A905" t="s">
        <v>2461</v>
      </c>
      <c r="C905" t="s">
        <v>1202</v>
      </c>
      <c r="D905">
        <v>35</v>
      </c>
      <c r="E905" t="s">
        <v>13</v>
      </c>
      <c r="F905" s="1">
        <v>44501</v>
      </c>
      <c r="G905" s="1">
        <v>46059</v>
      </c>
      <c r="H905" t="s">
        <v>14</v>
      </c>
      <c r="I905" s="2">
        <v>25392841</v>
      </c>
      <c r="J905">
        <v>262166</v>
      </c>
      <c r="K905" t="s">
        <v>15</v>
      </c>
      <c r="L905" t="str">
        <f t="shared" si="42"/>
        <v>Missing</v>
      </c>
      <c r="M905">
        <f t="shared" si="43"/>
        <v>1</v>
      </c>
      <c r="N905">
        <f t="shared" si="44"/>
        <v>0</v>
      </c>
    </row>
    <row r="906" spans="1:14" x14ac:dyDescent="0.35">
      <c r="A906" t="s">
        <v>2462</v>
      </c>
      <c r="B906" t="s">
        <v>58</v>
      </c>
      <c r="C906" t="s">
        <v>1203</v>
      </c>
      <c r="D906">
        <v>24</v>
      </c>
      <c r="E906" t="s">
        <v>13</v>
      </c>
      <c r="F906" s="1">
        <v>44497</v>
      </c>
      <c r="G906" s="1">
        <v>46060</v>
      </c>
      <c r="H906" t="s">
        <v>14</v>
      </c>
      <c r="I906" s="2">
        <v>73901</v>
      </c>
      <c r="J906">
        <v>261853</v>
      </c>
      <c r="K906" t="s">
        <v>15</v>
      </c>
      <c r="L906" t="str">
        <f t="shared" si="42"/>
        <v>Available</v>
      </c>
      <c r="M906">
        <f t="shared" si="43"/>
        <v>1</v>
      </c>
      <c r="N906">
        <f t="shared" si="44"/>
        <v>1</v>
      </c>
    </row>
    <row r="907" spans="1:14" x14ac:dyDescent="0.35">
      <c r="A907" t="s">
        <v>2463</v>
      </c>
      <c r="B907" t="s">
        <v>91</v>
      </c>
      <c r="C907" t="s">
        <v>1204</v>
      </c>
      <c r="D907">
        <v>32</v>
      </c>
      <c r="E907" t="s">
        <v>13</v>
      </c>
      <c r="F907" s="1">
        <v>44497</v>
      </c>
      <c r="G907" s="1">
        <v>45441</v>
      </c>
      <c r="H907" t="s">
        <v>14</v>
      </c>
      <c r="I907" t="s">
        <v>2778</v>
      </c>
      <c r="J907">
        <v>266847</v>
      </c>
      <c r="K907" t="s">
        <v>30</v>
      </c>
      <c r="L907" t="str">
        <f t="shared" si="42"/>
        <v>Available</v>
      </c>
      <c r="M907">
        <f t="shared" si="43"/>
        <v>0</v>
      </c>
      <c r="N907">
        <f t="shared" si="44"/>
        <v>1</v>
      </c>
    </row>
    <row r="908" spans="1:14" x14ac:dyDescent="0.35">
      <c r="A908" t="s">
        <v>2464</v>
      </c>
      <c r="B908" t="s">
        <v>316</v>
      </c>
      <c r="C908" t="s">
        <v>1205</v>
      </c>
      <c r="D908">
        <v>16.5</v>
      </c>
      <c r="E908" t="s">
        <v>13</v>
      </c>
      <c r="F908" s="1">
        <v>45210</v>
      </c>
      <c r="G908" s="1">
        <v>46057</v>
      </c>
      <c r="H908" t="s">
        <v>14</v>
      </c>
      <c r="I908" t="s">
        <v>2778</v>
      </c>
      <c r="J908">
        <v>267073</v>
      </c>
      <c r="K908" t="s">
        <v>30</v>
      </c>
      <c r="L908" t="str">
        <f t="shared" si="42"/>
        <v>Available</v>
      </c>
      <c r="M908">
        <f t="shared" si="43"/>
        <v>0</v>
      </c>
      <c r="N908">
        <f t="shared" si="44"/>
        <v>1</v>
      </c>
    </row>
    <row r="909" spans="1:14" x14ac:dyDescent="0.35">
      <c r="A909" t="s">
        <v>2465</v>
      </c>
      <c r="B909" t="s">
        <v>1207</v>
      </c>
      <c r="C909" t="s">
        <v>1206</v>
      </c>
      <c r="D909">
        <v>16</v>
      </c>
      <c r="E909" t="s">
        <v>13</v>
      </c>
      <c r="F909" s="1">
        <v>44500</v>
      </c>
      <c r="G909" s="1">
        <v>46057</v>
      </c>
      <c r="H909" t="s">
        <v>14</v>
      </c>
      <c r="I909" s="2">
        <v>3321442</v>
      </c>
      <c r="J909">
        <v>264570</v>
      </c>
      <c r="K909" t="s">
        <v>15</v>
      </c>
      <c r="L909" t="str">
        <f t="shared" si="42"/>
        <v>Available</v>
      </c>
      <c r="M909">
        <f t="shared" si="43"/>
        <v>1</v>
      </c>
      <c r="N909">
        <f t="shared" si="44"/>
        <v>1</v>
      </c>
    </row>
    <row r="910" spans="1:14" x14ac:dyDescent="0.35">
      <c r="A910" t="s">
        <v>2466</v>
      </c>
      <c r="B910" t="s">
        <v>58</v>
      </c>
      <c r="C910" t="s">
        <v>1208</v>
      </c>
      <c r="D910">
        <v>21.978764999999999</v>
      </c>
      <c r="E910" t="s">
        <v>35</v>
      </c>
      <c r="F910" s="1">
        <v>44497</v>
      </c>
      <c r="G910" s="1">
        <v>46047</v>
      </c>
      <c r="H910" t="s">
        <v>14</v>
      </c>
      <c r="I910" t="s">
        <v>2778</v>
      </c>
      <c r="J910">
        <v>264375</v>
      </c>
      <c r="K910" t="s">
        <v>30</v>
      </c>
      <c r="L910" t="str">
        <f t="shared" si="42"/>
        <v>Available</v>
      </c>
      <c r="M910">
        <f t="shared" si="43"/>
        <v>0</v>
      </c>
      <c r="N910">
        <f t="shared" si="44"/>
        <v>1</v>
      </c>
    </row>
    <row r="911" spans="1:14" x14ac:dyDescent="0.35">
      <c r="A911" t="s">
        <v>2467</v>
      </c>
      <c r="B911" t="s">
        <v>1210</v>
      </c>
      <c r="C911" t="s">
        <v>1209</v>
      </c>
      <c r="D911">
        <v>24</v>
      </c>
      <c r="E911" t="s">
        <v>13</v>
      </c>
      <c r="F911" s="1">
        <v>44521</v>
      </c>
      <c r="G911" s="1">
        <v>46056</v>
      </c>
      <c r="H911" t="s">
        <v>14</v>
      </c>
      <c r="I911" s="2">
        <v>26134768</v>
      </c>
      <c r="J911">
        <v>266582</v>
      </c>
      <c r="K911" t="s">
        <v>15</v>
      </c>
      <c r="L911" t="str">
        <f t="shared" si="42"/>
        <v>Available</v>
      </c>
      <c r="M911">
        <f t="shared" si="43"/>
        <v>1</v>
      </c>
      <c r="N911">
        <f t="shared" si="44"/>
        <v>1</v>
      </c>
    </row>
    <row r="912" spans="1:14" x14ac:dyDescent="0.35">
      <c r="A912" t="s">
        <v>2468</v>
      </c>
      <c r="B912" t="s">
        <v>79</v>
      </c>
      <c r="C912" t="s">
        <v>78</v>
      </c>
      <c r="D912">
        <v>32</v>
      </c>
      <c r="E912" t="s">
        <v>13</v>
      </c>
      <c r="F912" s="1">
        <v>44497</v>
      </c>
      <c r="G912" s="1">
        <v>46059</v>
      </c>
      <c r="H912" t="s">
        <v>14</v>
      </c>
      <c r="I912" t="s">
        <v>2785</v>
      </c>
      <c r="J912" t="s">
        <v>1211</v>
      </c>
      <c r="K912" t="s">
        <v>15</v>
      </c>
      <c r="L912" t="str">
        <f t="shared" si="42"/>
        <v>Available</v>
      </c>
      <c r="M912">
        <f t="shared" si="43"/>
        <v>1</v>
      </c>
      <c r="N912">
        <f t="shared" si="44"/>
        <v>1</v>
      </c>
    </row>
    <row r="913" spans="1:14" x14ac:dyDescent="0.35">
      <c r="A913" t="s">
        <v>2469</v>
      </c>
      <c r="B913" t="s">
        <v>1210</v>
      </c>
      <c r="C913" t="s">
        <v>1212</v>
      </c>
      <c r="D913">
        <v>24</v>
      </c>
      <c r="E913" t="s">
        <v>13</v>
      </c>
      <c r="F913" s="1">
        <v>44521</v>
      </c>
      <c r="G913" s="1">
        <v>46056</v>
      </c>
      <c r="H913" t="s">
        <v>14</v>
      </c>
      <c r="I913" s="2">
        <v>26134750</v>
      </c>
      <c r="J913">
        <v>264229</v>
      </c>
      <c r="K913" t="s">
        <v>15</v>
      </c>
      <c r="L913" t="str">
        <f t="shared" si="42"/>
        <v>Available</v>
      </c>
      <c r="M913">
        <f t="shared" si="43"/>
        <v>1</v>
      </c>
      <c r="N913">
        <f t="shared" si="44"/>
        <v>1</v>
      </c>
    </row>
    <row r="914" spans="1:14" x14ac:dyDescent="0.35">
      <c r="A914" t="s">
        <v>2470</v>
      </c>
      <c r="B914" t="s">
        <v>29</v>
      </c>
      <c r="C914" t="s">
        <v>1213</v>
      </c>
      <c r="D914">
        <v>24</v>
      </c>
      <c r="E914" t="s">
        <v>13</v>
      </c>
      <c r="F914" s="1">
        <v>44497</v>
      </c>
      <c r="G914" s="1">
        <v>46057</v>
      </c>
      <c r="H914" t="s">
        <v>14</v>
      </c>
      <c r="I914" s="2">
        <v>24805</v>
      </c>
      <c r="J914">
        <v>261683</v>
      </c>
      <c r="K914" t="s">
        <v>15</v>
      </c>
      <c r="L914" t="str">
        <f t="shared" si="42"/>
        <v>Available</v>
      </c>
      <c r="M914">
        <f t="shared" si="43"/>
        <v>1</v>
      </c>
      <c r="N914">
        <f t="shared" si="44"/>
        <v>1</v>
      </c>
    </row>
    <row r="915" spans="1:14" x14ac:dyDescent="0.35">
      <c r="A915" t="s">
        <v>2471</v>
      </c>
      <c r="B915" t="s">
        <v>47</v>
      </c>
      <c r="C915" t="s">
        <v>1214</v>
      </c>
      <c r="D915">
        <v>45</v>
      </c>
      <c r="E915" t="s">
        <v>13</v>
      </c>
      <c r="F915" s="1">
        <v>44497</v>
      </c>
      <c r="G915" s="1">
        <v>46060</v>
      </c>
      <c r="H915" t="s">
        <v>14</v>
      </c>
      <c r="I915" s="2">
        <v>73906</v>
      </c>
      <c r="J915">
        <v>266326</v>
      </c>
      <c r="K915" t="s">
        <v>15</v>
      </c>
      <c r="L915" t="str">
        <f t="shared" si="42"/>
        <v>Available</v>
      </c>
      <c r="M915">
        <f t="shared" si="43"/>
        <v>1</v>
      </c>
      <c r="N915">
        <f t="shared" si="44"/>
        <v>1</v>
      </c>
    </row>
    <row r="916" spans="1:14" x14ac:dyDescent="0.35">
      <c r="A916" t="s">
        <v>2472</v>
      </c>
      <c r="B916" t="s">
        <v>1216</v>
      </c>
      <c r="C916" t="s">
        <v>1215</v>
      </c>
      <c r="F916" s="1">
        <v>44866</v>
      </c>
      <c r="G916" s="1">
        <v>45099</v>
      </c>
      <c r="H916" t="s">
        <v>14</v>
      </c>
      <c r="I916" t="s">
        <v>2778</v>
      </c>
      <c r="J916">
        <v>266443</v>
      </c>
      <c r="K916" t="s">
        <v>30</v>
      </c>
      <c r="L916" t="str">
        <f t="shared" si="42"/>
        <v>Available</v>
      </c>
      <c r="M916">
        <f t="shared" si="43"/>
        <v>0</v>
      </c>
      <c r="N916">
        <f t="shared" si="44"/>
        <v>1</v>
      </c>
    </row>
    <row r="917" spans="1:14" x14ac:dyDescent="0.35">
      <c r="A917" t="s">
        <v>2473</v>
      </c>
      <c r="B917" t="s">
        <v>518</v>
      </c>
      <c r="C917" t="s">
        <v>1217</v>
      </c>
      <c r="D917">
        <v>24</v>
      </c>
      <c r="E917" t="s">
        <v>35</v>
      </c>
      <c r="F917" s="1">
        <v>44497</v>
      </c>
      <c r="G917" s="1">
        <v>46060</v>
      </c>
      <c r="H917" t="s">
        <v>14</v>
      </c>
      <c r="I917" s="2">
        <v>18648</v>
      </c>
      <c r="J917">
        <v>261535</v>
      </c>
      <c r="K917" t="s">
        <v>15</v>
      </c>
      <c r="L917" t="str">
        <f t="shared" si="42"/>
        <v>Available</v>
      </c>
      <c r="M917">
        <f t="shared" si="43"/>
        <v>1</v>
      </c>
      <c r="N917">
        <f t="shared" si="44"/>
        <v>1</v>
      </c>
    </row>
    <row r="918" spans="1:14" x14ac:dyDescent="0.35">
      <c r="A918" t="s">
        <v>2474</v>
      </c>
      <c r="B918" t="s">
        <v>1219</v>
      </c>
      <c r="C918" t="s">
        <v>1218</v>
      </c>
      <c r="D918">
        <v>26</v>
      </c>
      <c r="E918" t="s">
        <v>13</v>
      </c>
      <c r="F918" s="1">
        <v>44497</v>
      </c>
      <c r="G918" s="1">
        <v>46059</v>
      </c>
      <c r="H918" t="s">
        <v>14</v>
      </c>
      <c r="I918" s="2">
        <v>95025</v>
      </c>
      <c r="J918">
        <v>264062</v>
      </c>
      <c r="K918" t="s">
        <v>15</v>
      </c>
      <c r="L918" t="str">
        <f t="shared" si="42"/>
        <v>Available</v>
      </c>
      <c r="M918">
        <f t="shared" si="43"/>
        <v>1</v>
      </c>
      <c r="N918">
        <f t="shared" si="44"/>
        <v>1</v>
      </c>
    </row>
    <row r="919" spans="1:14" x14ac:dyDescent="0.35">
      <c r="A919" t="s">
        <v>2475</v>
      </c>
      <c r="B919" t="s">
        <v>1221</v>
      </c>
      <c r="C919" t="s">
        <v>1220</v>
      </c>
      <c r="D919">
        <v>23.75</v>
      </c>
      <c r="E919" t="s">
        <v>13</v>
      </c>
      <c r="F919" s="1">
        <v>44969</v>
      </c>
      <c r="G919" s="1">
        <v>46059</v>
      </c>
      <c r="H919" t="s">
        <v>14</v>
      </c>
      <c r="I919" s="2">
        <v>29503419</v>
      </c>
      <c r="J919">
        <v>267007</v>
      </c>
      <c r="K919" t="s">
        <v>15</v>
      </c>
      <c r="L919" t="str">
        <f t="shared" si="42"/>
        <v>Available</v>
      </c>
      <c r="M919">
        <f t="shared" si="43"/>
        <v>1</v>
      </c>
      <c r="N919">
        <f t="shared" si="44"/>
        <v>1</v>
      </c>
    </row>
    <row r="920" spans="1:14" x14ac:dyDescent="0.35">
      <c r="A920" t="s">
        <v>2476</v>
      </c>
      <c r="B920" t="s">
        <v>453</v>
      </c>
      <c r="C920" t="s">
        <v>1222</v>
      </c>
      <c r="D920">
        <v>25</v>
      </c>
      <c r="E920" t="s">
        <v>13</v>
      </c>
      <c r="F920" s="1">
        <v>44497</v>
      </c>
      <c r="G920" s="1">
        <v>46059</v>
      </c>
      <c r="H920" t="s">
        <v>14</v>
      </c>
      <c r="I920" s="2">
        <v>98547</v>
      </c>
      <c r="J920">
        <v>262588</v>
      </c>
      <c r="K920" t="s">
        <v>15</v>
      </c>
      <c r="L920" t="str">
        <f t="shared" si="42"/>
        <v>Available</v>
      </c>
      <c r="M920">
        <f t="shared" si="43"/>
        <v>1</v>
      </c>
      <c r="N920">
        <f t="shared" si="44"/>
        <v>1</v>
      </c>
    </row>
    <row r="921" spans="1:14" x14ac:dyDescent="0.35">
      <c r="A921" t="s">
        <v>2477</v>
      </c>
      <c r="B921" t="s">
        <v>1223</v>
      </c>
      <c r="C921" t="s">
        <v>398</v>
      </c>
      <c r="D921">
        <v>25</v>
      </c>
      <c r="E921" t="s">
        <v>13</v>
      </c>
      <c r="F921" s="1">
        <v>44497</v>
      </c>
      <c r="G921" s="1">
        <v>46059</v>
      </c>
      <c r="H921" t="s">
        <v>14</v>
      </c>
      <c r="I921" s="2">
        <v>3343081</v>
      </c>
      <c r="J921">
        <v>261686</v>
      </c>
      <c r="K921" t="s">
        <v>15</v>
      </c>
      <c r="L921" t="str">
        <f t="shared" si="42"/>
        <v>Available</v>
      </c>
      <c r="M921">
        <f t="shared" si="43"/>
        <v>1</v>
      </c>
      <c r="N921">
        <f t="shared" si="44"/>
        <v>1</v>
      </c>
    </row>
    <row r="922" spans="1:14" x14ac:dyDescent="0.35">
      <c r="A922" t="s">
        <v>2478</v>
      </c>
      <c r="B922" t="s">
        <v>926</v>
      </c>
      <c r="C922" t="s">
        <v>1224</v>
      </c>
      <c r="D922">
        <v>25</v>
      </c>
      <c r="E922" t="s">
        <v>13</v>
      </c>
      <c r="F922" s="1">
        <v>44497</v>
      </c>
      <c r="G922" s="1">
        <v>46057</v>
      </c>
      <c r="H922" t="s">
        <v>14</v>
      </c>
      <c r="I922" s="2">
        <v>17438567</v>
      </c>
      <c r="J922">
        <v>262329</v>
      </c>
      <c r="K922" t="s">
        <v>15</v>
      </c>
      <c r="L922" t="str">
        <f t="shared" si="42"/>
        <v>Available</v>
      </c>
      <c r="M922">
        <f t="shared" si="43"/>
        <v>1</v>
      </c>
      <c r="N922">
        <f t="shared" si="44"/>
        <v>1</v>
      </c>
    </row>
    <row r="923" spans="1:14" x14ac:dyDescent="0.35">
      <c r="A923" t="s">
        <v>2479</v>
      </c>
      <c r="B923" t="s">
        <v>25</v>
      </c>
      <c r="C923" t="s">
        <v>1225</v>
      </c>
      <c r="D923">
        <v>23.75</v>
      </c>
      <c r="E923" t="s">
        <v>13</v>
      </c>
      <c r="F923" s="1">
        <v>45728</v>
      </c>
      <c r="G923" s="1">
        <v>46059</v>
      </c>
      <c r="H923" t="s">
        <v>14</v>
      </c>
      <c r="I923" s="2">
        <v>64392531</v>
      </c>
      <c r="J923">
        <v>264283</v>
      </c>
      <c r="K923" t="s">
        <v>15</v>
      </c>
      <c r="L923" t="str">
        <f t="shared" si="42"/>
        <v>Available</v>
      </c>
      <c r="M923">
        <f t="shared" si="43"/>
        <v>1</v>
      </c>
      <c r="N923">
        <f t="shared" si="44"/>
        <v>1</v>
      </c>
    </row>
    <row r="924" spans="1:14" x14ac:dyDescent="0.35">
      <c r="A924" t="s">
        <v>2480</v>
      </c>
      <c r="B924" t="s">
        <v>103</v>
      </c>
      <c r="C924" t="s">
        <v>1226</v>
      </c>
      <c r="D924">
        <v>16</v>
      </c>
      <c r="E924" t="s">
        <v>13</v>
      </c>
      <c r="F924" s="1">
        <v>45543</v>
      </c>
      <c r="G924" s="1">
        <v>46059</v>
      </c>
      <c r="H924" t="s">
        <v>14</v>
      </c>
      <c r="I924" s="2">
        <v>56340183</v>
      </c>
      <c r="J924">
        <v>264524</v>
      </c>
      <c r="K924" t="s">
        <v>15</v>
      </c>
      <c r="L924" t="str">
        <f t="shared" si="42"/>
        <v>Available</v>
      </c>
      <c r="M924">
        <f t="shared" si="43"/>
        <v>1</v>
      </c>
      <c r="N924">
        <f t="shared" si="44"/>
        <v>1</v>
      </c>
    </row>
    <row r="925" spans="1:14" x14ac:dyDescent="0.35">
      <c r="A925" t="s">
        <v>2481</v>
      </c>
      <c r="C925" t="s">
        <v>1227</v>
      </c>
      <c r="F925" s="1">
        <v>44502</v>
      </c>
      <c r="G925" s="1">
        <v>45088</v>
      </c>
      <c r="H925" t="s">
        <v>14</v>
      </c>
      <c r="I925" t="s">
        <v>2778</v>
      </c>
      <c r="J925">
        <v>264241</v>
      </c>
      <c r="K925" t="s">
        <v>30</v>
      </c>
      <c r="L925" t="str">
        <f t="shared" si="42"/>
        <v>Missing</v>
      </c>
      <c r="M925">
        <f t="shared" si="43"/>
        <v>0</v>
      </c>
      <c r="N925">
        <f t="shared" si="44"/>
        <v>0</v>
      </c>
    </row>
    <row r="926" spans="1:14" x14ac:dyDescent="0.35">
      <c r="A926" t="s">
        <v>2482</v>
      </c>
      <c r="B926" t="s">
        <v>238</v>
      </c>
      <c r="C926" t="s">
        <v>1228</v>
      </c>
      <c r="D926">
        <v>45</v>
      </c>
      <c r="E926" t="s">
        <v>13</v>
      </c>
      <c r="F926" s="1">
        <v>44497</v>
      </c>
      <c r="G926" s="1">
        <v>46056</v>
      </c>
      <c r="H926" t="s">
        <v>14</v>
      </c>
      <c r="I926" t="s">
        <v>2778</v>
      </c>
      <c r="J926">
        <v>261786</v>
      </c>
      <c r="K926" t="s">
        <v>30</v>
      </c>
      <c r="L926" t="str">
        <f t="shared" si="42"/>
        <v>Available</v>
      </c>
      <c r="M926">
        <f t="shared" si="43"/>
        <v>0</v>
      </c>
      <c r="N926">
        <f t="shared" si="44"/>
        <v>1</v>
      </c>
    </row>
    <row r="927" spans="1:14" x14ac:dyDescent="0.35">
      <c r="A927" t="s">
        <v>2483</v>
      </c>
      <c r="B927" t="s">
        <v>598</v>
      </c>
      <c r="C927" t="s">
        <v>1229</v>
      </c>
      <c r="D927">
        <v>26</v>
      </c>
      <c r="E927" t="s">
        <v>13</v>
      </c>
      <c r="F927" s="1">
        <v>44497</v>
      </c>
      <c r="G927" s="1">
        <v>46059</v>
      </c>
      <c r="H927" t="s">
        <v>14</v>
      </c>
      <c r="I927" s="2">
        <v>18683585</v>
      </c>
      <c r="J927">
        <v>266964</v>
      </c>
      <c r="K927" t="s">
        <v>15</v>
      </c>
      <c r="L927" t="str">
        <f t="shared" si="42"/>
        <v>Available</v>
      </c>
      <c r="M927">
        <f t="shared" si="43"/>
        <v>1</v>
      </c>
      <c r="N927">
        <f t="shared" si="44"/>
        <v>1</v>
      </c>
    </row>
    <row r="928" spans="1:14" x14ac:dyDescent="0.35">
      <c r="A928" t="s">
        <v>2484</v>
      </c>
      <c r="B928" t="s">
        <v>936</v>
      </c>
      <c r="C928" t="s">
        <v>1230</v>
      </c>
      <c r="D928">
        <v>23.5</v>
      </c>
      <c r="E928" t="s">
        <v>13</v>
      </c>
      <c r="F928" s="1">
        <v>44497</v>
      </c>
      <c r="G928" s="1">
        <v>46059</v>
      </c>
      <c r="H928" t="s">
        <v>14</v>
      </c>
      <c r="I928" s="2">
        <v>3280025</v>
      </c>
      <c r="J928">
        <v>261890</v>
      </c>
      <c r="K928" t="s">
        <v>15</v>
      </c>
      <c r="L928" t="str">
        <f t="shared" si="42"/>
        <v>Available</v>
      </c>
      <c r="M928">
        <f t="shared" si="43"/>
        <v>1</v>
      </c>
      <c r="N928">
        <f t="shared" si="44"/>
        <v>1</v>
      </c>
    </row>
    <row r="929" spans="1:14" x14ac:dyDescent="0.35">
      <c r="A929" t="s">
        <v>2485</v>
      </c>
      <c r="B929" t="s">
        <v>860</v>
      </c>
      <c r="C929" t="s">
        <v>1231</v>
      </c>
      <c r="D929">
        <v>16</v>
      </c>
      <c r="E929" t="s">
        <v>13</v>
      </c>
      <c r="F929" s="1">
        <v>44514</v>
      </c>
      <c r="G929" s="1">
        <v>46055</v>
      </c>
      <c r="H929" t="s">
        <v>14</v>
      </c>
      <c r="I929" s="2">
        <v>2812438</v>
      </c>
      <c r="J929">
        <v>261877</v>
      </c>
      <c r="K929" t="s">
        <v>15</v>
      </c>
      <c r="L929" t="str">
        <f t="shared" si="42"/>
        <v>Available</v>
      </c>
      <c r="M929">
        <f t="shared" si="43"/>
        <v>1</v>
      </c>
      <c r="N929">
        <f t="shared" si="44"/>
        <v>1</v>
      </c>
    </row>
    <row r="930" spans="1:14" x14ac:dyDescent="0.35">
      <c r="A930" t="s">
        <v>2486</v>
      </c>
      <c r="B930" t="s">
        <v>1137</v>
      </c>
      <c r="C930" t="s">
        <v>1232</v>
      </c>
      <c r="D930">
        <v>24</v>
      </c>
      <c r="E930" t="s">
        <v>13</v>
      </c>
      <c r="F930" s="1">
        <v>44501</v>
      </c>
      <c r="G930" s="1">
        <v>46059</v>
      </c>
      <c r="H930" t="s">
        <v>14</v>
      </c>
      <c r="I930" s="2">
        <v>162275</v>
      </c>
      <c r="J930">
        <v>261873</v>
      </c>
      <c r="K930" t="s">
        <v>15</v>
      </c>
      <c r="L930" t="str">
        <f t="shared" si="42"/>
        <v>Available</v>
      </c>
      <c r="M930">
        <f t="shared" si="43"/>
        <v>1</v>
      </c>
      <c r="N930">
        <f t="shared" si="44"/>
        <v>1</v>
      </c>
    </row>
    <row r="931" spans="1:14" x14ac:dyDescent="0.35">
      <c r="A931" t="s">
        <v>2487</v>
      </c>
      <c r="B931" t="s">
        <v>118</v>
      </c>
      <c r="C931" t="s">
        <v>1233</v>
      </c>
      <c r="D931">
        <v>24</v>
      </c>
      <c r="E931" t="s">
        <v>13</v>
      </c>
      <c r="F931" s="1">
        <v>45460</v>
      </c>
      <c r="G931" s="1">
        <v>46059</v>
      </c>
      <c r="H931" t="s">
        <v>14</v>
      </c>
      <c r="I931" s="2">
        <v>48699361</v>
      </c>
      <c r="J931">
        <v>262132</v>
      </c>
      <c r="K931" t="s">
        <v>15</v>
      </c>
      <c r="L931" t="str">
        <f t="shared" si="42"/>
        <v>Available</v>
      </c>
      <c r="M931">
        <f t="shared" si="43"/>
        <v>1</v>
      </c>
      <c r="N931">
        <f t="shared" si="44"/>
        <v>1</v>
      </c>
    </row>
    <row r="932" spans="1:14" x14ac:dyDescent="0.35">
      <c r="A932" t="s">
        <v>2488</v>
      </c>
      <c r="B932" t="s">
        <v>1235</v>
      </c>
      <c r="C932" t="s">
        <v>1234</v>
      </c>
      <c r="D932">
        <v>24</v>
      </c>
      <c r="E932" t="s">
        <v>13</v>
      </c>
      <c r="F932" s="1">
        <v>44579</v>
      </c>
      <c r="G932" s="1">
        <v>46058</v>
      </c>
      <c r="H932" t="s">
        <v>14</v>
      </c>
      <c r="I932" s="2">
        <v>26511872</v>
      </c>
      <c r="J932">
        <v>261490</v>
      </c>
      <c r="K932" t="s">
        <v>15</v>
      </c>
      <c r="L932" t="str">
        <f t="shared" si="42"/>
        <v>Available</v>
      </c>
      <c r="M932">
        <f t="shared" si="43"/>
        <v>1</v>
      </c>
      <c r="N932">
        <f t="shared" si="44"/>
        <v>1</v>
      </c>
    </row>
    <row r="933" spans="1:14" x14ac:dyDescent="0.35">
      <c r="A933" t="s">
        <v>2489</v>
      </c>
      <c r="B933" t="s">
        <v>1237</v>
      </c>
      <c r="C933" t="s">
        <v>1236</v>
      </c>
      <c r="D933">
        <v>25</v>
      </c>
      <c r="E933" t="s">
        <v>13</v>
      </c>
      <c r="F933" s="1">
        <v>44497</v>
      </c>
      <c r="G933" s="1">
        <v>46059</v>
      </c>
      <c r="H933" t="s">
        <v>14</v>
      </c>
      <c r="I933" s="2">
        <v>19316288</v>
      </c>
      <c r="J933">
        <v>264204</v>
      </c>
      <c r="K933" t="s">
        <v>15</v>
      </c>
      <c r="L933" t="str">
        <f t="shared" si="42"/>
        <v>Available</v>
      </c>
      <c r="M933">
        <f t="shared" si="43"/>
        <v>1</v>
      </c>
      <c r="N933">
        <f t="shared" si="44"/>
        <v>1</v>
      </c>
    </row>
    <row r="934" spans="1:14" x14ac:dyDescent="0.35">
      <c r="A934" t="s">
        <v>2490</v>
      </c>
      <c r="B934" t="s">
        <v>720</v>
      </c>
      <c r="C934" t="s">
        <v>1238</v>
      </c>
      <c r="D934">
        <v>16</v>
      </c>
      <c r="E934" t="s">
        <v>13</v>
      </c>
      <c r="F934" s="1">
        <v>45294</v>
      </c>
      <c r="G934" s="1">
        <v>45877</v>
      </c>
      <c r="H934" t="s">
        <v>14</v>
      </c>
      <c r="I934" t="s">
        <v>2778</v>
      </c>
      <c r="J934">
        <v>266413</v>
      </c>
      <c r="K934" t="s">
        <v>30</v>
      </c>
      <c r="L934" t="str">
        <f t="shared" si="42"/>
        <v>Available</v>
      </c>
      <c r="M934">
        <f t="shared" si="43"/>
        <v>0</v>
      </c>
      <c r="N934">
        <f t="shared" si="44"/>
        <v>1</v>
      </c>
    </row>
    <row r="935" spans="1:14" x14ac:dyDescent="0.35">
      <c r="A935" t="s">
        <v>2491</v>
      </c>
      <c r="B935" t="s">
        <v>238</v>
      </c>
      <c r="C935" t="s">
        <v>1239</v>
      </c>
      <c r="D935">
        <v>24</v>
      </c>
      <c r="E935" t="s">
        <v>13</v>
      </c>
      <c r="F935" s="1">
        <v>44497</v>
      </c>
      <c r="G935" s="1">
        <v>46059</v>
      </c>
      <c r="H935" t="s">
        <v>14</v>
      </c>
      <c r="I935" s="2">
        <v>3363861</v>
      </c>
      <c r="J935">
        <v>261848</v>
      </c>
      <c r="K935" t="s">
        <v>15</v>
      </c>
      <c r="L935" t="str">
        <f t="shared" si="42"/>
        <v>Available</v>
      </c>
      <c r="M935">
        <f t="shared" si="43"/>
        <v>1</v>
      </c>
      <c r="N935">
        <f t="shared" si="44"/>
        <v>1</v>
      </c>
    </row>
    <row r="936" spans="1:14" x14ac:dyDescent="0.35">
      <c r="A936" t="s">
        <v>2492</v>
      </c>
      <c r="B936" t="s">
        <v>25</v>
      </c>
      <c r="C936" t="s">
        <v>1240</v>
      </c>
      <c r="D936">
        <v>135</v>
      </c>
      <c r="E936" t="s">
        <v>13</v>
      </c>
      <c r="F936" s="1">
        <v>44497</v>
      </c>
      <c r="G936" s="1">
        <v>46045</v>
      </c>
      <c r="H936" t="s">
        <v>14</v>
      </c>
      <c r="I936" s="2">
        <v>25836412</v>
      </c>
      <c r="J936">
        <v>261876</v>
      </c>
      <c r="K936" t="s">
        <v>15</v>
      </c>
      <c r="L936" t="str">
        <f t="shared" si="42"/>
        <v>Available</v>
      </c>
      <c r="M936">
        <f t="shared" si="43"/>
        <v>1</v>
      </c>
      <c r="N936">
        <f t="shared" si="44"/>
        <v>1</v>
      </c>
    </row>
    <row r="937" spans="1:14" x14ac:dyDescent="0.35">
      <c r="A937" t="s">
        <v>2493</v>
      </c>
      <c r="B937" t="s">
        <v>135</v>
      </c>
      <c r="C937" t="s">
        <v>1241</v>
      </c>
      <c r="D937">
        <v>24</v>
      </c>
      <c r="E937" t="s">
        <v>13</v>
      </c>
      <c r="F937" s="1">
        <v>45088</v>
      </c>
      <c r="G937" s="1">
        <v>46056</v>
      </c>
      <c r="H937" t="s">
        <v>14</v>
      </c>
      <c r="I937" t="s">
        <v>2786</v>
      </c>
      <c r="J937" t="s">
        <v>1242</v>
      </c>
      <c r="K937" t="s">
        <v>15</v>
      </c>
      <c r="L937" t="str">
        <f t="shared" si="42"/>
        <v>Available</v>
      </c>
      <c r="M937">
        <f t="shared" si="43"/>
        <v>1</v>
      </c>
      <c r="N937">
        <f t="shared" si="44"/>
        <v>1</v>
      </c>
    </row>
    <row r="938" spans="1:14" x14ac:dyDescent="0.35">
      <c r="A938" t="s">
        <v>2494</v>
      </c>
      <c r="B938" t="s">
        <v>1244</v>
      </c>
      <c r="C938" t="s">
        <v>1243</v>
      </c>
      <c r="D938">
        <v>16</v>
      </c>
      <c r="E938" t="s">
        <v>13</v>
      </c>
      <c r="F938" s="1">
        <v>44500</v>
      </c>
      <c r="G938" s="1">
        <v>46057</v>
      </c>
      <c r="H938" t="s">
        <v>14</v>
      </c>
      <c r="I938" s="2">
        <v>110839</v>
      </c>
      <c r="J938">
        <v>261693</v>
      </c>
      <c r="K938" t="s">
        <v>15</v>
      </c>
      <c r="L938" t="str">
        <f t="shared" si="42"/>
        <v>Available</v>
      </c>
      <c r="M938">
        <f t="shared" si="43"/>
        <v>1</v>
      </c>
      <c r="N938">
        <f t="shared" si="44"/>
        <v>1</v>
      </c>
    </row>
    <row r="939" spans="1:14" x14ac:dyDescent="0.35">
      <c r="A939" t="s">
        <v>2495</v>
      </c>
      <c r="B939" t="s">
        <v>1246</v>
      </c>
      <c r="C939" t="s">
        <v>1245</v>
      </c>
      <c r="D939">
        <v>24</v>
      </c>
      <c r="E939" t="s">
        <v>13</v>
      </c>
      <c r="F939" s="1">
        <v>44497</v>
      </c>
      <c r="G939" s="1">
        <v>46060</v>
      </c>
      <c r="H939" t="s">
        <v>14</v>
      </c>
      <c r="I939" s="2">
        <v>34645477</v>
      </c>
      <c r="J939">
        <v>264113</v>
      </c>
      <c r="K939" t="s">
        <v>15</v>
      </c>
      <c r="L939" t="str">
        <f t="shared" si="42"/>
        <v>Available</v>
      </c>
      <c r="M939">
        <f t="shared" si="43"/>
        <v>1</v>
      </c>
      <c r="N939">
        <f t="shared" si="44"/>
        <v>1</v>
      </c>
    </row>
    <row r="940" spans="1:14" x14ac:dyDescent="0.35">
      <c r="A940" t="s">
        <v>2496</v>
      </c>
      <c r="B940" t="s">
        <v>771</v>
      </c>
      <c r="C940" t="s">
        <v>1247</v>
      </c>
      <c r="D940">
        <v>18</v>
      </c>
      <c r="E940" t="s">
        <v>13</v>
      </c>
      <c r="F940" s="1">
        <v>44497</v>
      </c>
      <c r="G940" s="1">
        <v>46059</v>
      </c>
      <c r="H940" t="s">
        <v>14</v>
      </c>
      <c r="I940" s="2">
        <v>135706</v>
      </c>
      <c r="J940">
        <v>266412</v>
      </c>
      <c r="K940" t="s">
        <v>15</v>
      </c>
      <c r="L940" t="str">
        <f t="shared" si="42"/>
        <v>Available</v>
      </c>
      <c r="M940">
        <f t="shared" si="43"/>
        <v>1</v>
      </c>
      <c r="N940">
        <f t="shared" si="44"/>
        <v>1</v>
      </c>
    </row>
    <row r="941" spans="1:14" x14ac:dyDescent="0.35">
      <c r="A941" t="s">
        <v>2497</v>
      </c>
      <c r="B941" t="s">
        <v>428</v>
      </c>
      <c r="C941" t="s">
        <v>1248</v>
      </c>
      <c r="D941">
        <v>24</v>
      </c>
      <c r="E941" t="s">
        <v>13</v>
      </c>
      <c r="F941" s="1">
        <v>45693</v>
      </c>
      <c r="G941" s="1">
        <v>46059</v>
      </c>
      <c r="H941" t="s">
        <v>14</v>
      </c>
      <c r="I941" s="2">
        <v>33224753</v>
      </c>
      <c r="J941">
        <v>264257</v>
      </c>
      <c r="K941" t="s">
        <v>15</v>
      </c>
      <c r="L941" t="str">
        <f t="shared" si="42"/>
        <v>Available</v>
      </c>
      <c r="M941">
        <f t="shared" si="43"/>
        <v>1</v>
      </c>
      <c r="N941">
        <f t="shared" si="44"/>
        <v>1</v>
      </c>
    </row>
    <row r="942" spans="1:14" x14ac:dyDescent="0.35">
      <c r="A942" t="s">
        <v>2498</v>
      </c>
      <c r="B942" t="s">
        <v>1250</v>
      </c>
      <c r="C942" t="s">
        <v>1249</v>
      </c>
      <c r="D942">
        <v>24</v>
      </c>
      <c r="E942" t="s">
        <v>13</v>
      </c>
      <c r="F942" s="1">
        <v>44498</v>
      </c>
      <c r="G942" s="1">
        <v>46059</v>
      </c>
      <c r="H942" t="s">
        <v>14</v>
      </c>
      <c r="I942" s="2">
        <v>19832369</v>
      </c>
      <c r="J942">
        <v>262174</v>
      </c>
      <c r="K942" t="s">
        <v>15</v>
      </c>
      <c r="L942" t="str">
        <f t="shared" si="42"/>
        <v>Available</v>
      </c>
      <c r="M942">
        <f t="shared" si="43"/>
        <v>1</v>
      </c>
      <c r="N942">
        <f t="shared" si="44"/>
        <v>1</v>
      </c>
    </row>
    <row r="943" spans="1:14" x14ac:dyDescent="0.35">
      <c r="A943" t="s">
        <v>2499</v>
      </c>
      <c r="B943" t="s">
        <v>595</v>
      </c>
      <c r="C943" t="s">
        <v>1251</v>
      </c>
      <c r="D943">
        <v>19.75</v>
      </c>
      <c r="E943" t="s">
        <v>13</v>
      </c>
      <c r="F943" s="1">
        <v>44497</v>
      </c>
      <c r="G943" s="1">
        <v>45918</v>
      </c>
      <c r="H943" t="s">
        <v>14</v>
      </c>
      <c r="I943" t="s">
        <v>2778</v>
      </c>
      <c r="J943">
        <v>262612</v>
      </c>
      <c r="K943" t="s">
        <v>30</v>
      </c>
      <c r="L943" t="str">
        <f t="shared" si="42"/>
        <v>Available</v>
      </c>
      <c r="M943">
        <f t="shared" si="43"/>
        <v>0</v>
      </c>
      <c r="N943">
        <f t="shared" si="44"/>
        <v>1</v>
      </c>
    </row>
    <row r="944" spans="1:14" x14ac:dyDescent="0.35">
      <c r="A944" t="s">
        <v>2500</v>
      </c>
      <c r="B944" t="s">
        <v>210</v>
      </c>
      <c r="C944" t="s">
        <v>1252</v>
      </c>
      <c r="D944">
        <v>24</v>
      </c>
      <c r="E944" t="s">
        <v>13</v>
      </c>
      <c r="F944" s="1">
        <v>44497</v>
      </c>
      <c r="G944" s="1">
        <v>46059</v>
      </c>
      <c r="H944" t="s">
        <v>14</v>
      </c>
      <c r="I944" s="2">
        <v>20218111</v>
      </c>
      <c r="J944">
        <v>264167</v>
      </c>
      <c r="K944" t="s">
        <v>15</v>
      </c>
      <c r="L944" t="str">
        <f t="shared" si="42"/>
        <v>Available</v>
      </c>
      <c r="M944">
        <f t="shared" si="43"/>
        <v>1</v>
      </c>
      <c r="N944">
        <f t="shared" si="44"/>
        <v>1</v>
      </c>
    </row>
    <row r="945" spans="1:14" x14ac:dyDescent="0.35">
      <c r="A945" t="s">
        <v>2501</v>
      </c>
      <c r="B945" t="s">
        <v>365</v>
      </c>
      <c r="C945" t="s">
        <v>1253</v>
      </c>
      <c r="D945">
        <v>13.9</v>
      </c>
      <c r="E945" t="s">
        <v>13</v>
      </c>
      <c r="F945" s="1">
        <v>45694</v>
      </c>
      <c r="G945" s="1">
        <v>46059</v>
      </c>
      <c r="H945" t="s">
        <v>14</v>
      </c>
      <c r="I945" t="s">
        <v>2778</v>
      </c>
      <c r="J945">
        <v>264530</v>
      </c>
      <c r="K945" t="s">
        <v>30</v>
      </c>
      <c r="L945" t="str">
        <f t="shared" si="42"/>
        <v>Available</v>
      </c>
      <c r="M945">
        <f t="shared" si="43"/>
        <v>0</v>
      </c>
      <c r="N945">
        <f t="shared" si="44"/>
        <v>1</v>
      </c>
    </row>
    <row r="946" spans="1:14" x14ac:dyDescent="0.35">
      <c r="A946" t="s">
        <v>2502</v>
      </c>
      <c r="B946" t="s">
        <v>334</v>
      </c>
      <c r="C946" t="s">
        <v>1254</v>
      </c>
      <c r="D946">
        <v>16.8</v>
      </c>
      <c r="E946" t="s">
        <v>13</v>
      </c>
      <c r="F946" s="1">
        <v>44497</v>
      </c>
      <c r="G946" s="1">
        <v>46059</v>
      </c>
      <c r="H946" t="s">
        <v>14</v>
      </c>
      <c r="I946" s="2">
        <v>3258014</v>
      </c>
      <c r="J946">
        <v>261658</v>
      </c>
      <c r="K946" t="s">
        <v>15</v>
      </c>
      <c r="L946" t="str">
        <f t="shared" si="42"/>
        <v>Available</v>
      </c>
      <c r="M946">
        <f t="shared" si="43"/>
        <v>1</v>
      </c>
      <c r="N946">
        <f t="shared" si="44"/>
        <v>1</v>
      </c>
    </row>
    <row r="947" spans="1:14" x14ac:dyDescent="0.35">
      <c r="A947" t="s">
        <v>2503</v>
      </c>
      <c r="C947" t="s">
        <v>1255</v>
      </c>
      <c r="D947">
        <v>24</v>
      </c>
      <c r="E947" t="s">
        <v>13</v>
      </c>
      <c r="F947" s="1">
        <v>44497</v>
      </c>
      <c r="G947" s="1">
        <v>46059</v>
      </c>
      <c r="H947" t="s">
        <v>14</v>
      </c>
      <c r="I947" t="s">
        <v>2778</v>
      </c>
      <c r="J947">
        <v>264308</v>
      </c>
      <c r="K947" t="s">
        <v>30</v>
      </c>
      <c r="L947" t="str">
        <f t="shared" si="42"/>
        <v>Missing</v>
      </c>
      <c r="M947">
        <f t="shared" si="43"/>
        <v>0</v>
      </c>
      <c r="N947">
        <f t="shared" si="44"/>
        <v>0</v>
      </c>
    </row>
    <row r="948" spans="1:14" x14ac:dyDescent="0.35">
      <c r="A948" t="s">
        <v>2504</v>
      </c>
      <c r="B948" t="s">
        <v>25</v>
      </c>
      <c r="C948" t="s">
        <v>1256</v>
      </c>
      <c r="D948">
        <v>23.5</v>
      </c>
      <c r="E948" t="s">
        <v>13</v>
      </c>
      <c r="F948" s="1">
        <v>44497</v>
      </c>
      <c r="G948" s="1">
        <v>46060</v>
      </c>
      <c r="H948" t="s">
        <v>14</v>
      </c>
      <c r="I948" s="2">
        <v>18510112</v>
      </c>
      <c r="J948">
        <v>264566</v>
      </c>
      <c r="K948" t="s">
        <v>15</v>
      </c>
      <c r="L948" t="str">
        <f t="shared" si="42"/>
        <v>Available</v>
      </c>
      <c r="M948">
        <f t="shared" si="43"/>
        <v>1</v>
      </c>
      <c r="N948">
        <f t="shared" si="44"/>
        <v>1</v>
      </c>
    </row>
    <row r="949" spans="1:14" x14ac:dyDescent="0.35">
      <c r="A949" t="s">
        <v>2505</v>
      </c>
      <c r="B949" t="s">
        <v>299</v>
      </c>
      <c r="C949" t="s">
        <v>1257</v>
      </c>
      <c r="D949">
        <v>16</v>
      </c>
      <c r="E949" t="s">
        <v>13</v>
      </c>
      <c r="F949" s="1">
        <v>44500</v>
      </c>
      <c r="G949" s="1">
        <v>46057</v>
      </c>
      <c r="H949" t="s">
        <v>14</v>
      </c>
      <c r="I949" t="s">
        <v>2778</v>
      </c>
      <c r="J949">
        <v>267063</v>
      </c>
      <c r="K949" t="s">
        <v>30</v>
      </c>
      <c r="L949" t="str">
        <f t="shared" si="42"/>
        <v>Available</v>
      </c>
      <c r="M949">
        <f t="shared" si="43"/>
        <v>0</v>
      </c>
      <c r="N949">
        <f t="shared" si="44"/>
        <v>1</v>
      </c>
    </row>
    <row r="950" spans="1:14" x14ac:dyDescent="0.35">
      <c r="A950" t="s">
        <v>2506</v>
      </c>
      <c r="B950" t="s">
        <v>515</v>
      </c>
      <c r="C950" t="s">
        <v>1258</v>
      </c>
      <c r="D950">
        <v>24</v>
      </c>
      <c r="E950" t="s">
        <v>13</v>
      </c>
      <c r="F950" s="1">
        <v>45151</v>
      </c>
      <c r="G950" s="1">
        <v>46059</v>
      </c>
      <c r="H950" t="s">
        <v>14</v>
      </c>
      <c r="I950" s="2">
        <v>29063059</v>
      </c>
      <c r="J950">
        <v>261885</v>
      </c>
      <c r="K950" t="s">
        <v>15</v>
      </c>
      <c r="L950" t="str">
        <f t="shared" si="42"/>
        <v>Available</v>
      </c>
      <c r="M950">
        <f t="shared" si="43"/>
        <v>1</v>
      </c>
      <c r="N950">
        <f t="shared" si="44"/>
        <v>1</v>
      </c>
    </row>
    <row r="951" spans="1:14" x14ac:dyDescent="0.35">
      <c r="A951" t="s">
        <v>2507</v>
      </c>
      <c r="B951" t="s">
        <v>1260</v>
      </c>
      <c r="C951" t="s">
        <v>1259</v>
      </c>
      <c r="D951">
        <v>26</v>
      </c>
      <c r="E951" t="s">
        <v>13</v>
      </c>
      <c r="F951" s="1">
        <v>44498</v>
      </c>
      <c r="G951" s="1">
        <v>46058</v>
      </c>
      <c r="H951" t="s">
        <v>14</v>
      </c>
      <c r="I951" s="2">
        <v>53424</v>
      </c>
      <c r="J951">
        <v>261897</v>
      </c>
      <c r="K951" t="s">
        <v>15</v>
      </c>
      <c r="L951" t="str">
        <f t="shared" si="42"/>
        <v>Available</v>
      </c>
      <c r="M951">
        <f t="shared" si="43"/>
        <v>1</v>
      </c>
      <c r="N951">
        <f t="shared" si="44"/>
        <v>1</v>
      </c>
    </row>
    <row r="952" spans="1:14" x14ac:dyDescent="0.35">
      <c r="A952" t="s">
        <v>2508</v>
      </c>
      <c r="C952" t="s">
        <v>1261</v>
      </c>
      <c r="D952">
        <v>16</v>
      </c>
      <c r="E952" t="s">
        <v>13</v>
      </c>
      <c r="F952" s="1">
        <v>44500</v>
      </c>
      <c r="G952" s="1">
        <v>45961</v>
      </c>
      <c r="H952" t="s">
        <v>14</v>
      </c>
      <c r="I952" s="2">
        <v>110841</v>
      </c>
      <c r="J952">
        <v>264756</v>
      </c>
      <c r="K952" t="s">
        <v>15</v>
      </c>
      <c r="L952" t="str">
        <f t="shared" si="42"/>
        <v>Missing</v>
      </c>
      <c r="M952">
        <f t="shared" si="43"/>
        <v>1</v>
      </c>
      <c r="N952">
        <f t="shared" si="44"/>
        <v>0</v>
      </c>
    </row>
    <row r="953" spans="1:14" x14ac:dyDescent="0.35">
      <c r="A953" t="s">
        <v>2509</v>
      </c>
      <c r="B953" t="s">
        <v>186</v>
      </c>
      <c r="C953" t="s">
        <v>1262</v>
      </c>
      <c r="D953">
        <v>24</v>
      </c>
      <c r="E953" t="s">
        <v>13</v>
      </c>
      <c r="F953" s="1">
        <v>44497</v>
      </c>
      <c r="G953" s="1">
        <v>46059</v>
      </c>
      <c r="H953" t="s">
        <v>14</v>
      </c>
      <c r="I953" s="2">
        <v>98563</v>
      </c>
      <c r="J953">
        <v>261861</v>
      </c>
      <c r="K953" t="s">
        <v>15</v>
      </c>
      <c r="L953" t="str">
        <f t="shared" si="42"/>
        <v>Available</v>
      </c>
      <c r="M953">
        <f t="shared" si="43"/>
        <v>1</v>
      </c>
      <c r="N953">
        <f t="shared" si="44"/>
        <v>1</v>
      </c>
    </row>
    <row r="954" spans="1:14" x14ac:dyDescent="0.35">
      <c r="A954" t="s">
        <v>2510</v>
      </c>
      <c r="B954" t="s">
        <v>912</v>
      </c>
      <c r="C954" t="s">
        <v>1263</v>
      </c>
      <c r="D954">
        <v>25</v>
      </c>
      <c r="E954" t="s">
        <v>13</v>
      </c>
      <c r="F954" s="1">
        <v>45702</v>
      </c>
      <c r="G954" s="1">
        <v>46059</v>
      </c>
      <c r="H954" t="s">
        <v>14</v>
      </c>
      <c r="I954" s="2">
        <v>73538910</v>
      </c>
      <c r="J954">
        <v>264146</v>
      </c>
      <c r="K954" t="s">
        <v>15</v>
      </c>
      <c r="L954" t="str">
        <f t="shared" si="42"/>
        <v>Available</v>
      </c>
      <c r="M954">
        <f t="shared" si="43"/>
        <v>1</v>
      </c>
      <c r="N954">
        <f t="shared" si="44"/>
        <v>1</v>
      </c>
    </row>
    <row r="955" spans="1:14" x14ac:dyDescent="0.35">
      <c r="A955" t="s">
        <v>2511</v>
      </c>
      <c r="C955" t="s">
        <v>1264</v>
      </c>
      <c r="D955">
        <v>28</v>
      </c>
      <c r="E955" t="s">
        <v>13</v>
      </c>
      <c r="F955" s="1">
        <v>44503</v>
      </c>
      <c r="G955" s="1">
        <v>46058</v>
      </c>
      <c r="H955" t="s">
        <v>14</v>
      </c>
      <c r="I955" s="2">
        <v>1741595</v>
      </c>
      <c r="J955">
        <v>266402</v>
      </c>
      <c r="K955" t="s">
        <v>15</v>
      </c>
      <c r="L955" t="str">
        <f t="shared" si="42"/>
        <v>Missing</v>
      </c>
      <c r="M955">
        <f t="shared" si="43"/>
        <v>1</v>
      </c>
      <c r="N955">
        <f t="shared" si="44"/>
        <v>0</v>
      </c>
    </row>
    <row r="956" spans="1:14" x14ac:dyDescent="0.35">
      <c r="A956" t="s">
        <v>2512</v>
      </c>
      <c r="B956" t="s">
        <v>1266</v>
      </c>
      <c r="C956" t="s">
        <v>1265</v>
      </c>
      <c r="D956">
        <v>12</v>
      </c>
      <c r="E956" t="s">
        <v>13</v>
      </c>
      <c r="F956" s="1">
        <v>45368</v>
      </c>
      <c r="G956" s="1">
        <v>46058</v>
      </c>
      <c r="H956" t="s">
        <v>14</v>
      </c>
      <c r="I956" s="2">
        <v>44979140</v>
      </c>
      <c r="J956">
        <v>266873</v>
      </c>
      <c r="K956" t="s">
        <v>15</v>
      </c>
      <c r="L956" t="str">
        <f t="shared" si="42"/>
        <v>Available</v>
      </c>
      <c r="M956">
        <f t="shared" si="43"/>
        <v>1</v>
      </c>
      <c r="N956">
        <f t="shared" si="44"/>
        <v>1</v>
      </c>
    </row>
    <row r="957" spans="1:14" x14ac:dyDescent="0.35">
      <c r="A957" t="s">
        <v>2513</v>
      </c>
      <c r="B957" t="s">
        <v>121</v>
      </c>
      <c r="C957" t="s">
        <v>1267</v>
      </c>
      <c r="D957">
        <v>34.799999999999997</v>
      </c>
      <c r="E957" t="s">
        <v>13</v>
      </c>
      <c r="F957" s="1">
        <v>44775</v>
      </c>
      <c r="G957" s="1">
        <v>45480</v>
      </c>
      <c r="H957" t="s">
        <v>14</v>
      </c>
      <c r="I957" t="s">
        <v>2778</v>
      </c>
      <c r="J957">
        <v>266850</v>
      </c>
      <c r="K957" t="s">
        <v>30</v>
      </c>
      <c r="L957" t="str">
        <f t="shared" si="42"/>
        <v>Available</v>
      </c>
      <c r="M957">
        <f t="shared" si="43"/>
        <v>0</v>
      </c>
      <c r="N957">
        <f t="shared" si="44"/>
        <v>1</v>
      </c>
    </row>
    <row r="958" spans="1:14" x14ac:dyDescent="0.35">
      <c r="A958" t="s">
        <v>2514</v>
      </c>
      <c r="B958" t="s">
        <v>96</v>
      </c>
      <c r="C958" t="s">
        <v>1268</v>
      </c>
      <c r="D958">
        <v>45</v>
      </c>
      <c r="E958" t="s">
        <v>13</v>
      </c>
      <c r="F958" s="1">
        <v>44526</v>
      </c>
      <c r="G958" s="1">
        <v>45685</v>
      </c>
      <c r="H958" t="s">
        <v>14</v>
      </c>
      <c r="I958" t="s">
        <v>2778</v>
      </c>
      <c r="J958">
        <v>266856</v>
      </c>
      <c r="K958" t="s">
        <v>30</v>
      </c>
      <c r="L958" t="str">
        <f t="shared" si="42"/>
        <v>Available</v>
      </c>
      <c r="M958">
        <f t="shared" si="43"/>
        <v>0</v>
      </c>
      <c r="N958">
        <f t="shared" si="44"/>
        <v>1</v>
      </c>
    </row>
    <row r="959" spans="1:14" x14ac:dyDescent="0.35">
      <c r="A959" t="s">
        <v>2515</v>
      </c>
      <c r="B959" t="s">
        <v>41</v>
      </c>
      <c r="C959" t="s">
        <v>1269</v>
      </c>
      <c r="D959">
        <v>24.3</v>
      </c>
      <c r="E959" t="s">
        <v>13</v>
      </c>
      <c r="F959" s="1">
        <v>44497</v>
      </c>
      <c r="G959" s="1">
        <v>46058</v>
      </c>
      <c r="H959" t="s">
        <v>14</v>
      </c>
      <c r="I959" s="2">
        <v>333901</v>
      </c>
      <c r="J959">
        <v>266309</v>
      </c>
      <c r="K959" t="s">
        <v>15</v>
      </c>
      <c r="L959" t="str">
        <f t="shared" si="42"/>
        <v>Available</v>
      </c>
      <c r="M959">
        <f t="shared" si="43"/>
        <v>1</v>
      </c>
      <c r="N959">
        <f t="shared" si="44"/>
        <v>1</v>
      </c>
    </row>
    <row r="960" spans="1:14" x14ac:dyDescent="0.35">
      <c r="A960" t="s">
        <v>2516</v>
      </c>
      <c r="B960" t="s">
        <v>936</v>
      </c>
      <c r="C960" t="s">
        <v>1270</v>
      </c>
      <c r="D960">
        <v>23.5</v>
      </c>
      <c r="E960" t="s">
        <v>13</v>
      </c>
      <c r="F960" s="1">
        <v>45088</v>
      </c>
      <c r="G960" s="1">
        <v>46059</v>
      </c>
      <c r="H960" t="s">
        <v>14</v>
      </c>
      <c r="I960" s="2">
        <v>29627849</v>
      </c>
      <c r="J960">
        <v>261825</v>
      </c>
      <c r="K960" t="s">
        <v>15</v>
      </c>
      <c r="L960" t="str">
        <f t="shared" si="42"/>
        <v>Available</v>
      </c>
      <c r="M960">
        <f t="shared" si="43"/>
        <v>1</v>
      </c>
      <c r="N960">
        <f t="shared" si="44"/>
        <v>1</v>
      </c>
    </row>
    <row r="961" spans="1:14" x14ac:dyDescent="0.35">
      <c r="A961" t="s">
        <v>2517</v>
      </c>
      <c r="B961" t="s">
        <v>1272</v>
      </c>
      <c r="C961" t="s">
        <v>1271</v>
      </c>
      <c r="D961">
        <v>24</v>
      </c>
      <c r="E961" t="s">
        <v>13</v>
      </c>
      <c r="F961" s="1">
        <v>44498</v>
      </c>
      <c r="G961" s="1">
        <v>45952</v>
      </c>
      <c r="H961" t="s">
        <v>14</v>
      </c>
      <c r="I961" t="s">
        <v>2778</v>
      </c>
      <c r="J961">
        <v>266855</v>
      </c>
      <c r="K961" t="s">
        <v>30</v>
      </c>
      <c r="L961" t="str">
        <f t="shared" si="42"/>
        <v>Available</v>
      </c>
      <c r="M961">
        <f t="shared" si="43"/>
        <v>0</v>
      </c>
      <c r="N961">
        <f t="shared" si="44"/>
        <v>1</v>
      </c>
    </row>
    <row r="962" spans="1:14" x14ac:dyDescent="0.35">
      <c r="A962" t="s">
        <v>2518</v>
      </c>
      <c r="B962" t="s">
        <v>253</v>
      </c>
      <c r="C962" t="s">
        <v>1273</v>
      </c>
      <c r="D962">
        <v>24</v>
      </c>
      <c r="E962" t="s">
        <v>13</v>
      </c>
      <c r="F962" s="1">
        <v>44498</v>
      </c>
      <c r="G962" s="1">
        <v>45952</v>
      </c>
      <c r="H962" t="s">
        <v>14</v>
      </c>
      <c r="I962" t="s">
        <v>2778</v>
      </c>
      <c r="J962">
        <v>261653</v>
      </c>
      <c r="K962" t="s">
        <v>30</v>
      </c>
      <c r="L962" t="str">
        <f t="shared" si="42"/>
        <v>Available</v>
      </c>
      <c r="M962">
        <f t="shared" si="43"/>
        <v>0</v>
      </c>
      <c r="N962">
        <f t="shared" si="44"/>
        <v>1</v>
      </c>
    </row>
    <row r="963" spans="1:14" x14ac:dyDescent="0.35">
      <c r="A963" t="s">
        <v>2519</v>
      </c>
      <c r="B963" t="s">
        <v>392</v>
      </c>
      <c r="C963" t="s">
        <v>1274</v>
      </c>
      <c r="D963">
        <v>25</v>
      </c>
      <c r="E963" t="s">
        <v>13</v>
      </c>
      <c r="F963" s="1">
        <v>44497</v>
      </c>
      <c r="G963" s="1">
        <v>46059</v>
      </c>
      <c r="H963" t="s">
        <v>14</v>
      </c>
      <c r="I963" s="2">
        <v>16401813</v>
      </c>
      <c r="J963">
        <v>264288</v>
      </c>
      <c r="K963" t="s">
        <v>15</v>
      </c>
      <c r="L963" t="str">
        <f t="shared" ref="L963:L1026" si="45">IF(OR(B963="",ISBLANK(B963)),"Missing","Available")</f>
        <v>Available</v>
      </c>
      <c r="M963">
        <f t="shared" ref="M963:M1026" si="46">IF(K963="Mapped",1,0)</f>
        <v>1</v>
      </c>
      <c r="N963">
        <f t="shared" ref="N963:N1026" si="47">IF(AND(B963&lt;&gt;"",A963&lt;&gt;""),1,0)</f>
        <v>1</v>
      </c>
    </row>
    <row r="964" spans="1:14" x14ac:dyDescent="0.35">
      <c r="A964" t="s">
        <v>2520</v>
      </c>
      <c r="B964" t="s">
        <v>121</v>
      </c>
      <c r="C964" t="s">
        <v>1275</v>
      </c>
      <c r="D964">
        <v>24</v>
      </c>
      <c r="E964" t="s">
        <v>13</v>
      </c>
      <c r="F964" s="1">
        <v>44497</v>
      </c>
      <c r="G964" s="1">
        <v>46059</v>
      </c>
      <c r="H964" t="s">
        <v>14</v>
      </c>
      <c r="I964" s="2">
        <v>32956382</v>
      </c>
      <c r="J964">
        <v>261679</v>
      </c>
      <c r="K964" t="s">
        <v>15</v>
      </c>
      <c r="L964" t="str">
        <f t="shared" si="45"/>
        <v>Available</v>
      </c>
      <c r="M964">
        <f t="shared" si="46"/>
        <v>1</v>
      </c>
      <c r="N964">
        <f t="shared" si="47"/>
        <v>1</v>
      </c>
    </row>
    <row r="965" spans="1:14" x14ac:dyDescent="0.35">
      <c r="A965" t="s">
        <v>2521</v>
      </c>
      <c r="B965" t="s">
        <v>71</v>
      </c>
      <c r="C965" t="s">
        <v>1276</v>
      </c>
      <c r="D965">
        <v>1</v>
      </c>
      <c r="E965" t="s">
        <v>13</v>
      </c>
      <c r="F965" s="1">
        <v>44497</v>
      </c>
      <c r="G965" s="1">
        <v>46059</v>
      </c>
      <c r="H965" t="s">
        <v>14</v>
      </c>
      <c r="I965" s="2">
        <v>2642372</v>
      </c>
      <c r="J965">
        <v>264563</v>
      </c>
      <c r="K965" t="s">
        <v>15</v>
      </c>
      <c r="L965" t="str">
        <f t="shared" si="45"/>
        <v>Available</v>
      </c>
      <c r="M965">
        <f t="shared" si="46"/>
        <v>1</v>
      </c>
      <c r="N965">
        <f t="shared" si="47"/>
        <v>1</v>
      </c>
    </row>
    <row r="966" spans="1:14" x14ac:dyDescent="0.35">
      <c r="A966" t="s">
        <v>2522</v>
      </c>
      <c r="B966" t="s">
        <v>927</v>
      </c>
      <c r="C966" t="s">
        <v>1277</v>
      </c>
      <c r="D966">
        <v>25</v>
      </c>
      <c r="E966" t="s">
        <v>13</v>
      </c>
      <c r="F966" s="1">
        <v>44497</v>
      </c>
      <c r="G966" s="1">
        <v>46051</v>
      </c>
      <c r="H966" t="s">
        <v>14</v>
      </c>
      <c r="I966" s="2">
        <v>17438764</v>
      </c>
      <c r="J966">
        <v>266589</v>
      </c>
      <c r="K966" t="s">
        <v>15</v>
      </c>
      <c r="L966" t="str">
        <f t="shared" si="45"/>
        <v>Available</v>
      </c>
      <c r="M966">
        <f t="shared" si="46"/>
        <v>1</v>
      </c>
      <c r="N966">
        <f t="shared" si="47"/>
        <v>1</v>
      </c>
    </row>
    <row r="967" spans="1:14" x14ac:dyDescent="0.35">
      <c r="A967" t="s">
        <v>2523</v>
      </c>
      <c r="B967" t="s">
        <v>19</v>
      </c>
      <c r="C967" t="s">
        <v>1278</v>
      </c>
      <c r="D967">
        <v>15.5</v>
      </c>
      <c r="E967" t="s">
        <v>13</v>
      </c>
      <c r="F967" s="1">
        <v>44497</v>
      </c>
      <c r="G967" s="1">
        <v>46059</v>
      </c>
      <c r="H967" t="s">
        <v>14</v>
      </c>
      <c r="I967" s="2">
        <v>98551</v>
      </c>
      <c r="J967">
        <v>266911</v>
      </c>
      <c r="K967" t="s">
        <v>15</v>
      </c>
      <c r="L967" t="str">
        <f t="shared" si="45"/>
        <v>Available</v>
      </c>
      <c r="M967">
        <f t="shared" si="46"/>
        <v>1</v>
      </c>
      <c r="N967">
        <f t="shared" si="47"/>
        <v>1</v>
      </c>
    </row>
    <row r="968" spans="1:14" x14ac:dyDescent="0.35">
      <c r="A968" t="s">
        <v>2524</v>
      </c>
      <c r="B968" t="s">
        <v>1280</v>
      </c>
      <c r="C968" t="s">
        <v>1279</v>
      </c>
      <c r="D968">
        <v>24</v>
      </c>
      <c r="E968" t="s">
        <v>13</v>
      </c>
      <c r="F968" s="1">
        <v>45679</v>
      </c>
      <c r="G968" s="1">
        <v>46059</v>
      </c>
      <c r="H968" t="s">
        <v>14</v>
      </c>
      <c r="I968" s="2">
        <v>64570527</v>
      </c>
      <c r="J968">
        <v>261702</v>
      </c>
      <c r="K968" t="s">
        <v>15</v>
      </c>
      <c r="L968" t="str">
        <f t="shared" si="45"/>
        <v>Available</v>
      </c>
      <c r="M968">
        <f t="shared" si="46"/>
        <v>1</v>
      </c>
      <c r="N968">
        <f t="shared" si="47"/>
        <v>1</v>
      </c>
    </row>
    <row r="969" spans="1:14" x14ac:dyDescent="0.35">
      <c r="A969" t="s">
        <v>2525</v>
      </c>
      <c r="B969" t="s">
        <v>1282</v>
      </c>
      <c r="C969" t="s">
        <v>1281</v>
      </c>
      <c r="D969">
        <v>64</v>
      </c>
      <c r="E969" t="s">
        <v>13</v>
      </c>
      <c r="F969" s="1">
        <v>44498</v>
      </c>
      <c r="G969" s="1">
        <v>45744</v>
      </c>
      <c r="H969" t="s">
        <v>14</v>
      </c>
      <c r="I969" t="s">
        <v>2778</v>
      </c>
      <c r="J969">
        <v>261811</v>
      </c>
      <c r="K969" t="s">
        <v>30</v>
      </c>
      <c r="L969" t="str">
        <f t="shared" si="45"/>
        <v>Available</v>
      </c>
      <c r="M969">
        <f t="shared" si="46"/>
        <v>0</v>
      </c>
      <c r="N969">
        <f t="shared" si="47"/>
        <v>1</v>
      </c>
    </row>
    <row r="970" spans="1:14" x14ac:dyDescent="0.35">
      <c r="A970" t="s">
        <v>2526</v>
      </c>
      <c r="B970" t="s">
        <v>71</v>
      </c>
      <c r="C970" t="s">
        <v>1283</v>
      </c>
      <c r="D970">
        <v>8</v>
      </c>
      <c r="E970" t="s">
        <v>13</v>
      </c>
      <c r="F970" s="1">
        <v>44497</v>
      </c>
      <c r="G970" s="1">
        <v>46060</v>
      </c>
      <c r="H970" t="s">
        <v>14</v>
      </c>
      <c r="I970" s="2">
        <v>38974</v>
      </c>
      <c r="J970">
        <v>264035</v>
      </c>
      <c r="K970" t="s">
        <v>15</v>
      </c>
      <c r="L970" t="str">
        <f t="shared" si="45"/>
        <v>Available</v>
      </c>
      <c r="M970">
        <f t="shared" si="46"/>
        <v>1</v>
      </c>
      <c r="N970">
        <f t="shared" si="47"/>
        <v>1</v>
      </c>
    </row>
    <row r="971" spans="1:14" x14ac:dyDescent="0.35">
      <c r="A971" t="s">
        <v>2527</v>
      </c>
      <c r="B971" t="s">
        <v>348</v>
      </c>
      <c r="C971" t="s">
        <v>1284</v>
      </c>
      <c r="D971">
        <v>24</v>
      </c>
      <c r="E971" t="s">
        <v>13</v>
      </c>
      <c r="F971" s="1">
        <v>44497</v>
      </c>
      <c r="G971" s="1">
        <v>46060</v>
      </c>
      <c r="H971" t="s">
        <v>14</v>
      </c>
      <c r="I971" s="2">
        <v>19820553</v>
      </c>
      <c r="J971">
        <v>262029</v>
      </c>
      <c r="K971" t="s">
        <v>15</v>
      </c>
      <c r="L971" t="str">
        <f t="shared" si="45"/>
        <v>Available</v>
      </c>
      <c r="M971">
        <f t="shared" si="46"/>
        <v>1</v>
      </c>
      <c r="N971">
        <f t="shared" si="47"/>
        <v>1</v>
      </c>
    </row>
    <row r="972" spans="1:14" x14ac:dyDescent="0.35">
      <c r="A972" t="s">
        <v>2528</v>
      </c>
      <c r="C972" t="s">
        <v>1285</v>
      </c>
      <c r="D972">
        <v>26</v>
      </c>
      <c r="E972" t="s">
        <v>13</v>
      </c>
      <c r="F972" s="1">
        <v>44500</v>
      </c>
      <c r="G972" s="1">
        <v>46058</v>
      </c>
      <c r="H972" t="s">
        <v>14</v>
      </c>
      <c r="I972" s="2">
        <v>49021489</v>
      </c>
      <c r="J972">
        <v>266983</v>
      </c>
      <c r="K972" t="s">
        <v>15</v>
      </c>
      <c r="L972" t="str">
        <f t="shared" si="45"/>
        <v>Missing</v>
      </c>
      <c r="M972">
        <f t="shared" si="46"/>
        <v>1</v>
      </c>
      <c r="N972">
        <f t="shared" si="47"/>
        <v>0</v>
      </c>
    </row>
    <row r="973" spans="1:14" x14ac:dyDescent="0.35">
      <c r="A973" t="s">
        <v>2529</v>
      </c>
      <c r="B973" t="s">
        <v>465</v>
      </c>
      <c r="C973" t="s">
        <v>1286</v>
      </c>
      <c r="D973">
        <v>32</v>
      </c>
      <c r="E973" t="s">
        <v>13</v>
      </c>
      <c r="F973" s="1">
        <v>44497</v>
      </c>
      <c r="G973" s="1">
        <v>46056</v>
      </c>
      <c r="H973" t="s">
        <v>14</v>
      </c>
      <c r="I973" s="2">
        <v>17330579</v>
      </c>
      <c r="J973">
        <v>262623</v>
      </c>
      <c r="K973" t="s">
        <v>15</v>
      </c>
      <c r="L973" t="str">
        <f t="shared" si="45"/>
        <v>Available</v>
      </c>
      <c r="M973">
        <f t="shared" si="46"/>
        <v>1</v>
      </c>
      <c r="N973">
        <f t="shared" si="47"/>
        <v>1</v>
      </c>
    </row>
    <row r="974" spans="1:14" x14ac:dyDescent="0.35">
      <c r="A974" t="s">
        <v>2530</v>
      </c>
      <c r="B974" t="s">
        <v>158</v>
      </c>
      <c r="C974" t="s">
        <v>1010</v>
      </c>
      <c r="D974">
        <v>25</v>
      </c>
      <c r="E974" t="s">
        <v>13</v>
      </c>
      <c r="F974" s="1">
        <v>44501</v>
      </c>
      <c r="G974" s="1">
        <v>46057</v>
      </c>
      <c r="H974" t="s">
        <v>14</v>
      </c>
      <c r="I974" s="2">
        <v>80811</v>
      </c>
      <c r="J974">
        <v>264457</v>
      </c>
      <c r="K974" t="s">
        <v>15</v>
      </c>
      <c r="L974" t="str">
        <f t="shared" si="45"/>
        <v>Available</v>
      </c>
      <c r="M974">
        <f t="shared" si="46"/>
        <v>1</v>
      </c>
      <c r="N974">
        <f t="shared" si="47"/>
        <v>1</v>
      </c>
    </row>
    <row r="975" spans="1:14" x14ac:dyDescent="0.35">
      <c r="A975" t="s">
        <v>2531</v>
      </c>
      <c r="C975" t="s">
        <v>1287</v>
      </c>
      <c r="D975">
        <v>18</v>
      </c>
      <c r="E975" t="s">
        <v>13</v>
      </c>
      <c r="F975" s="1">
        <v>44832</v>
      </c>
      <c r="G975" s="1">
        <v>45966</v>
      </c>
      <c r="H975" t="s">
        <v>14</v>
      </c>
      <c r="I975" s="2">
        <v>27661492</v>
      </c>
      <c r="J975">
        <v>262629</v>
      </c>
      <c r="K975" t="s">
        <v>15</v>
      </c>
      <c r="L975" t="str">
        <f t="shared" si="45"/>
        <v>Missing</v>
      </c>
      <c r="M975">
        <f t="shared" si="46"/>
        <v>1</v>
      </c>
      <c r="N975">
        <f t="shared" si="47"/>
        <v>0</v>
      </c>
    </row>
    <row r="976" spans="1:14" x14ac:dyDescent="0.35">
      <c r="A976" t="s">
        <v>2532</v>
      </c>
      <c r="B976" t="s">
        <v>132</v>
      </c>
      <c r="C976" t="s">
        <v>1288</v>
      </c>
      <c r="F976" s="1">
        <v>45009</v>
      </c>
      <c r="G976" s="1">
        <v>45099</v>
      </c>
      <c r="H976" t="s">
        <v>14</v>
      </c>
      <c r="I976" t="s">
        <v>2778</v>
      </c>
      <c r="J976">
        <v>266344</v>
      </c>
      <c r="K976" t="s">
        <v>30</v>
      </c>
      <c r="L976" t="str">
        <f t="shared" si="45"/>
        <v>Available</v>
      </c>
      <c r="M976">
        <f t="shared" si="46"/>
        <v>0</v>
      </c>
      <c r="N976">
        <f t="shared" si="47"/>
        <v>1</v>
      </c>
    </row>
    <row r="977" spans="1:14" x14ac:dyDescent="0.35">
      <c r="A977" t="s">
        <v>2533</v>
      </c>
      <c r="B977" t="s">
        <v>690</v>
      </c>
      <c r="C977" t="s">
        <v>1289</v>
      </c>
      <c r="D977">
        <v>24</v>
      </c>
      <c r="E977" t="s">
        <v>13</v>
      </c>
      <c r="F977" s="1">
        <v>44497</v>
      </c>
      <c r="G977" s="1">
        <v>46058</v>
      </c>
      <c r="H977" t="s">
        <v>14</v>
      </c>
      <c r="I977" s="2">
        <v>20166009</v>
      </c>
      <c r="J977">
        <v>262578</v>
      </c>
      <c r="K977" t="s">
        <v>15</v>
      </c>
      <c r="L977" t="str">
        <f t="shared" si="45"/>
        <v>Available</v>
      </c>
      <c r="M977">
        <f t="shared" si="46"/>
        <v>1</v>
      </c>
      <c r="N977">
        <f t="shared" si="47"/>
        <v>1</v>
      </c>
    </row>
    <row r="978" spans="1:14" x14ac:dyDescent="0.35">
      <c r="A978" t="s">
        <v>2534</v>
      </c>
      <c r="B978" t="s">
        <v>103</v>
      </c>
      <c r="C978" t="s">
        <v>1290</v>
      </c>
      <c r="D978">
        <v>18</v>
      </c>
      <c r="E978" t="s">
        <v>13</v>
      </c>
      <c r="F978" s="1">
        <v>44790</v>
      </c>
      <c r="G978" s="1">
        <v>46058</v>
      </c>
      <c r="H978" t="s">
        <v>14</v>
      </c>
      <c r="I978" s="2">
        <v>27663317</v>
      </c>
      <c r="J978">
        <v>262545</v>
      </c>
      <c r="K978" t="s">
        <v>15</v>
      </c>
      <c r="L978" t="str">
        <f t="shared" si="45"/>
        <v>Available</v>
      </c>
      <c r="M978">
        <f t="shared" si="46"/>
        <v>1</v>
      </c>
      <c r="N978">
        <f t="shared" si="47"/>
        <v>1</v>
      </c>
    </row>
    <row r="979" spans="1:14" x14ac:dyDescent="0.35">
      <c r="A979" t="s">
        <v>2535</v>
      </c>
      <c r="B979" t="s">
        <v>269</v>
      </c>
      <c r="C979" t="s">
        <v>1291</v>
      </c>
      <c r="D979">
        <v>16.899999999999999</v>
      </c>
      <c r="E979" t="s">
        <v>13</v>
      </c>
      <c r="F979" s="1">
        <v>44791</v>
      </c>
      <c r="G979" s="1">
        <v>46059</v>
      </c>
      <c r="H979" t="s">
        <v>14</v>
      </c>
      <c r="I979" s="2">
        <v>27494712</v>
      </c>
      <c r="J979">
        <v>261737</v>
      </c>
      <c r="K979" t="s">
        <v>15</v>
      </c>
      <c r="L979" t="str">
        <f t="shared" si="45"/>
        <v>Available</v>
      </c>
      <c r="M979">
        <f t="shared" si="46"/>
        <v>1</v>
      </c>
      <c r="N979">
        <f t="shared" si="47"/>
        <v>1</v>
      </c>
    </row>
    <row r="980" spans="1:14" x14ac:dyDescent="0.35">
      <c r="A980" t="s">
        <v>2536</v>
      </c>
      <c r="B980" t="s">
        <v>1293</v>
      </c>
      <c r="C980" t="s">
        <v>1292</v>
      </c>
      <c r="D980">
        <v>25</v>
      </c>
      <c r="E980" t="s">
        <v>13</v>
      </c>
      <c r="F980" s="1">
        <v>44497</v>
      </c>
      <c r="G980" s="1">
        <v>46059</v>
      </c>
      <c r="H980" t="s">
        <v>14</v>
      </c>
      <c r="I980" s="2">
        <v>98560</v>
      </c>
      <c r="J980">
        <v>261580</v>
      </c>
      <c r="K980" t="s">
        <v>15</v>
      </c>
      <c r="L980" t="str">
        <f t="shared" si="45"/>
        <v>Available</v>
      </c>
      <c r="M980">
        <f t="shared" si="46"/>
        <v>1</v>
      </c>
      <c r="N980">
        <f t="shared" si="47"/>
        <v>1</v>
      </c>
    </row>
    <row r="981" spans="1:14" x14ac:dyDescent="0.35">
      <c r="A981" t="s">
        <v>2537</v>
      </c>
      <c r="B981" t="s">
        <v>123</v>
      </c>
      <c r="C981" t="s">
        <v>1294</v>
      </c>
      <c r="D981">
        <v>23.75</v>
      </c>
      <c r="E981" t="s">
        <v>13</v>
      </c>
      <c r="F981" s="1">
        <v>44969</v>
      </c>
      <c r="G981" s="1">
        <v>46060</v>
      </c>
      <c r="H981" t="s">
        <v>14</v>
      </c>
      <c r="I981" s="2">
        <v>29503633</v>
      </c>
      <c r="J981">
        <v>266393</v>
      </c>
      <c r="K981" t="s">
        <v>15</v>
      </c>
      <c r="L981" t="str">
        <f t="shared" si="45"/>
        <v>Available</v>
      </c>
      <c r="M981">
        <f t="shared" si="46"/>
        <v>1</v>
      </c>
      <c r="N981">
        <f t="shared" si="47"/>
        <v>1</v>
      </c>
    </row>
    <row r="982" spans="1:14" x14ac:dyDescent="0.35">
      <c r="A982" t="s">
        <v>2538</v>
      </c>
      <c r="C982" t="s">
        <v>1295</v>
      </c>
      <c r="D982">
        <v>26</v>
      </c>
      <c r="E982" t="s">
        <v>13</v>
      </c>
      <c r="F982" s="1">
        <v>44503</v>
      </c>
      <c r="G982" s="1">
        <v>46057</v>
      </c>
      <c r="H982" t="s">
        <v>14</v>
      </c>
      <c r="I982" s="2">
        <v>19739879</v>
      </c>
      <c r="J982">
        <v>264464</v>
      </c>
      <c r="K982" t="s">
        <v>15</v>
      </c>
      <c r="L982" t="str">
        <f t="shared" si="45"/>
        <v>Missing</v>
      </c>
      <c r="M982">
        <f t="shared" si="46"/>
        <v>1</v>
      </c>
      <c r="N982">
        <f t="shared" si="47"/>
        <v>0</v>
      </c>
    </row>
    <row r="983" spans="1:14" x14ac:dyDescent="0.35">
      <c r="A983" t="s">
        <v>2539</v>
      </c>
      <c r="B983" t="s">
        <v>123</v>
      </c>
      <c r="C983" t="s">
        <v>1296</v>
      </c>
      <c r="D983">
        <v>23.5</v>
      </c>
      <c r="E983" t="s">
        <v>13</v>
      </c>
      <c r="F983" s="1">
        <v>44497</v>
      </c>
      <c r="G983" s="1">
        <v>46060</v>
      </c>
      <c r="H983" t="s">
        <v>14</v>
      </c>
      <c r="I983" s="2">
        <v>34157</v>
      </c>
      <c r="J983">
        <v>264722</v>
      </c>
      <c r="K983" t="s">
        <v>15</v>
      </c>
      <c r="L983" t="str">
        <f t="shared" si="45"/>
        <v>Available</v>
      </c>
      <c r="M983">
        <f t="shared" si="46"/>
        <v>1</v>
      </c>
      <c r="N983">
        <f t="shared" si="47"/>
        <v>1</v>
      </c>
    </row>
    <row r="984" spans="1:14" x14ac:dyDescent="0.35">
      <c r="A984" t="s">
        <v>2540</v>
      </c>
      <c r="B984" t="s">
        <v>130</v>
      </c>
      <c r="C984" t="s">
        <v>1297</v>
      </c>
      <c r="D984">
        <v>25</v>
      </c>
      <c r="E984" t="s">
        <v>13</v>
      </c>
      <c r="F984" s="1">
        <v>44497</v>
      </c>
      <c r="G984" s="1">
        <v>46059</v>
      </c>
      <c r="H984" t="s">
        <v>14</v>
      </c>
      <c r="I984" s="2">
        <v>2219082</v>
      </c>
      <c r="J984">
        <v>266936</v>
      </c>
      <c r="K984" t="s">
        <v>15</v>
      </c>
      <c r="L984" t="str">
        <f t="shared" si="45"/>
        <v>Available</v>
      </c>
      <c r="M984">
        <f t="shared" si="46"/>
        <v>1</v>
      </c>
      <c r="N984">
        <f t="shared" si="47"/>
        <v>1</v>
      </c>
    </row>
    <row r="985" spans="1:14" x14ac:dyDescent="0.35">
      <c r="A985" t="s">
        <v>2541</v>
      </c>
      <c r="B985" t="s">
        <v>123</v>
      </c>
      <c r="C985" t="s">
        <v>1298</v>
      </c>
      <c r="D985">
        <v>44</v>
      </c>
      <c r="E985" t="s">
        <v>13</v>
      </c>
      <c r="F985" s="1">
        <v>44497</v>
      </c>
      <c r="G985" s="1">
        <v>46060</v>
      </c>
      <c r="H985" t="s">
        <v>14</v>
      </c>
      <c r="I985" s="2">
        <v>20021629</v>
      </c>
      <c r="J985">
        <v>264741</v>
      </c>
      <c r="K985" t="s">
        <v>15</v>
      </c>
      <c r="L985" t="str">
        <f t="shared" si="45"/>
        <v>Available</v>
      </c>
      <c r="M985">
        <f t="shared" si="46"/>
        <v>1</v>
      </c>
      <c r="N985">
        <f t="shared" si="47"/>
        <v>1</v>
      </c>
    </row>
    <row r="986" spans="1:14" x14ac:dyDescent="0.35">
      <c r="A986" t="s">
        <v>2542</v>
      </c>
      <c r="B986" t="s">
        <v>242</v>
      </c>
      <c r="C986" t="s">
        <v>1299</v>
      </c>
      <c r="D986">
        <v>32</v>
      </c>
      <c r="E986" t="s">
        <v>13</v>
      </c>
      <c r="F986" s="1">
        <v>44500</v>
      </c>
      <c r="G986" s="1">
        <v>46059</v>
      </c>
      <c r="H986" t="s">
        <v>14</v>
      </c>
      <c r="I986" s="2">
        <v>226646</v>
      </c>
      <c r="J986">
        <v>266498</v>
      </c>
      <c r="K986" t="s">
        <v>15</v>
      </c>
      <c r="L986" t="str">
        <f t="shared" si="45"/>
        <v>Available</v>
      </c>
      <c r="M986">
        <f t="shared" si="46"/>
        <v>1</v>
      </c>
      <c r="N986">
        <f t="shared" si="47"/>
        <v>1</v>
      </c>
    </row>
    <row r="987" spans="1:14" x14ac:dyDescent="0.35">
      <c r="A987" t="s">
        <v>2543</v>
      </c>
      <c r="B987" t="s">
        <v>1301</v>
      </c>
      <c r="C987" t="s">
        <v>1300</v>
      </c>
      <c r="D987">
        <v>24</v>
      </c>
      <c r="E987" t="s">
        <v>13</v>
      </c>
      <c r="F987" s="1">
        <v>44497</v>
      </c>
      <c r="G987" s="1">
        <v>46060</v>
      </c>
      <c r="H987" t="s">
        <v>14</v>
      </c>
      <c r="I987" s="2">
        <v>2915073</v>
      </c>
      <c r="J987">
        <v>264628</v>
      </c>
      <c r="K987" t="s">
        <v>15</v>
      </c>
      <c r="L987" t="str">
        <f t="shared" si="45"/>
        <v>Available</v>
      </c>
      <c r="M987">
        <f t="shared" si="46"/>
        <v>1</v>
      </c>
      <c r="N987">
        <f t="shared" si="47"/>
        <v>1</v>
      </c>
    </row>
    <row r="988" spans="1:14" x14ac:dyDescent="0.35">
      <c r="A988" t="s">
        <v>2544</v>
      </c>
      <c r="B988" t="s">
        <v>29</v>
      </c>
      <c r="C988" t="s">
        <v>255</v>
      </c>
      <c r="D988">
        <v>32</v>
      </c>
      <c r="E988" t="s">
        <v>13</v>
      </c>
      <c r="F988" s="1">
        <v>44501</v>
      </c>
      <c r="G988" s="1">
        <v>46055</v>
      </c>
      <c r="H988" t="s">
        <v>14</v>
      </c>
      <c r="I988" s="2">
        <v>18628190</v>
      </c>
      <c r="J988">
        <v>261595</v>
      </c>
      <c r="K988" t="s">
        <v>15</v>
      </c>
      <c r="L988" t="str">
        <f t="shared" si="45"/>
        <v>Available</v>
      </c>
      <c r="M988">
        <f t="shared" si="46"/>
        <v>1</v>
      </c>
      <c r="N988">
        <f t="shared" si="47"/>
        <v>1</v>
      </c>
    </row>
    <row r="989" spans="1:14" x14ac:dyDescent="0.35">
      <c r="A989" t="s">
        <v>2545</v>
      </c>
      <c r="B989" t="s">
        <v>570</v>
      </c>
      <c r="C989" t="s">
        <v>1302</v>
      </c>
      <c r="D989">
        <v>24</v>
      </c>
      <c r="E989" t="s">
        <v>13</v>
      </c>
      <c r="F989" s="1">
        <v>45548</v>
      </c>
      <c r="G989" s="1">
        <v>46057</v>
      </c>
      <c r="H989" t="s">
        <v>14</v>
      </c>
      <c r="I989" t="s">
        <v>2778</v>
      </c>
      <c r="J989">
        <v>264667</v>
      </c>
      <c r="K989" t="s">
        <v>30</v>
      </c>
      <c r="L989" t="str">
        <f t="shared" si="45"/>
        <v>Available</v>
      </c>
      <c r="M989">
        <f t="shared" si="46"/>
        <v>0</v>
      </c>
      <c r="N989">
        <f t="shared" si="47"/>
        <v>1</v>
      </c>
    </row>
    <row r="990" spans="1:14" x14ac:dyDescent="0.35">
      <c r="A990" t="s">
        <v>2546</v>
      </c>
      <c r="C990" t="s">
        <v>1303</v>
      </c>
      <c r="D990">
        <v>24</v>
      </c>
      <c r="E990" t="s">
        <v>13</v>
      </c>
      <c r="F990" s="1">
        <v>44497</v>
      </c>
      <c r="G990" s="1">
        <v>46059</v>
      </c>
      <c r="H990" t="s">
        <v>14</v>
      </c>
      <c r="I990" t="s">
        <v>2778</v>
      </c>
      <c r="J990">
        <v>264209</v>
      </c>
      <c r="K990" t="s">
        <v>30</v>
      </c>
      <c r="L990" t="str">
        <f t="shared" si="45"/>
        <v>Missing</v>
      </c>
      <c r="M990">
        <f t="shared" si="46"/>
        <v>0</v>
      </c>
      <c r="N990">
        <f t="shared" si="47"/>
        <v>0</v>
      </c>
    </row>
    <row r="991" spans="1:14" x14ac:dyDescent="0.35">
      <c r="A991" t="s">
        <v>2547</v>
      </c>
      <c r="B991" t="s">
        <v>1305</v>
      </c>
      <c r="C991" t="s">
        <v>1304</v>
      </c>
      <c r="D991">
        <v>23.5</v>
      </c>
      <c r="E991" t="s">
        <v>13</v>
      </c>
      <c r="F991" s="1">
        <v>44815</v>
      </c>
      <c r="G991" s="1">
        <v>46059</v>
      </c>
      <c r="H991" t="s">
        <v>14</v>
      </c>
      <c r="I991" s="2">
        <v>34623727</v>
      </c>
      <c r="J991">
        <v>267043</v>
      </c>
      <c r="K991" t="s">
        <v>15</v>
      </c>
      <c r="L991" t="str">
        <f t="shared" si="45"/>
        <v>Available</v>
      </c>
      <c r="M991">
        <f t="shared" si="46"/>
        <v>1</v>
      </c>
      <c r="N991">
        <f t="shared" si="47"/>
        <v>1</v>
      </c>
    </row>
    <row r="992" spans="1:14" x14ac:dyDescent="0.35">
      <c r="A992" t="s">
        <v>2548</v>
      </c>
      <c r="B992" t="s">
        <v>1146</v>
      </c>
      <c r="C992" t="s">
        <v>1306</v>
      </c>
      <c r="D992">
        <v>25</v>
      </c>
      <c r="E992" t="s">
        <v>13</v>
      </c>
      <c r="F992" s="1">
        <v>45322</v>
      </c>
      <c r="G992" s="1">
        <v>46057</v>
      </c>
      <c r="H992" t="s">
        <v>14</v>
      </c>
      <c r="I992" t="s">
        <v>2778</v>
      </c>
      <c r="J992">
        <v>266543</v>
      </c>
      <c r="K992" t="s">
        <v>30</v>
      </c>
      <c r="L992" t="str">
        <f t="shared" si="45"/>
        <v>Available</v>
      </c>
      <c r="M992">
        <f t="shared" si="46"/>
        <v>0</v>
      </c>
      <c r="N992">
        <f t="shared" si="47"/>
        <v>1</v>
      </c>
    </row>
    <row r="993" spans="1:14" x14ac:dyDescent="0.35">
      <c r="A993" t="s">
        <v>2549</v>
      </c>
      <c r="B993" t="s">
        <v>668</v>
      </c>
      <c r="C993" t="s">
        <v>1307</v>
      </c>
      <c r="D993">
        <v>24</v>
      </c>
      <c r="E993" t="s">
        <v>13</v>
      </c>
      <c r="F993" s="1">
        <v>44497</v>
      </c>
      <c r="G993" s="1">
        <v>46059</v>
      </c>
      <c r="H993" t="s">
        <v>14</v>
      </c>
      <c r="I993" s="2">
        <v>73881</v>
      </c>
      <c r="J993">
        <v>266901</v>
      </c>
      <c r="K993" t="s">
        <v>15</v>
      </c>
      <c r="L993" t="str">
        <f t="shared" si="45"/>
        <v>Available</v>
      </c>
      <c r="M993">
        <f t="shared" si="46"/>
        <v>1</v>
      </c>
      <c r="N993">
        <f t="shared" si="47"/>
        <v>1</v>
      </c>
    </row>
    <row r="994" spans="1:14" x14ac:dyDescent="0.35">
      <c r="A994" t="s">
        <v>2550</v>
      </c>
      <c r="B994" t="s">
        <v>848</v>
      </c>
      <c r="C994" t="s">
        <v>1308</v>
      </c>
      <c r="D994">
        <v>45</v>
      </c>
      <c r="E994" t="s">
        <v>13</v>
      </c>
      <c r="F994" s="1">
        <v>44497</v>
      </c>
      <c r="G994" s="1">
        <v>46060</v>
      </c>
      <c r="H994" t="s">
        <v>14</v>
      </c>
      <c r="I994" s="2">
        <v>77085</v>
      </c>
      <c r="J994">
        <v>261870</v>
      </c>
      <c r="K994" t="s">
        <v>15</v>
      </c>
      <c r="L994" t="str">
        <f t="shared" si="45"/>
        <v>Available</v>
      </c>
      <c r="M994">
        <f t="shared" si="46"/>
        <v>1</v>
      </c>
      <c r="N994">
        <f t="shared" si="47"/>
        <v>1</v>
      </c>
    </row>
    <row r="995" spans="1:14" x14ac:dyDescent="0.35">
      <c r="A995" t="s">
        <v>2551</v>
      </c>
      <c r="B995" t="s">
        <v>583</v>
      </c>
      <c r="C995" t="s">
        <v>1309</v>
      </c>
      <c r="D995">
        <v>24</v>
      </c>
      <c r="E995" t="s">
        <v>13</v>
      </c>
      <c r="F995" s="1">
        <v>44497</v>
      </c>
      <c r="G995" s="1">
        <v>46059</v>
      </c>
      <c r="H995" t="s">
        <v>14</v>
      </c>
      <c r="I995" s="2">
        <v>2503683</v>
      </c>
      <c r="J995">
        <v>261882</v>
      </c>
      <c r="K995" t="s">
        <v>15</v>
      </c>
      <c r="L995" t="str">
        <f t="shared" si="45"/>
        <v>Available</v>
      </c>
      <c r="M995">
        <f t="shared" si="46"/>
        <v>1</v>
      </c>
      <c r="N995">
        <f t="shared" si="47"/>
        <v>1</v>
      </c>
    </row>
    <row r="996" spans="1:14" x14ac:dyDescent="0.35">
      <c r="A996" t="s">
        <v>2552</v>
      </c>
      <c r="B996" t="s">
        <v>765</v>
      </c>
      <c r="C996" t="s">
        <v>1310</v>
      </c>
      <c r="D996">
        <v>24</v>
      </c>
      <c r="E996" t="s">
        <v>13</v>
      </c>
      <c r="F996" s="1">
        <v>45679</v>
      </c>
      <c r="G996" s="1">
        <v>46057</v>
      </c>
      <c r="H996" t="s">
        <v>14</v>
      </c>
      <c r="I996" s="2">
        <v>55079690</v>
      </c>
      <c r="J996">
        <v>264203</v>
      </c>
      <c r="K996" t="s">
        <v>15</v>
      </c>
      <c r="L996" t="str">
        <f t="shared" si="45"/>
        <v>Available</v>
      </c>
      <c r="M996">
        <f t="shared" si="46"/>
        <v>1</v>
      </c>
      <c r="N996">
        <f t="shared" si="47"/>
        <v>1</v>
      </c>
    </row>
    <row r="997" spans="1:14" x14ac:dyDescent="0.35">
      <c r="A997" t="s">
        <v>2553</v>
      </c>
      <c r="B997" t="s">
        <v>503</v>
      </c>
      <c r="C997" t="s">
        <v>1311</v>
      </c>
      <c r="D997">
        <v>23.9</v>
      </c>
      <c r="E997" t="s">
        <v>13</v>
      </c>
      <c r="F997" s="1">
        <v>44497</v>
      </c>
      <c r="G997" s="1">
        <v>46059</v>
      </c>
      <c r="H997" t="s">
        <v>14</v>
      </c>
      <c r="I997" s="2">
        <v>2786310</v>
      </c>
      <c r="J997">
        <v>264086</v>
      </c>
      <c r="K997" t="s">
        <v>15</v>
      </c>
      <c r="L997" t="str">
        <f t="shared" si="45"/>
        <v>Available</v>
      </c>
      <c r="M997">
        <f t="shared" si="46"/>
        <v>1</v>
      </c>
      <c r="N997">
        <f t="shared" si="47"/>
        <v>1</v>
      </c>
    </row>
    <row r="998" spans="1:14" x14ac:dyDescent="0.35">
      <c r="A998" t="s">
        <v>2554</v>
      </c>
      <c r="B998" t="s">
        <v>58</v>
      </c>
      <c r="C998" t="s">
        <v>1312</v>
      </c>
      <c r="D998">
        <v>24</v>
      </c>
      <c r="E998" t="s">
        <v>13</v>
      </c>
      <c r="F998" s="1">
        <v>44497</v>
      </c>
      <c r="G998" s="1">
        <v>46059</v>
      </c>
      <c r="H998" t="s">
        <v>14</v>
      </c>
      <c r="I998" s="2">
        <v>125443</v>
      </c>
      <c r="J998">
        <v>266538</v>
      </c>
      <c r="K998" t="s">
        <v>15</v>
      </c>
      <c r="L998" t="str">
        <f t="shared" si="45"/>
        <v>Available</v>
      </c>
      <c r="M998">
        <f t="shared" si="46"/>
        <v>1</v>
      </c>
      <c r="N998">
        <f t="shared" si="47"/>
        <v>1</v>
      </c>
    </row>
    <row r="999" spans="1:14" x14ac:dyDescent="0.35">
      <c r="A999" t="s">
        <v>2555</v>
      </c>
      <c r="C999" t="s">
        <v>1313</v>
      </c>
      <c r="D999">
        <v>6</v>
      </c>
      <c r="E999" t="s">
        <v>13</v>
      </c>
      <c r="F999" s="1">
        <v>45245</v>
      </c>
      <c r="G999" s="1">
        <v>46059</v>
      </c>
      <c r="H999" t="s">
        <v>14</v>
      </c>
      <c r="I999" s="2">
        <v>35595100</v>
      </c>
      <c r="J999">
        <v>261795</v>
      </c>
      <c r="K999" t="s">
        <v>15</v>
      </c>
      <c r="L999" t="str">
        <f t="shared" si="45"/>
        <v>Missing</v>
      </c>
      <c r="M999">
        <f t="shared" si="46"/>
        <v>1</v>
      </c>
      <c r="N999">
        <f t="shared" si="47"/>
        <v>0</v>
      </c>
    </row>
    <row r="1000" spans="1:14" x14ac:dyDescent="0.35">
      <c r="A1000" t="s">
        <v>2556</v>
      </c>
      <c r="B1000" t="s">
        <v>583</v>
      </c>
      <c r="C1000" t="s">
        <v>1314</v>
      </c>
      <c r="D1000">
        <v>24</v>
      </c>
      <c r="E1000" t="s">
        <v>13</v>
      </c>
      <c r="F1000" s="1">
        <v>44497</v>
      </c>
      <c r="G1000" s="1">
        <v>46059</v>
      </c>
      <c r="H1000" t="s">
        <v>14</v>
      </c>
      <c r="I1000" s="2">
        <v>1499839</v>
      </c>
      <c r="J1000">
        <v>262557</v>
      </c>
      <c r="K1000" t="s">
        <v>15</v>
      </c>
      <c r="L1000" t="str">
        <f t="shared" si="45"/>
        <v>Available</v>
      </c>
      <c r="M1000">
        <f t="shared" si="46"/>
        <v>1</v>
      </c>
      <c r="N1000">
        <f t="shared" si="47"/>
        <v>1</v>
      </c>
    </row>
    <row r="1001" spans="1:14" x14ac:dyDescent="0.35">
      <c r="A1001" t="s">
        <v>2557</v>
      </c>
      <c r="B1001" t="s">
        <v>1316</v>
      </c>
      <c r="C1001" t="s">
        <v>1315</v>
      </c>
      <c r="D1001">
        <v>11.99</v>
      </c>
      <c r="E1001" t="s">
        <v>13</v>
      </c>
      <c r="F1001" s="1">
        <v>44714</v>
      </c>
      <c r="G1001" s="1">
        <v>46059</v>
      </c>
      <c r="H1001" t="s">
        <v>14</v>
      </c>
      <c r="I1001" s="2">
        <v>16635325</v>
      </c>
      <c r="J1001">
        <v>264345</v>
      </c>
      <c r="K1001" t="s">
        <v>15</v>
      </c>
      <c r="L1001" t="str">
        <f t="shared" si="45"/>
        <v>Available</v>
      </c>
      <c r="M1001">
        <f t="shared" si="46"/>
        <v>1</v>
      </c>
      <c r="N1001">
        <f t="shared" si="47"/>
        <v>1</v>
      </c>
    </row>
    <row r="1002" spans="1:14" x14ac:dyDescent="0.35">
      <c r="A1002" t="s">
        <v>2558</v>
      </c>
      <c r="B1002" t="s">
        <v>103</v>
      </c>
      <c r="C1002" t="s">
        <v>1317</v>
      </c>
      <c r="D1002">
        <v>18</v>
      </c>
      <c r="E1002" t="s">
        <v>13</v>
      </c>
      <c r="F1002" s="1">
        <v>44783</v>
      </c>
      <c r="G1002" s="1">
        <v>46058</v>
      </c>
      <c r="H1002" t="s">
        <v>14</v>
      </c>
      <c r="I1002" s="2">
        <v>27662188</v>
      </c>
      <c r="J1002">
        <v>267079</v>
      </c>
      <c r="K1002" t="s">
        <v>15</v>
      </c>
      <c r="L1002" t="str">
        <f t="shared" si="45"/>
        <v>Available</v>
      </c>
      <c r="M1002">
        <f t="shared" si="46"/>
        <v>1</v>
      </c>
      <c r="N1002">
        <f t="shared" si="47"/>
        <v>1</v>
      </c>
    </row>
    <row r="1003" spans="1:14" x14ac:dyDescent="0.35">
      <c r="A1003" t="s">
        <v>2559</v>
      </c>
      <c r="B1003" t="s">
        <v>1237</v>
      </c>
      <c r="C1003" t="s">
        <v>1318</v>
      </c>
      <c r="D1003">
        <v>25</v>
      </c>
      <c r="E1003" t="s">
        <v>13</v>
      </c>
      <c r="F1003" s="1">
        <v>44501</v>
      </c>
      <c r="G1003" s="1">
        <v>46059</v>
      </c>
      <c r="H1003" t="s">
        <v>14</v>
      </c>
      <c r="I1003" s="2">
        <v>22685595</v>
      </c>
      <c r="J1003">
        <v>267080</v>
      </c>
      <c r="K1003" t="s">
        <v>15</v>
      </c>
      <c r="L1003" t="str">
        <f t="shared" si="45"/>
        <v>Available</v>
      </c>
      <c r="M1003">
        <f t="shared" si="46"/>
        <v>1</v>
      </c>
      <c r="N1003">
        <f t="shared" si="47"/>
        <v>1</v>
      </c>
    </row>
    <row r="1004" spans="1:14" x14ac:dyDescent="0.35">
      <c r="A1004" t="s">
        <v>2560</v>
      </c>
      <c r="B1004" t="s">
        <v>158</v>
      </c>
      <c r="C1004" t="s">
        <v>893</v>
      </c>
      <c r="D1004">
        <v>25</v>
      </c>
      <c r="E1004" t="s">
        <v>13</v>
      </c>
      <c r="F1004" s="1">
        <v>44497</v>
      </c>
      <c r="G1004" s="1">
        <v>46057</v>
      </c>
      <c r="H1004" t="s">
        <v>14</v>
      </c>
      <c r="I1004" s="2">
        <v>53396</v>
      </c>
      <c r="J1004">
        <v>261765</v>
      </c>
      <c r="K1004" t="s">
        <v>15</v>
      </c>
      <c r="L1004" t="str">
        <f t="shared" si="45"/>
        <v>Available</v>
      </c>
      <c r="M1004">
        <f t="shared" si="46"/>
        <v>1</v>
      </c>
      <c r="N1004">
        <f t="shared" si="47"/>
        <v>1</v>
      </c>
    </row>
    <row r="1005" spans="1:14" x14ac:dyDescent="0.35">
      <c r="A1005" t="s">
        <v>2561</v>
      </c>
      <c r="B1005" t="s">
        <v>628</v>
      </c>
      <c r="C1005" t="s">
        <v>1319</v>
      </c>
      <c r="D1005">
        <v>24</v>
      </c>
      <c r="E1005" t="s">
        <v>13</v>
      </c>
      <c r="F1005" s="1">
        <v>44952</v>
      </c>
      <c r="G1005" s="1">
        <v>46059</v>
      </c>
      <c r="H1005" t="s">
        <v>14</v>
      </c>
      <c r="I1005" s="2">
        <v>19962763</v>
      </c>
      <c r="J1005">
        <v>261512</v>
      </c>
      <c r="K1005" t="s">
        <v>15</v>
      </c>
      <c r="L1005" t="str">
        <f t="shared" si="45"/>
        <v>Available</v>
      </c>
      <c r="M1005">
        <f t="shared" si="46"/>
        <v>1</v>
      </c>
      <c r="N1005">
        <f t="shared" si="47"/>
        <v>1</v>
      </c>
    </row>
    <row r="1006" spans="1:14" x14ac:dyDescent="0.35">
      <c r="A1006" t="s">
        <v>2562</v>
      </c>
      <c r="B1006" t="s">
        <v>62</v>
      </c>
      <c r="C1006" t="s">
        <v>1320</v>
      </c>
      <c r="D1006">
        <v>24</v>
      </c>
      <c r="E1006" t="s">
        <v>13</v>
      </c>
      <c r="F1006" s="1">
        <v>44497</v>
      </c>
      <c r="G1006" s="1">
        <v>46059</v>
      </c>
      <c r="H1006" t="s">
        <v>14</v>
      </c>
      <c r="I1006" s="2">
        <v>18301267</v>
      </c>
      <c r="J1006">
        <v>261688</v>
      </c>
      <c r="K1006" t="s">
        <v>15</v>
      </c>
      <c r="L1006" t="str">
        <f t="shared" si="45"/>
        <v>Available</v>
      </c>
      <c r="M1006">
        <f t="shared" si="46"/>
        <v>1</v>
      </c>
      <c r="N1006">
        <f t="shared" si="47"/>
        <v>1</v>
      </c>
    </row>
    <row r="1007" spans="1:14" x14ac:dyDescent="0.35">
      <c r="A1007" t="s">
        <v>2563</v>
      </c>
      <c r="B1007" t="s">
        <v>1322</v>
      </c>
      <c r="C1007" t="s">
        <v>1321</v>
      </c>
      <c r="D1007">
        <v>24</v>
      </c>
      <c r="E1007" t="s">
        <v>13</v>
      </c>
      <c r="F1007" s="1">
        <v>45679</v>
      </c>
      <c r="G1007" s="1">
        <v>46057</v>
      </c>
      <c r="H1007" t="s">
        <v>14</v>
      </c>
      <c r="I1007" s="2">
        <v>55410668</v>
      </c>
      <c r="J1007">
        <v>264034</v>
      </c>
      <c r="K1007" t="s">
        <v>15</v>
      </c>
      <c r="L1007" t="str">
        <f t="shared" si="45"/>
        <v>Available</v>
      </c>
      <c r="M1007">
        <f t="shared" si="46"/>
        <v>1</v>
      </c>
      <c r="N1007">
        <f t="shared" si="47"/>
        <v>1</v>
      </c>
    </row>
    <row r="1008" spans="1:14" x14ac:dyDescent="0.35">
      <c r="A1008" t="s">
        <v>2564</v>
      </c>
      <c r="B1008" t="s">
        <v>62</v>
      </c>
      <c r="C1008" t="s">
        <v>1323</v>
      </c>
      <c r="D1008">
        <v>24</v>
      </c>
      <c r="E1008" t="s">
        <v>13</v>
      </c>
      <c r="F1008" s="1">
        <v>44497</v>
      </c>
      <c r="G1008" s="1">
        <v>46059</v>
      </c>
      <c r="H1008" t="s">
        <v>14</v>
      </c>
      <c r="I1008" t="s">
        <v>2778</v>
      </c>
      <c r="J1008">
        <v>266371</v>
      </c>
      <c r="K1008" t="s">
        <v>30</v>
      </c>
      <c r="L1008" t="str">
        <f t="shared" si="45"/>
        <v>Available</v>
      </c>
      <c r="M1008">
        <f t="shared" si="46"/>
        <v>0</v>
      </c>
      <c r="N1008">
        <f t="shared" si="47"/>
        <v>1</v>
      </c>
    </row>
    <row r="1009" spans="1:14" x14ac:dyDescent="0.35">
      <c r="A1009" t="s">
        <v>2565</v>
      </c>
      <c r="B1009" t="s">
        <v>445</v>
      </c>
      <c r="C1009" t="s">
        <v>1324</v>
      </c>
      <c r="D1009">
        <v>24</v>
      </c>
      <c r="E1009" t="s">
        <v>13</v>
      </c>
      <c r="F1009" s="1">
        <v>44497</v>
      </c>
      <c r="G1009" s="1">
        <v>46059</v>
      </c>
      <c r="H1009" t="s">
        <v>14</v>
      </c>
      <c r="I1009" s="2">
        <v>3340287</v>
      </c>
      <c r="J1009">
        <v>267001</v>
      </c>
      <c r="K1009" t="s">
        <v>15</v>
      </c>
      <c r="L1009" t="str">
        <f t="shared" si="45"/>
        <v>Available</v>
      </c>
      <c r="M1009">
        <f t="shared" si="46"/>
        <v>1</v>
      </c>
      <c r="N1009">
        <f t="shared" si="47"/>
        <v>1</v>
      </c>
    </row>
    <row r="1010" spans="1:14" x14ac:dyDescent="0.35">
      <c r="A1010" t="s">
        <v>2566</v>
      </c>
      <c r="B1010" t="s">
        <v>200</v>
      </c>
      <c r="C1010" t="s">
        <v>1325</v>
      </c>
      <c r="D1010">
        <v>26</v>
      </c>
      <c r="E1010" t="s">
        <v>13</v>
      </c>
      <c r="F1010" s="1">
        <v>44497</v>
      </c>
      <c r="G1010" s="1">
        <v>46059</v>
      </c>
      <c r="H1010" t="s">
        <v>14</v>
      </c>
      <c r="I1010" s="2">
        <v>145157</v>
      </c>
      <c r="J1010">
        <v>262028</v>
      </c>
      <c r="K1010" t="s">
        <v>15</v>
      </c>
      <c r="L1010" t="str">
        <f t="shared" si="45"/>
        <v>Available</v>
      </c>
      <c r="M1010">
        <f t="shared" si="46"/>
        <v>1</v>
      </c>
      <c r="N1010">
        <f t="shared" si="47"/>
        <v>1</v>
      </c>
    </row>
    <row r="1011" spans="1:14" x14ac:dyDescent="0.35">
      <c r="A1011" t="s">
        <v>2567</v>
      </c>
      <c r="B1011" t="s">
        <v>1327</v>
      </c>
      <c r="C1011" t="s">
        <v>1326</v>
      </c>
      <c r="D1011">
        <v>24</v>
      </c>
      <c r="E1011" t="s">
        <v>13</v>
      </c>
      <c r="F1011" s="1">
        <v>44497</v>
      </c>
      <c r="G1011" s="1">
        <v>46060</v>
      </c>
      <c r="H1011" t="s">
        <v>14</v>
      </c>
      <c r="I1011" s="2">
        <v>18957838</v>
      </c>
      <c r="J1011">
        <v>267034</v>
      </c>
      <c r="K1011" t="s">
        <v>15</v>
      </c>
      <c r="L1011" t="str">
        <f t="shared" si="45"/>
        <v>Available</v>
      </c>
      <c r="M1011">
        <f t="shared" si="46"/>
        <v>1</v>
      </c>
      <c r="N1011">
        <f t="shared" si="47"/>
        <v>1</v>
      </c>
    </row>
    <row r="1012" spans="1:14" x14ac:dyDescent="0.35">
      <c r="A1012" t="s">
        <v>2568</v>
      </c>
      <c r="B1012" t="s">
        <v>58</v>
      </c>
      <c r="C1012" t="s">
        <v>1328</v>
      </c>
      <c r="D1012">
        <v>20.288091000000001</v>
      </c>
      <c r="E1012" t="s">
        <v>35</v>
      </c>
      <c r="F1012" s="1">
        <v>45631</v>
      </c>
      <c r="G1012" s="1">
        <v>46058</v>
      </c>
      <c r="H1012" t="s">
        <v>14</v>
      </c>
      <c r="I1012" t="s">
        <v>2778</v>
      </c>
      <c r="J1012">
        <v>267062</v>
      </c>
      <c r="K1012" t="s">
        <v>30</v>
      </c>
      <c r="L1012" t="str">
        <f t="shared" si="45"/>
        <v>Available</v>
      </c>
      <c r="M1012">
        <f t="shared" si="46"/>
        <v>0</v>
      </c>
      <c r="N1012">
        <f t="shared" si="47"/>
        <v>1</v>
      </c>
    </row>
    <row r="1013" spans="1:14" x14ac:dyDescent="0.35">
      <c r="A1013" t="s">
        <v>2569</v>
      </c>
      <c r="B1013" t="s">
        <v>515</v>
      </c>
      <c r="C1013" t="s">
        <v>1329</v>
      </c>
      <c r="D1013">
        <v>24</v>
      </c>
      <c r="E1013" t="s">
        <v>13</v>
      </c>
      <c r="F1013" s="1">
        <v>44665</v>
      </c>
      <c r="G1013" s="1">
        <v>46059</v>
      </c>
      <c r="H1013" t="s">
        <v>14</v>
      </c>
      <c r="I1013" s="2">
        <v>34713974</v>
      </c>
      <c r="J1013">
        <v>264048</v>
      </c>
      <c r="K1013" t="s">
        <v>15</v>
      </c>
      <c r="L1013" t="str">
        <f t="shared" si="45"/>
        <v>Available</v>
      </c>
      <c r="M1013">
        <f t="shared" si="46"/>
        <v>1</v>
      </c>
      <c r="N1013">
        <f t="shared" si="47"/>
        <v>1</v>
      </c>
    </row>
    <row r="1014" spans="1:14" x14ac:dyDescent="0.35">
      <c r="A1014" t="s">
        <v>2570</v>
      </c>
      <c r="B1014" t="s">
        <v>598</v>
      </c>
      <c r="C1014" t="s">
        <v>1330</v>
      </c>
      <c r="F1014" s="1">
        <v>44497</v>
      </c>
      <c r="G1014" s="1">
        <v>46059</v>
      </c>
      <c r="H1014" t="s">
        <v>14</v>
      </c>
      <c r="I1014" t="s">
        <v>2778</v>
      </c>
      <c r="J1014">
        <v>264338</v>
      </c>
      <c r="K1014" t="s">
        <v>30</v>
      </c>
      <c r="L1014" t="str">
        <f t="shared" si="45"/>
        <v>Available</v>
      </c>
      <c r="M1014">
        <f t="shared" si="46"/>
        <v>0</v>
      </c>
      <c r="N1014">
        <f t="shared" si="47"/>
        <v>1</v>
      </c>
    </row>
    <row r="1015" spans="1:14" x14ac:dyDescent="0.35">
      <c r="A1015" t="s">
        <v>2571</v>
      </c>
      <c r="B1015" t="s">
        <v>58</v>
      </c>
      <c r="C1015" t="s">
        <v>1331</v>
      </c>
      <c r="D1015">
        <v>24</v>
      </c>
      <c r="E1015" t="s">
        <v>13</v>
      </c>
      <c r="F1015" s="1">
        <v>44497</v>
      </c>
      <c r="G1015" s="1">
        <v>46059</v>
      </c>
      <c r="H1015" t="s">
        <v>14</v>
      </c>
      <c r="I1015" s="2">
        <v>98538</v>
      </c>
      <c r="J1015">
        <v>266366</v>
      </c>
      <c r="K1015" t="s">
        <v>15</v>
      </c>
      <c r="L1015" t="str">
        <f t="shared" si="45"/>
        <v>Available</v>
      </c>
      <c r="M1015">
        <f t="shared" si="46"/>
        <v>1</v>
      </c>
      <c r="N1015">
        <f t="shared" si="47"/>
        <v>1</v>
      </c>
    </row>
    <row r="1016" spans="1:14" x14ac:dyDescent="0.35">
      <c r="A1016" t="s">
        <v>2572</v>
      </c>
      <c r="B1016" t="s">
        <v>1333</v>
      </c>
      <c r="C1016" t="s">
        <v>1332</v>
      </c>
      <c r="D1016">
        <v>25.5</v>
      </c>
      <c r="E1016" t="s">
        <v>13</v>
      </c>
      <c r="F1016" s="1">
        <v>44500</v>
      </c>
      <c r="G1016" s="1">
        <v>46054</v>
      </c>
      <c r="H1016" t="s">
        <v>14</v>
      </c>
      <c r="I1016" s="2">
        <v>228678</v>
      </c>
      <c r="J1016">
        <v>266509</v>
      </c>
      <c r="K1016" t="s">
        <v>15</v>
      </c>
      <c r="L1016" t="str">
        <f t="shared" si="45"/>
        <v>Available</v>
      </c>
      <c r="M1016">
        <f t="shared" si="46"/>
        <v>1</v>
      </c>
      <c r="N1016">
        <f t="shared" si="47"/>
        <v>1</v>
      </c>
    </row>
    <row r="1017" spans="1:14" x14ac:dyDescent="0.35">
      <c r="A1017" t="s">
        <v>2573</v>
      </c>
      <c r="B1017" t="s">
        <v>575</v>
      </c>
      <c r="C1017" t="s">
        <v>1334</v>
      </c>
      <c r="D1017">
        <v>25</v>
      </c>
      <c r="E1017" t="s">
        <v>13</v>
      </c>
      <c r="F1017" s="1">
        <v>44500</v>
      </c>
      <c r="G1017" s="1">
        <v>46059</v>
      </c>
      <c r="H1017" t="s">
        <v>14</v>
      </c>
      <c r="I1017" s="2">
        <v>138169</v>
      </c>
      <c r="J1017">
        <v>267047</v>
      </c>
      <c r="K1017" t="s">
        <v>15</v>
      </c>
      <c r="L1017" t="str">
        <f t="shared" si="45"/>
        <v>Available</v>
      </c>
      <c r="M1017">
        <f t="shared" si="46"/>
        <v>1</v>
      </c>
      <c r="N1017">
        <f t="shared" si="47"/>
        <v>1</v>
      </c>
    </row>
    <row r="1018" spans="1:14" x14ac:dyDescent="0.35">
      <c r="A1018" t="s">
        <v>2574</v>
      </c>
      <c r="B1018" t="s">
        <v>1336</v>
      </c>
      <c r="C1018" t="s">
        <v>1335</v>
      </c>
      <c r="D1018">
        <v>24.007574000000002</v>
      </c>
      <c r="E1018" t="s">
        <v>35</v>
      </c>
      <c r="F1018" s="1">
        <v>45981</v>
      </c>
      <c r="G1018" s="1">
        <v>46058</v>
      </c>
      <c r="H1018" t="s">
        <v>14</v>
      </c>
      <c r="I1018" t="s">
        <v>2778</v>
      </c>
      <c r="J1018">
        <v>261710</v>
      </c>
      <c r="K1018" t="s">
        <v>30</v>
      </c>
      <c r="L1018" t="str">
        <f t="shared" si="45"/>
        <v>Available</v>
      </c>
      <c r="M1018">
        <f t="shared" si="46"/>
        <v>0</v>
      </c>
      <c r="N1018">
        <f t="shared" si="47"/>
        <v>1</v>
      </c>
    </row>
    <row r="1019" spans="1:14" x14ac:dyDescent="0.35">
      <c r="A1019" t="s">
        <v>2575</v>
      </c>
      <c r="B1019" t="s">
        <v>402</v>
      </c>
      <c r="C1019" t="s">
        <v>1337</v>
      </c>
      <c r="D1019">
        <v>24</v>
      </c>
      <c r="E1019" t="s">
        <v>13</v>
      </c>
      <c r="F1019" s="1">
        <v>44497</v>
      </c>
      <c r="G1019" s="1">
        <v>46059</v>
      </c>
      <c r="H1019" t="s">
        <v>14</v>
      </c>
      <c r="I1019" s="2">
        <v>91490</v>
      </c>
      <c r="J1019">
        <v>261775</v>
      </c>
      <c r="K1019" t="s">
        <v>15</v>
      </c>
      <c r="L1019" t="str">
        <f t="shared" si="45"/>
        <v>Available</v>
      </c>
      <c r="M1019">
        <f t="shared" si="46"/>
        <v>1</v>
      </c>
      <c r="N1019">
        <f t="shared" si="47"/>
        <v>1</v>
      </c>
    </row>
    <row r="1020" spans="1:14" x14ac:dyDescent="0.35">
      <c r="A1020" t="s">
        <v>2576</v>
      </c>
      <c r="B1020" t="s">
        <v>1339</v>
      </c>
      <c r="C1020" t="s">
        <v>1338</v>
      </c>
      <c r="D1020">
        <v>24</v>
      </c>
      <c r="E1020" t="s">
        <v>13</v>
      </c>
      <c r="F1020" s="1">
        <v>44497</v>
      </c>
      <c r="G1020" s="1">
        <v>46059</v>
      </c>
      <c r="H1020" t="s">
        <v>14</v>
      </c>
      <c r="I1020" s="2">
        <v>17316065</v>
      </c>
      <c r="J1020">
        <v>266493</v>
      </c>
      <c r="K1020" t="s">
        <v>15</v>
      </c>
      <c r="L1020" t="str">
        <f t="shared" si="45"/>
        <v>Available</v>
      </c>
      <c r="M1020">
        <f t="shared" si="46"/>
        <v>1</v>
      </c>
      <c r="N1020">
        <f t="shared" si="47"/>
        <v>1</v>
      </c>
    </row>
    <row r="1021" spans="1:14" x14ac:dyDescent="0.35">
      <c r="A1021" t="s">
        <v>2577</v>
      </c>
      <c r="B1021" t="s">
        <v>615</v>
      </c>
      <c r="C1021" t="s">
        <v>1340</v>
      </c>
      <c r="D1021">
        <v>24</v>
      </c>
      <c r="E1021" t="s">
        <v>13</v>
      </c>
      <c r="F1021" s="1">
        <v>45085</v>
      </c>
      <c r="G1021" s="1">
        <v>46059</v>
      </c>
      <c r="H1021" t="s">
        <v>14</v>
      </c>
      <c r="I1021" s="2">
        <v>30517044</v>
      </c>
      <c r="J1021">
        <v>261874</v>
      </c>
      <c r="K1021" t="s">
        <v>15</v>
      </c>
      <c r="L1021" t="str">
        <f t="shared" si="45"/>
        <v>Available</v>
      </c>
      <c r="M1021">
        <f t="shared" si="46"/>
        <v>1</v>
      </c>
      <c r="N1021">
        <f t="shared" si="47"/>
        <v>1</v>
      </c>
    </row>
    <row r="1022" spans="1:14" x14ac:dyDescent="0.35">
      <c r="A1022" t="s">
        <v>2578</v>
      </c>
      <c r="B1022" t="s">
        <v>485</v>
      </c>
      <c r="C1022" t="s">
        <v>1341</v>
      </c>
      <c r="D1022">
        <v>24</v>
      </c>
      <c r="E1022" t="s">
        <v>13</v>
      </c>
      <c r="F1022" s="1">
        <v>44497</v>
      </c>
      <c r="G1022" s="1">
        <v>46059</v>
      </c>
      <c r="H1022" t="s">
        <v>14</v>
      </c>
      <c r="I1022" s="2">
        <v>24727950</v>
      </c>
      <c r="J1022">
        <v>266419</v>
      </c>
      <c r="K1022" t="s">
        <v>15</v>
      </c>
      <c r="L1022" t="str">
        <f t="shared" si="45"/>
        <v>Available</v>
      </c>
      <c r="M1022">
        <f t="shared" si="46"/>
        <v>1</v>
      </c>
      <c r="N1022">
        <f t="shared" si="47"/>
        <v>1</v>
      </c>
    </row>
    <row r="1023" spans="1:14" x14ac:dyDescent="0.35">
      <c r="A1023" t="s">
        <v>2579</v>
      </c>
      <c r="B1023" t="s">
        <v>103</v>
      </c>
      <c r="C1023" t="s">
        <v>1342</v>
      </c>
      <c r="D1023">
        <v>16</v>
      </c>
      <c r="E1023" t="s">
        <v>13</v>
      </c>
      <c r="F1023" s="1">
        <v>45653</v>
      </c>
      <c r="G1023" s="1">
        <v>46059</v>
      </c>
      <c r="H1023" t="s">
        <v>14</v>
      </c>
      <c r="I1023" s="2">
        <v>56340269</v>
      </c>
      <c r="J1023">
        <v>262604</v>
      </c>
      <c r="K1023" t="s">
        <v>15</v>
      </c>
      <c r="L1023" t="str">
        <f t="shared" si="45"/>
        <v>Available</v>
      </c>
      <c r="M1023">
        <f t="shared" si="46"/>
        <v>1</v>
      </c>
      <c r="N1023">
        <f t="shared" si="47"/>
        <v>1</v>
      </c>
    </row>
    <row r="1024" spans="1:14" x14ac:dyDescent="0.35">
      <c r="A1024" t="s">
        <v>2580</v>
      </c>
      <c r="B1024" t="s">
        <v>1333</v>
      </c>
      <c r="C1024" t="s">
        <v>1343</v>
      </c>
      <c r="D1024">
        <v>25.5</v>
      </c>
      <c r="E1024" t="s">
        <v>13</v>
      </c>
      <c r="F1024" s="1">
        <v>44500</v>
      </c>
      <c r="G1024" s="1">
        <v>45961</v>
      </c>
      <c r="H1024" t="s">
        <v>14</v>
      </c>
      <c r="I1024" s="2">
        <v>227976</v>
      </c>
      <c r="J1024">
        <v>266428</v>
      </c>
      <c r="K1024" t="s">
        <v>15</v>
      </c>
      <c r="L1024" t="str">
        <f t="shared" si="45"/>
        <v>Available</v>
      </c>
      <c r="M1024">
        <f t="shared" si="46"/>
        <v>1</v>
      </c>
      <c r="N1024">
        <f t="shared" si="47"/>
        <v>1</v>
      </c>
    </row>
    <row r="1025" spans="1:14" x14ac:dyDescent="0.35">
      <c r="A1025" t="s">
        <v>2581</v>
      </c>
      <c r="B1025" t="s">
        <v>186</v>
      </c>
      <c r="C1025" t="s">
        <v>1344</v>
      </c>
      <c r="D1025">
        <v>24</v>
      </c>
      <c r="E1025" t="s">
        <v>13</v>
      </c>
      <c r="F1025" s="1">
        <v>44497</v>
      </c>
      <c r="G1025" s="1">
        <v>46059</v>
      </c>
      <c r="H1025" t="s">
        <v>14</v>
      </c>
      <c r="I1025" s="2">
        <v>91463</v>
      </c>
      <c r="J1025">
        <v>264720</v>
      </c>
      <c r="K1025" t="s">
        <v>15</v>
      </c>
      <c r="L1025" t="str">
        <f t="shared" si="45"/>
        <v>Available</v>
      </c>
      <c r="M1025">
        <f t="shared" si="46"/>
        <v>1</v>
      </c>
      <c r="N1025">
        <f t="shared" si="47"/>
        <v>1</v>
      </c>
    </row>
    <row r="1026" spans="1:14" x14ac:dyDescent="0.35">
      <c r="A1026" t="s">
        <v>2582</v>
      </c>
      <c r="B1026" t="s">
        <v>348</v>
      </c>
      <c r="C1026" t="s">
        <v>1345</v>
      </c>
      <c r="D1026">
        <v>66</v>
      </c>
      <c r="E1026" t="s">
        <v>13</v>
      </c>
      <c r="F1026" s="1">
        <v>44497</v>
      </c>
      <c r="G1026" s="1">
        <v>46060</v>
      </c>
      <c r="H1026" t="s">
        <v>14</v>
      </c>
      <c r="I1026" s="2">
        <v>77099</v>
      </c>
      <c r="J1026">
        <v>264640</v>
      </c>
      <c r="K1026" t="s">
        <v>15</v>
      </c>
      <c r="L1026" t="str">
        <f t="shared" si="45"/>
        <v>Available</v>
      </c>
      <c r="M1026">
        <f t="shared" si="46"/>
        <v>1</v>
      </c>
      <c r="N1026">
        <f t="shared" si="47"/>
        <v>1</v>
      </c>
    </row>
    <row r="1027" spans="1:14" x14ac:dyDescent="0.35">
      <c r="A1027" t="s">
        <v>2583</v>
      </c>
      <c r="B1027" t="s">
        <v>147</v>
      </c>
      <c r="C1027" t="s">
        <v>1346</v>
      </c>
      <c r="D1027">
        <v>24</v>
      </c>
      <c r="E1027" t="s">
        <v>13</v>
      </c>
      <c r="F1027" s="1">
        <v>44497</v>
      </c>
      <c r="G1027" s="1">
        <v>46059</v>
      </c>
      <c r="H1027" t="s">
        <v>14</v>
      </c>
      <c r="I1027" s="2">
        <v>23897839</v>
      </c>
      <c r="J1027">
        <v>266324</v>
      </c>
      <c r="K1027" t="s">
        <v>15</v>
      </c>
      <c r="L1027" t="str">
        <f t="shared" ref="L1027:L1090" si="48">IF(OR(B1027="",ISBLANK(B1027)),"Missing","Available")</f>
        <v>Available</v>
      </c>
      <c r="M1027">
        <f t="shared" ref="M1027:M1090" si="49">IF(K1027="Mapped",1,0)</f>
        <v>1</v>
      </c>
      <c r="N1027">
        <f t="shared" ref="N1027:N1090" si="50">IF(AND(B1027&lt;&gt;"",A1027&lt;&gt;""),1,0)</f>
        <v>1</v>
      </c>
    </row>
    <row r="1028" spans="1:14" x14ac:dyDescent="0.35">
      <c r="A1028" t="s">
        <v>2584</v>
      </c>
      <c r="B1028" t="s">
        <v>71</v>
      </c>
      <c r="C1028" t="s">
        <v>1347</v>
      </c>
      <c r="D1028">
        <v>24</v>
      </c>
      <c r="E1028" t="s">
        <v>13</v>
      </c>
      <c r="F1028" s="1">
        <v>44497</v>
      </c>
      <c r="G1028" s="1">
        <v>46060</v>
      </c>
      <c r="H1028" t="s">
        <v>14</v>
      </c>
      <c r="I1028" s="2">
        <v>18593074</v>
      </c>
      <c r="J1028">
        <v>261520</v>
      </c>
      <c r="K1028" t="s">
        <v>15</v>
      </c>
      <c r="L1028" t="str">
        <f t="shared" si="48"/>
        <v>Available</v>
      </c>
      <c r="M1028">
        <f t="shared" si="49"/>
        <v>1</v>
      </c>
      <c r="N1028">
        <f t="shared" si="50"/>
        <v>1</v>
      </c>
    </row>
    <row r="1029" spans="1:14" x14ac:dyDescent="0.35">
      <c r="A1029" t="s">
        <v>2585</v>
      </c>
      <c r="B1029" t="s">
        <v>961</v>
      </c>
      <c r="C1029" t="s">
        <v>1348</v>
      </c>
      <c r="D1029">
        <v>24.3</v>
      </c>
      <c r="E1029" t="s">
        <v>13</v>
      </c>
      <c r="F1029" s="1">
        <v>44497</v>
      </c>
      <c r="G1029" s="1">
        <v>46059</v>
      </c>
      <c r="H1029" t="s">
        <v>14</v>
      </c>
      <c r="I1029" s="2">
        <v>17457609</v>
      </c>
      <c r="J1029">
        <v>264543</v>
      </c>
      <c r="K1029" t="s">
        <v>15</v>
      </c>
      <c r="L1029" t="str">
        <f t="shared" si="48"/>
        <v>Available</v>
      </c>
      <c r="M1029">
        <f t="shared" si="49"/>
        <v>1</v>
      </c>
      <c r="N1029">
        <f t="shared" si="50"/>
        <v>1</v>
      </c>
    </row>
    <row r="1030" spans="1:14" x14ac:dyDescent="0.35">
      <c r="A1030" t="s">
        <v>2586</v>
      </c>
      <c r="B1030" t="s">
        <v>259</v>
      </c>
      <c r="C1030" t="s">
        <v>1349</v>
      </c>
      <c r="D1030">
        <v>24</v>
      </c>
      <c r="E1030" t="s">
        <v>13</v>
      </c>
      <c r="F1030" s="1">
        <v>44497</v>
      </c>
      <c r="G1030" s="1">
        <v>46059</v>
      </c>
      <c r="H1030" t="s">
        <v>14</v>
      </c>
      <c r="I1030" s="2">
        <v>143289</v>
      </c>
      <c r="J1030">
        <v>264140</v>
      </c>
      <c r="K1030" t="s">
        <v>15</v>
      </c>
      <c r="L1030" t="str">
        <f t="shared" si="48"/>
        <v>Available</v>
      </c>
      <c r="M1030">
        <f t="shared" si="49"/>
        <v>1</v>
      </c>
      <c r="N1030">
        <f t="shared" si="50"/>
        <v>1</v>
      </c>
    </row>
    <row r="1031" spans="1:14" x14ac:dyDescent="0.35">
      <c r="A1031" t="s">
        <v>2587</v>
      </c>
      <c r="B1031" t="s">
        <v>96</v>
      </c>
      <c r="C1031" t="s">
        <v>1350</v>
      </c>
      <c r="D1031">
        <v>23.5</v>
      </c>
      <c r="E1031" t="s">
        <v>13</v>
      </c>
      <c r="F1031" s="1">
        <v>44497</v>
      </c>
      <c r="G1031" s="1">
        <v>46059</v>
      </c>
      <c r="H1031" t="s">
        <v>14</v>
      </c>
      <c r="I1031" s="2">
        <v>118422</v>
      </c>
      <c r="J1031">
        <v>261820</v>
      </c>
      <c r="K1031" t="s">
        <v>15</v>
      </c>
      <c r="L1031" t="str">
        <f t="shared" si="48"/>
        <v>Available</v>
      </c>
      <c r="M1031">
        <f t="shared" si="49"/>
        <v>1</v>
      </c>
      <c r="N1031">
        <f t="shared" si="50"/>
        <v>1</v>
      </c>
    </row>
    <row r="1032" spans="1:14" x14ac:dyDescent="0.35">
      <c r="A1032" t="s">
        <v>2588</v>
      </c>
      <c r="B1032" t="s">
        <v>23</v>
      </c>
      <c r="C1032" t="s">
        <v>1351</v>
      </c>
      <c r="D1032">
        <v>23.25</v>
      </c>
      <c r="E1032" t="s">
        <v>13</v>
      </c>
      <c r="F1032" s="1">
        <v>45049</v>
      </c>
      <c r="G1032" s="1">
        <v>46057</v>
      </c>
      <c r="H1032" t="s">
        <v>14</v>
      </c>
      <c r="I1032" s="2">
        <v>29474934</v>
      </c>
      <c r="J1032">
        <v>266394</v>
      </c>
      <c r="K1032" t="s">
        <v>15</v>
      </c>
      <c r="L1032" t="str">
        <f t="shared" si="48"/>
        <v>Available</v>
      </c>
      <c r="M1032">
        <f t="shared" si="49"/>
        <v>1</v>
      </c>
      <c r="N1032">
        <f t="shared" si="50"/>
        <v>1</v>
      </c>
    </row>
    <row r="1033" spans="1:14" x14ac:dyDescent="0.35">
      <c r="A1033" t="s">
        <v>2589</v>
      </c>
      <c r="B1033" t="s">
        <v>158</v>
      </c>
      <c r="C1033" t="s">
        <v>1010</v>
      </c>
      <c r="D1033">
        <v>25</v>
      </c>
      <c r="E1033" t="s">
        <v>13</v>
      </c>
      <c r="F1033" s="1">
        <v>44501</v>
      </c>
      <c r="G1033" s="1">
        <v>46057</v>
      </c>
      <c r="H1033" t="s">
        <v>14</v>
      </c>
      <c r="I1033" s="2">
        <v>80811</v>
      </c>
      <c r="J1033">
        <v>264465</v>
      </c>
      <c r="K1033" t="s">
        <v>15</v>
      </c>
      <c r="L1033" t="str">
        <f t="shared" si="48"/>
        <v>Available</v>
      </c>
      <c r="M1033">
        <f t="shared" si="49"/>
        <v>1</v>
      </c>
      <c r="N1033">
        <f t="shared" si="50"/>
        <v>1</v>
      </c>
    </row>
    <row r="1034" spans="1:14" x14ac:dyDescent="0.35">
      <c r="A1034" t="s">
        <v>2590</v>
      </c>
      <c r="B1034" t="s">
        <v>527</v>
      </c>
      <c r="C1034" t="s">
        <v>1352</v>
      </c>
      <c r="D1034">
        <v>24</v>
      </c>
      <c r="E1034" t="s">
        <v>13</v>
      </c>
      <c r="F1034" s="1">
        <v>44497</v>
      </c>
      <c r="G1034" s="1">
        <v>46058</v>
      </c>
      <c r="H1034" t="s">
        <v>14</v>
      </c>
      <c r="I1034" s="2">
        <v>3242669</v>
      </c>
      <c r="J1034">
        <v>266917</v>
      </c>
      <c r="K1034" t="s">
        <v>15</v>
      </c>
      <c r="L1034" t="str">
        <f t="shared" si="48"/>
        <v>Available</v>
      </c>
      <c r="M1034">
        <f t="shared" si="49"/>
        <v>1</v>
      </c>
      <c r="N1034">
        <f t="shared" si="50"/>
        <v>1</v>
      </c>
    </row>
    <row r="1035" spans="1:14" x14ac:dyDescent="0.35">
      <c r="A1035" t="s">
        <v>2591</v>
      </c>
      <c r="B1035" t="s">
        <v>348</v>
      </c>
      <c r="C1035" t="s">
        <v>1353</v>
      </c>
      <c r="D1035">
        <v>24</v>
      </c>
      <c r="E1035" t="s">
        <v>13</v>
      </c>
      <c r="F1035" s="1">
        <v>44497</v>
      </c>
      <c r="G1035" s="1">
        <v>46059</v>
      </c>
      <c r="H1035" t="s">
        <v>14</v>
      </c>
      <c r="I1035" s="2">
        <v>77114</v>
      </c>
      <c r="J1035">
        <v>262207</v>
      </c>
      <c r="K1035" t="s">
        <v>15</v>
      </c>
      <c r="L1035" t="str">
        <f t="shared" si="48"/>
        <v>Available</v>
      </c>
      <c r="M1035">
        <f t="shared" si="49"/>
        <v>1</v>
      </c>
      <c r="N1035">
        <f t="shared" si="50"/>
        <v>1</v>
      </c>
    </row>
    <row r="1036" spans="1:14" x14ac:dyDescent="0.35">
      <c r="A1036" t="s">
        <v>2592</v>
      </c>
      <c r="B1036" t="s">
        <v>242</v>
      </c>
      <c r="C1036" t="s">
        <v>1354</v>
      </c>
      <c r="D1036">
        <v>32</v>
      </c>
      <c r="E1036" t="s">
        <v>13</v>
      </c>
      <c r="F1036" s="1">
        <v>44500</v>
      </c>
      <c r="G1036" s="1">
        <v>46059</v>
      </c>
      <c r="H1036" t="s">
        <v>14</v>
      </c>
      <c r="I1036" s="2">
        <v>226644</v>
      </c>
      <c r="J1036">
        <v>267110</v>
      </c>
      <c r="K1036" t="s">
        <v>15</v>
      </c>
      <c r="L1036" t="str">
        <f t="shared" si="48"/>
        <v>Available</v>
      </c>
      <c r="M1036">
        <f t="shared" si="49"/>
        <v>1</v>
      </c>
      <c r="N1036">
        <f t="shared" si="50"/>
        <v>1</v>
      </c>
    </row>
    <row r="1037" spans="1:14" x14ac:dyDescent="0.35">
      <c r="A1037" t="s">
        <v>2593</v>
      </c>
      <c r="B1037" t="s">
        <v>123</v>
      </c>
      <c r="C1037" t="s">
        <v>1355</v>
      </c>
      <c r="D1037">
        <v>23.75</v>
      </c>
      <c r="E1037" t="s">
        <v>13</v>
      </c>
      <c r="F1037" s="1">
        <v>44497</v>
      </c>
      <c r="G1037" s="1">
        <v>46060</v>
      </c>
      <c r="H1037" t="s">
        <v>14</v>
      </c>
      <c r="I1037" s="2">
        <v>207543</v>
      </c>
      <c r="J1037">
        <v>261568</v>
      </c>
      <c r="K1037" t="s">
        <v>15</v>
      </c>
      <c r="L1037" t="str">
        <f t="shared" si="48"/>
        <v>Available</v>
      </c>
      <c r="M1037">
        <f t="shared" si="49"/>
        <v>1</v>
      </c>
      <c r="N1037">
        <f t="shared" si="50"/>
        <v>1</v>
      </c>
    </row>
    <row r="1038" spans="1:14" x14ac:dyDescent="0.35">
      <c r="A1038" t="s">
        <v>2594</v>
      </c>
      <c r="B1038" t="s">
        <v>58</v>
      </c>
      <c r="C1038" t="s">
        <v>1356</v>
      </c>
      <c r="D1038">
        <v>24</v>
      </c>
      <c r="E1038" t="s">
        <v>13</v>
      </c>
      <c r="F1038" s="1">
        <v>44497</v>
      </c>
      <c r="G1038" s="1">
        <v>46058</v>
      </c>
      <c r="H1038" t="s">
        <v>14</v>
      </c>
      <c r="I1038" s="2">
        <v>125442</v>
      </c>
      <c r="J1038">
        <v>261875</v>
      </c>
      <c r="K1038" t="s">
        <v>15</v>
      </c>
      <c r="L1038" t="str">
        <f t="shared" si="48"/>
        <v>Available</v>
      </c>
      <c r="M1038">
        <f t="shared" si="49"/>
        <v>1</v>
      </c>
      <c r="N1038">
        <f t="shared" si="50"/>
        <v>1</v>
      </c>
    </row>
    <row r="1039" spans="1:14" x14ac:dyDescent="0.35">
      <c r="A1039" t="s">
        <v>2595</v>
      </c>
      <c r="B1039" t="s">
        <v>1358</v>
      </c>
      <c r="C1039" t="s">
        <v>1357</v>
      </c>
      <c r="D1039">
        <v>15</v>
      </c>
      <c r="E1039" t="s">
        <v>13</v>
      </c>
      <c r="F1039" s="1">
        <v>44497</v>
      </c>
      <c r="G1039" s="1">
        <v>46059</v>
      </c>
      <c r="H1039" t="s">
        <v>14</v>
      </c>
      <c r="I1039" s="2">
        <v>73909</v>
      </c>
      <c r="J1039">
        <v>262624</v>
      </c>
      <c r="K1039" t="s">
        <v>15</v>
      </c>
      <c r="L1039" t="str">
        <f t="shared" si="48"/>
        <v>Available</v>
      </c>
      <c r="M1039">
        <f t="shared" si="49"/>
        <v>1</v>
      </c>
      <c r="N1039">
        <f t="shared" si="50"/>
        <v>1</v>
      </c>
    </row>
    <row r="1040" spans="1:14" x14ac:dyDescent="0.35">
      <c r="A1040" t="s">
        <v>2596</v>
      </c>
      <c r="B1040" t="s">
        <v>1360</v>
      </c>
      <c r="C1040" t="s">
        <v>1359</v>
      </c>
      <c r="D1040">
        <v>24</v>
      </c>
      <c r="E1040" t="s">
        <v>13</v>
      </c>
      <c r="F1040" s="1">
        <v>44500</v>
      </c>
      <c r="G1040" s="1">
        <v>46058</v>
      </c>
      <c r="H1040" t="s">
        <v>14</v>
      </c>
      <c r="I1040" s="2">
        <v>288575</v>
      </c>
      <c r="J1040">
        <v>261491</v>
      </c>
      <c r="K1040" t="s">
        <v>15</v>
      </c>
      <c r="L1040" t="str">
        <f t="shared" si="48"/>
        <v>Available</v>
      </c>
      <c r="M1040">
        <f t="shared" si="49"/>
        <v>1</v>
      </c>
      <c r="N1040">
        <f t="shared" si="50"/>
        <v>1</v>
      </c>
    </row>
    <row r="1041" spans="1:14" x14ac:dyDescent="0.35">
      <c r="A1041" t="s">
        <v>2597</v>
      </c>
      <c r="C1041" t="s">
        <v>1361</v>
      </c>
      <c r="D1041">
        <v>17.600000000000001</v>
      </c>
      <c r="E1041" t="s">
        <v>13</v>
      </c>
      <c r="F1041" s="1">
        <v>44500</v>
      </c>
      <c r="G1041" s="1">
        <v>46059</v>
      </c>
      <c r="H1041" t="s">
        <v>14</v>
      </c>
      <c r="I1041" t="s">
        <v>2778</v>
      </c>
      <c r="J1041">
        <v>266296</v>
      </c>
      <c r="K1041" t="s">
        <v>30</v>
      </c>
      <c r="L1041" t="str">
        <f t="shared" si="48"/>
        <v>Missing</v>
      </c>
      <c r="M1041">
        <f t="shared" si="49"/>
        <v>0</v>
      </c>
      <c r="N1041">
        <f t="shared" si="50"/>
        <v>0</v>
      </c>
    </row>
    <row r="1042" spans="1:14" x14ac:dyDescent="0.35">
      <c r="A1042" t="s">
        <v>2598</v>
      </c>
      <c r="B1042" t="s">
        <v>75</v>
      </c>
      <c r="C1042" t="s">
        <v>1362</v>
      </c>
      <c r="D1042">
        <v>14</v>
      </c>
      <c r="E1042" t="s">
        <v>13</v>
      </c>
      <c r="F1042" s="1">
        <v>45347</v>
      </c>
      <c r="G1042" s="1">
        <v>46048</v>
      </c>
      <c r="H1042" t="s">
        <v>14</v>
      </c>
      <c r="I1042" s="2">
        <v>42887395</v>
      </c>
      <c r="J1042">
        <v>264417</v>
      </c>
      <c r="K1042" t="s">
        <v>15</v>
      </c>
      <c r="L1042" t="str">
        <f t="shared" si="48"/>
        <v>Available</v>
      </c>
      <c r="M1042">
        <f t="shared" si="49"/>
        <v>1</v>
      </c>
      <c r="N1042">
        <f t="shared" si="50"/>
        <v>1</v>
      </c>
    </row>
    <row r="1043" spans="1:14" x14ac:dyDescent="0.35">
      <c r="A1043" t="s">
        <v>2599</v>
      </c>
      <c r="B1043" t="s">
        <v>129</v>
      </c>
      <c r="C1043" t="s">
        <v>1363</v>
      </c>
      <c r="D1043">
        <v>25</v>
      </c>
      <c r="E1043" t="s">
        <v>13</v>
      </c>
      <c r="F1043" s="1">
        <v>44497</v>
      </c>
      <c r="G1043" s="1">
        <v>46057</v>
      </c>
      <c r="H1043" t="s">
        <v>14</v>
      </c>
      <c r="I1043" s="2">
        <v>2183191</v>
      </c>
      <c r="J1043">
        <v>266303</v>
      </c>
      <c r="K1043" t="s">
        <v>15</v>
      </c>
      <c r="L1043" t="str">
        <f t="shared" si="48"/>
        <v>Available</v>
      </c>
      <c r="M1043">
        <f t="shared" si="49"/>
        <v>1</v>
      </c>
      <c r="N1043">
        <f t="shared" si="50"/>
        <v>1</v>
      </c>
    </row>
    <row r="1044" spans="1:14" x14ac:dyDescent="0.35">
      <c r="A1044" t="s">
        <v>2600</v>
      </c>
      <c r="B1044" t="s">
        <v>58</v>
      </c>
      <c r="C1044" t="s">
        <v>1364</v>
      </c>
      <c r="D1044">
        <v>20.288091000000001</v>
      </c>
      <c r="E1044" t="s">
        <v>35</v>
      </c>
      <c r="F1044" s="1">
        <v>45631</v>
      </c>
      <c r="G1044" s="1">
        <v>46058</v>
      </c>
      <c r="H1044" t="s">
        <v>14</v>
      </c>
      <c r="I1044" t="s">
        <v>2778</v>
      </c>
      <c r="J1044">
        <v>266959</v>
      </c>
      <c r="K1044" t="s">
        <v>30</v>
      </c>
      <c r="L1044" t="str">
        <f t="shared" si="48"/>
        <v>Available</v>
      </c>
      <c r="M1044">
        <f t="shared" si="49"/>
        <v>0</v>
      </c>
      <c r="N1044">
        <f t="shared" si="50"/>
        <v>1</v>
      </c>
    </row>
    <row r="1045" spans="1:14" x14ac:dyDescent="0.35">
      <c r="A1045" t="s">
        <v>2601</v>
      </c>
      <c r="B1045" t="s">
        <v>103</v>
      </c>
      <c r="C1045" t="s">
        <v>1365</v>
      </c>
      <c r="D1045">
        <v>24</v>
      </c>
      <c r="E1045" t="s">
        <v>13</v>
      </c>
      <c r="F1045" s="1">
        <v>44500</v>
      </c>
      <c r="G1045" s="1">
        <v>46059</v>
      </c>
      <c r="H1045" t="s">
        <v>14</v>
      </c>
      <c r="I1045" t="s">
        <v>2778</v>
      </c>
      <c r="J1045">
        <v>261588</v>
      </c>
      <c r="K1045" t="s">
        <v>30</v>
      </c>
      <c r="L1045" t="str">
        <f t="shared" si="48"/>
        <v>Available</v>
      </c>
      <c r="M1045">
        <f t="shared" si="49"/>
        <v>0</v>
      </c>
      <c r="N1045">
        <f t="shared" si="50"/>
        <v>1</v>
      </c>
    </row>
    <row r="1046" spans="1:14" x14ac:dyDescent="0.35">
      <c r="A1046" t="s">
        <v>2602</v>
      </c>
      <c r="C1046" t="s">
        <v>1366</v>
      </c>
      <c r="D1046">
        <v>24</v>
      </c>
      <c r="E1046" t="s">
        <v>13</v>
      </c>
      <c r="F1046" s="1">
        <v>44607</v>
      </c>
      <c r="G1046" s="1">
        <v>45952</v>
      </c>
      <c r="H1046" t="s">
        <v>14</v>
      </c>
      <c r="I1046" t="s">
        <v>2778</v>
      </c>
      <c r="J1046">
        <v>264704</v>
      </c>
      <c r="K1046" t="s">
        <v>30</v>
      </c>
      <c r="L1046" t="str">
        <f t="shared" si="48"/>
        <v>Missing</v>
      </c>
      <c r="M1046">
        <f t="shared" si="49"/>
        <v>0</v>
      </c>
      <c r="N1046">
        <f t="shared" si="50"/>
        <v>0</v>
      </c>
    </row>
    <row r="1047" spans="1:14" x14ac:dyDescent="0.35">
      <c r="A1047" t="s">
        <v>2603</v>
      </c>
      <c r="B1047" t="s">
        <v>330</v>
      </c>
      <c r="C1047" t="s">
        <v>1367</v>
      </c>
      <c r="D1047">
        <v>19.399999999999999</v>
      </c>
      <c r="E1047" t="s">
        <v>13</v>
      </c>
      <c r="F1047" s="1">
        <v>45680</v>
      </c>
      <c r="G1047" s="1">
        <v>46059</v>
      </c>
      <c r="H1047" t="s">
        <v>14</v>
      </c>
      <c r="I1047" s="2">
        <v>59118033</v>
      </c>
      <c r="J1047">
        <v>261708</v>
      </c>
      <c r="K1047" t="s">
        <v>15</v>
      </c>
      <c r="L1047" t="str">
        <f t="shared" si="48"/>
        <v>Available</v>
      </c>
      <c r="M1047">
        <f t="shared" si="49"/>
        <v>1</v>
      </c>
      <c r="N1047">
        <f t="shared" si="50"/>
        <v>1</v>
      </c>
    </row>
    <row r="1048" spans="1:14" x14ac:dyDescent="0.35">
      <c r="A1048" t="s">
        <v>2604</v>
      </c>
      <c r="B1048" t="s">
        <v>1369</v>
      </c>
      <c r="C1048" t="s">
        <v>1368</v>
      </c>
      <c r="D1048">
        <v>24</v>
      </c>
      <c r="E1048" t="s">
        <v>13</v>
      </c>
      <c r="F1048" s="1">
        <v>44524</v>
      </c>
      <c r="G1048" s="1">
        <v>45859</v>
      </c>
      <c r="H1048" t="s">
        <v>14</v>
      </c>
      <c r="I1048" t="s">
        <v>2778</v>
      </c>
      <c r="J1048">
        <v>266846</v>
      </c>
      <c r="K1048" t="s">
        <v>30</v>
      </c>
      <c r="L1048" t="str">
        <f t="shared" si="48"/>
        <v>Available</v>
      </c>
      <c r="M1048">
        <f t="shared" si="49"/>
        <v>0</v>
      </c>
      <c r="N1048">
        <f t="shared" si="50"/>
        <v>1</v>
      </c>
    </row>
    <row r="1049" spans="1:14" x14ac:dyDescent="0.35">
      <c r="A1049" t="s">
        <v>2605</v>
      </c>
      <c r="B1049" t="s">
        <v>1360</v>
      </c>
      <c r="C1049" t="s">
        <v>1370</v>
      </c>
      <c r="D1049">
        <v>24</v>
      </c>
      <c r="E1049" t="s">
        <v>13</v>
      </c>
      <c r="F1049" s="1">
        <v>44500</v>
      </c>
      <c r="G1049" s="1">
        <v>46059</v>
      </c>
      <c r="H1049" t="s">
        <v>14</v>
      </c>
      <c r="I1049" s="2">
        <v>3321051</v>
      </c>
      <c r="J1049">
        <v>261841</v>
      </c>
      <c r="K1049" t="s">
        <v>15</v>
      </c>
      <c r="L1049" t="str">
        <f t="shared" si="48"/>
        <v>Available</v>
      </c>
      <c r="M1049">
        <f t="shared" si="49"/>
        <v>1</v>
      </c>
      <c r="N1049">
        <f t="shared" si="50"/>
        <v>1</v>
      </c>
    </row>
    <row r="1050" spans="1:14" x14ac:dyDescent="0.35">
      <c r="A1050" t="s">
        <v>2606</v>
      </c>
      <c r="B1050" t="s">
        <v>168</v>
      </c>
      <c r="C1050" t="s">
        <v>1371</v>
      </c>
      <c r="D1050">
        <v>2.5</v>
      </c>
      <c r="E1050" t="s">
        <v>13</v>
      </c>
      <c r="F1050" s="1">
        <v>44497</v>
      </c>
      <c r="G1050" s="1">
        <v>46059</v>
      </c>
      <c r="H1050" t="s">
        <v>14</v>
      </c>
      <c r="I1050" s="2">
        <v>20111494</v>
      </c>
      <c r="J1050">
        <v>266307</v>
      </c>
      <c r="K1050" t="s">
        <v>15</v>
      </c>
      <c r="L1050" t="str">
        <f t="shared" si="48"/>
        <v>Available</v>
      </c>
      <c r="M1050">
        <f t="shared" si="49"/>
        <v>1</v>
      </c>
      <c r="N1050">
        <f t="shared" si="50"/>
        <v>1</v>
      </c>
    </row>
    <row r="1051" spans="1:14" x14ac:dyDescent="0.35">
      <c r="A1051" t="s">
        <v>2607</v>
      </c>
      <c r="B1051" t="s">
        <v>961</v>
      </c>
      <c r="C1051" t="s">
        <v>1372</v>
      </c>
      <c r="D1051">
        <v>24.3</v>
      </c>
      <c r="E1051" t="s">
        <v>13</v>
      </c>
      <c r="F1051" s="1">
        <v>44497</v>
      </c>
      <c r="G1051" s="1">
        <v>46059</v>
      </c>
      <c r="H1051" t="s">
        <v>14</v>
      </c>
      <c r="I1051" s="2">
        <v>17457614</v>
      </c>
      <c r="J1051">
        <v>264083</v>
      </c>
      <c r="K1051" t="s">
        <v>15</v>
      </c>
      <c r="L1051" t="str">
        <f t="shared" si="48"/>
        <v>Available</v>
      </c>
      <c r="M1051">
        <f t="shared" si="49"/>
        <v>1</v>
      </c>
      <c r="N1051">
        <f t="shared" si="50"/>
        <v>1</v>
      </c>
    </row>
    <row r="1052" spans="1:14" x14ac:dyDescent="0.35">
      <c r="A1052" t="s">
        <v>2608</v>
      </c>
      <c r="B1052" t="s">
        <v>848</v>
      </c>
      <c r="C1052" t="s">
        <v>1373</v>
      </c>
      <c r="D1052">
        <v>45</v>
      </c>
      <c r="E1052" t="s">
        <v>13</v>
      </c>
      <c r="F1052" s="1">
        <v>44497</v>
      </c>
      <c r="G1052" s="1">
        <v>46060</v>
      </c>
      <c r="H1052" t="s">
        <v>14</v>
      </c>
      <c r="I1052" s="2">
        <v>77105</v>
      </c>
      <c r="J1052">
        <v>267086</v>
      </c>
      <c r="K1052" t="s">
        <v>15</v>
      </c>
      <c r="L1052" t="str">
        <f t="shared" si="48"/>
        <v>Available</v>
      </c>
      <c r="M1052">
        <f t="shared" si="49"/>
        <v>1</v>
      </c>
      <c r="N1052">
        <f t="shared" si="50"/>
        <v>1</v>
      </c>
    </row>
    <row r="1053" spans="1:14" x14ac:dyDescent="0.35">
      <c r="A1053" t="s">
        <v>2609</v>
      </c>
      <c r="B1053" t="s">
        <v>1375</v>
      </c>
      <c r="C1053" t="s">
        <v>1374</v>
      </c>
      <c r="D1053">
        <v>24</v>
      </c>
      <c r="E1053" t="s">
        <v>13</v>
      </c>
      <c r="F1053" s="1">
        <v>44497</v>
      </c>
      <c r="G1053" s="1">
        <v>46058</v>
      </c>
      <c r="H1053" t="s">
        <v>14</v>
      </c>
      <c r="I1053" s="2">
        <v>23801230</v>
      </c>
      <c r="J1053">
        <v>262191</v>
      </c>
      <c r="K1053" t="s">
        <v>15</v>
      </c>
      <c r="L1053" t="str">
        <f t="shared" si="48"/>
        <v>Available</v>
      </c>
      <c r="M1053">
        <f t="shared" si="49"/>
        <v>1</v>
      </c>
      <c r="N1053">
        <f t="shared" si="50"/>
        <v>1</v>
      </c>
    </row>
    <row r="1054" spans="1:14" x14ac:dyDescent="0.35">
      <c r="A1054" t="s">
        <v>2610</v>
      </c>
      <c r="B1054" t="s">
        <v>125</v>
      </c>
      <c r="C1054" t="s">
        <v>1376</v>
      </c>
      <c r="D1054">
        <v>25</v>
      </c>
      <c r="E1054" t="s">
        <v>13</v>
      </c>
      <c r="F1054" s="1">
        <v>44607</v>
      </c>
      <c r="G1054" s="1">
        <v>46059</v>
      </c>
      <c r="H1054" t="s">
        <v>14</v>
      </c>
      <c r="I1054" s="2">
        <v>27741062</v>
      </c>
      <c r="J1054">
        <v>267071</v>
      </c>
      <c r="K1054" t="s">
        <v>15</v>
      </c>
      <c r="L1054" t="str">
        <f t="shared" si="48"/>
        <v>Available</v>
      </c>
      <c r="M1054">
        <f t="shared" si="49"/>
        <v>1</v>
      </c>
      <c r="N1054">
        <f t="shared" si="50"/>
        <v>1</v>
      </c>
    </row>
    <row r="1055" spans="1:14" x14ac:dyDescent="0.35">
      <c r="A1055" t="s">
        <v>2611</v>
      </c>
      <c r="B1055" t="s">
        <v>238</v>
      </c>
      <c r="C1055" t="s">
        <v>1377</v>
      </c>
      <c r="D1055">
        <v>26</v>
      </c>
      <c r="E1055" t="s">
        <v>13</v>
      </c>
      <c r="F1055" s="1">
        <v>44497</v>
      </c>
      <c r="G1055" s="1">
        <v>46058</v>
      </c>
      <c r="H1055" t="s">
        <v>14</v>
      </c>
      <c r="I1055" s="2">
        <v>135699</v>
      </c>
      <c r="J1055">
        <v>266979</v>
      </c>
      <c r="K1055" t="s">
        <v>15</v>
      </c>
      <c r="L1055" t="str">
        <f t="shared" si="48"/>
        <v>Available</v>
      </c>
      <c r="M1055">
        <f t="shared" si="49"/>
        <v>1</v>
      </c>
      <c r="N1055">
        <f t="shared" si="50"/>
        <v>1</v>
      </c>
    </row>
    <row r="1056" spans="1:14" x14ac:dyDescent="0.35">
      <c r="A1056" t="s">
        <v>2612</v>
      </c>
      <c r="B1056" t="s">
        <v>1282</v>
      </c>
      <c r="C1056" t="s">
        <v>1378</v>
      </c>
      <c r="D1056">
        <v>32</v>
      </c>
      <c r="E1056" t="s">
        <v>13</v>
      </c>
      <c r="F1056" s="1">
        <v>44499</v>
      </c>
      <c r="G1056" s="1">
        <v>45744</v>
      </c>
      <c r="H1056" t="s">
        <v>14</v>
      </c>
      <c r="I1056" t="s">
        <v>2778</v>
      </c>
      <c r="J1056">
        <v>266449</v>
      </c>
      <c r="K1056" t="s">
        <v>30</v>
      </c>
      <c r="L1056" t="str">
        <f t="shared" si="48"/>
        <v>Available</v>
      </c>
      <c r="M1056">
        <f t="shared" si="49"/>
        <v>0</v>
      </c>
      <c r="N1056">
        <f t="shared" si="50"/>
        <v>1</v>
      </c>
    </row>
    <row r="1057" spans="1:14" x14ac:dyDescent="0.35">
      <c r="A1057" t="s">
        <v>2613</v>
      </c>
      <c r="B1057" t="s">
        <v>1020</v>
      </c>
      <c r="C1057" t="s">
        <v>1379</v>
      </c>
      <c r="D1057">
        <v>21.978764999999999</v>
      </c>
      <c r="E1057" t="s">
        <v>35</v>
      </c>
      <c r="F1057" s="1">
        <v>44497</v>
      </c>
      <c r="G1057" s="1">
        <v>46044</v>
      </c>
      <c r="H1057" t="s">
        <v>14</v>
      </c>
      <c r="I1057" t="s">
        <v>2778</v>
      </c>
      <c r="J1057">
        <v>261613</v>
      </c>
      <c r="K1057" t="s">
        <v>30</v>
      </c>
      <c r="L1057" t="str">
        <f t="shared" si="48"/>
        <v>Available</v>
      </c>
      <c r="M1057">
        <f t="shared" si="49"/>
        <v>0</v>
      </c>
      <c r="N1057">
        <f t="shared" si="50"/>
        <v>1</v>
      </c>
    </row>
    <row r="1058" spans="1:14" x14ac:dyDescent="0.35">
      <c r="A1058" t="s">
        <v>2614</v>
      </c>
      <c r="B1058" t="s">
        <v>1381</v>
      </c>
      <c r="C1058" t="s">
        <v>1380</v>
      </c>
      <c r="D1058">
        <v>25</v>
      </c>
      <c r="E1058" t="s">
        <v>13</v>
      </c>
      <c r="F1058" s="1">
        <v>44497</v>
      </c>
      <c r="G1058" s="1">
        <v>46059</v>
      </c>
      <c r="H1058" t="s">
        <v>14</v>
      </c>
      <c r="I1058" s="2">
        <v>73920</v>
      </c>
      <c r="J1058">
        <v>264197</v>
      </c>
      <c r="K1058" t="s">
        <v>15</v>
      </c>
      <c r="L1058" t="str">
        <f t="shared" si="48"/>
        <v>Available</v>
      </c>
      <c r="M1058">
        <f t="shared" si="49"/>
        <v>1</v>
      </c>
      <c r="N1058">
        <f t="shared" si="50"/>
        <v>1</v>
      </c>
    </row>
    <row r="1059" spans="1:14" x14ac:dyDescent="0.35">
      <c r="A1059" t="s">
        <v>2615</v>
      </c>
      <c r="B1059" t="s">
        <v>238</v>
      </c>
      <c r="C1059" t="s">
        <v>1382</v>
      </c>
      <c r="D1059">
        <v>24</v>
      </c>
      <c r="E1059" t="s">
        <v>13</v>
      </c>
      <c r="F1059" s="1">
        <v>44497</v>
      </c>
      <c r="G1059" s="1">
        <v>45859</v>
      </c>
      <c r="H1059" t="s">
        <v>14</v>
      </c>
      <c r="I1059" t="s">
        <v>2778</v>
      </c>
      <c r="J1059">
        <v>264101</v>
      </c>
      <c r="K1059" t="s">
        <v>30</v>
      </c>
      <c r="L1059" t="str">
        <f t="shared" si="48"/>
        <v>Available</v>
      </c>
      <c r="M1059">
        <f t="shared" si="49"/>
        <v>0</v>
      </c>
      <c r="N1059">
        <f t="shared" si="50"/>
        <v>1</v>
      </c>
    </row>
    <row r="1060" spans="1:14" x14ac:dyDescent="0.35">
      <c r="A1060" t="s">
        <v>2616</v>
      </c>
      <c r="B1060" t="s">
        <v>453</v>
      </c>
      <c r="C1060" t="s">
        <v>1383</v>
      </c>
      <c r="D1060">
        <v>24</v>
      </c>
      <c r="E1060" t="s">
        <v>13</v>
      </c>
      <c r="F1060" s="1">
        <v>44497</v>
      </c>
      <c r="G1060" s="1">
        <v>46059</v>
      </c>
      <c r="H1060" t="s">
        <v>14</v>
      </c>
      <c r="I1060" s="2">
        <v>143398</v>
      </c>
      <c r="J1060">
        <v>261609</v>
      </c>
      <c r="K1060" t="s">
        <v>15</v>
      </c>
      <c r="L1060" t="str">
        <f t="shared" si="48"/>
        <v>Available</v>
      </c>
      <c r="M1060">
        <f t="shared" si="49"/>
        <v>1</v>
      </c>
      <c r="N1060">
        <f t="shared" si="50"/>
        <v>1</v>
      </c>
    </row>
    <row r="1061" spans="1:14" x14ac:dyDescent="0.35">
      <c r="A1061" t="s">
        <v>2617</v>
      </c>
      <c r="B1061" t="s">
        <v>75</v>
      </c>
      <c r="C1061" t="s">
        <v>1384</v>
      </c>
      <c r="D1061">
        <v>24</v>
      </c>
      <c r="E1061" t="s">
        <v>13</v>
      </c>
      <c r="F1061" s="1">
        <v>44497</v>
      </c>
      <c r="G1061" s="1">
        <v>46060</v>
      </c>
      <c r="H1061" t="s">
        <v>14</v>
      </c>
      <c r="I1061" t="s">
        <v>2787</v>
      </c>
      <c r="J1061" t="s">
        <v>1385</v>
      </c>
      <c r="K1061" t="s">
        <v>15</v>
      </c>
      <c r="L1061" t="str">
        <f t="shared" si="48"/>
        <v>Available</v>
      </c>
      <c r="M1061">
        <f t="shared" si="49"/>
        <v>1</v>
      </c>
      <c r="N1061">
        <f t="shared" si="50"/>
        <v>1</v>
      </c>
    </row>
    <row r="1062" spans="1:14" x14ac:dyDescent="0.35">
      <c r="A1062" t="s">
        <v>2618</v>
      </c>
      <c r="B1062" t="s">
        <v>283</v>
      </c>
      <c r="C1062" t="s">
        <v>1386</v>
      </c>
      <c r="D1062">
        <v>24</v>
      </c>
      <c r="E1062" t="s">
        <v>13</v>
      </c>
      <c r="F1062" s="1">
        <v>44497</v>
      </c>
      <c r="G1062" s="1">
        <v>45961</v>
      </c>
      <c r="H1062" t="s">
        <v>14</v>
      </c>
      <c r="I1062" t="s">
        <v>2778</v>
      </c>
      <c r="J1062">
        <v>261717</v>
      </c>
      <c r="K1062" t="s">
        <v>30</v>
      </c>
      <c r="L1062" t="str">
        <f t="shared" si="48"/>
        <v>Available</v>
      </c>
      <c r="M1062">
        <f t="shared" si="49"/>
        <v>0</v>
      </c>
      <c r="N1062">
        <f t="shared" si="50"/>
        <v>1</v>
      </c>
    </row>
    <row r="1063" spans="1:14" x14ac:dyDescent="0.35">
      <c r="A1063" t="s">
        <v>2619</v>
      </c>
      <c r="B1063" t="s">
        <v>1388</v>
      </c>
      <c r="C1063" t="s">
        <v>1387</v>
      </c>
      <c r="D1063">
        <v>32</v>
      </c>
      <c r="E1063" t="s">
        <v>13</v>
      </c>
      <c r="F1063" s="1">
        <v>44497</v>
      </c>
      <c r="G1063" s="1">
        <v>46059</v>
      </c>
      <c r="H1063" t="s">
        <v>14</v>
      </c>
      <c r="I1063" s="2">
        <v>16314085</v>
      </c>
      <c r="J1063">
        <v>261768</v>
      </c>
      <c r="K1063" t="s">
        <v>15</v>
      </c>
      <c r="L1063" t="str">
        <f t="shared" si="48"/>
        <v>Available</v>
      </c>
      <c r="M1063">
        <f t="shared" si="49"/>
        <v>1</v>
      </c>
      <c r="N1063">
        <f t="shared" si="50"/>
        <v>1</v>
      </c>
    </row>
    <row r="1064" spans="1:14" x14ac:dyDescent="0.35">
      <c r="A1064" t="s">
        <v>2620</v>
      </c>
      <c r="B1064" t="s">
        <v>89</v>
      </c>
      <c r="C1064" t="s">
        <v>1389</v>
      </c>
      <c r="D1064">
        <v>24</v>
      </c>
      <c r="E1064" t="s">
        <v>13</v>
      </c>
      <c r="F1064" s="1">
        <v>45974</v>
      </c>
      <c r="G1064" s="1">
        <v>46059</v>
      </c>
      <c r="H1064" t="s">
        <v>14</v>
      </c>
      <c r="I1064" s="2">
        <v>74007072</v>
      </c>
      <c r="J1064">
        <v>264438</v>
      </c>
      <c r="K1064" t="s">
        <v>15</v>
      </c>
      <c r="L1064" t="str">
        <f t="shared" si="48"/>
        <v>Available</v>
      </c>
      <c r="M1064">
        <f t="shared" si="49"/>
        <v>1</v>
      </c>
      <c r="N1064">
        <f t="shared" si="50"/>
        <v>1</v>
      </c>
    </row>
    <row r="1065" spans="1:14" x14ac:dyDescent="0.35">
      <c r="A1065" t="s">
        <v>2621</v>
      </c>
      <c r="B1065" t="s">
        <v>583</v>
      </c>
      <c r="C1065" t="s">
        <v>1390</v>
      </c>
      <c r="D1065">
        <v>25.25</v>
      </c>
      <c r="E1065" t="s">
        <v>13</v>
      </c>
      <c r="F1065" s="1">
        <v>44497</v>
      </c>
      <c r="G1065" s="1">
        <v>46059</v>
      </c>
      <c r="H1065" t="s">
        <v>14</v>
      </c>
      <c r="I1065" s="2">
        <v>152791</v>
      </c>
      <c r="J1065">
        <v>262256</v>
      </c>
      <c r="K1065" t="s">
        <v>15</v>
      </c>
      <c r="L1065" t="str">
        <f t="shared" si="48"/>
        <v>Available</v>
      </c>
      <c r="M1065">
        <f t="shared" si="49"/>
        <v>1</v>
      </c>
      <c r="N1065">
        <f t="shared" si="50"/>
        <v>1</v>
      </c>
    </row>
    <row r="1066" spans="1:14" x14ac:dyDescent="0.35">
      <c r="A1066" t="s">
        <v>2622</v>
      </c>
      <c r="B1066" t="s">
        <v>58</v>
      </c>
      <c r="C1066" t="s">
        <v>1391</v>
      </c>
      <c r="D1066">
        <v>15</v>
      </c>
      <c r="E1066" t="s">
        <v>13</v>
      </c>
      <c r="F1066" s="1">
        <v>45424</v>
      </c>
      <c r="G1066" s="1">
        <v>46060</v>
      </c>
      <c r="H1066" t="s">
        <v>14</v>
      </c>
      <c r="I1066" s="2">
        <v>43438518</v>
      </c>
      <c r="J1066">
        <v>261557</v>
      </c>
      <c r="K1066" t="s">
        <v>15</v>
      </c>
      <c r="L1066" t="str">
        <f t="shared" si="48"/>
        <v>Available</v>
      </c>
      <c r="M1066">
        <f t="shared" si="49"/>
        <v>1</v>
      </c>
      <c r="N1066">
        <f t="shared" si="50"/>
        <v>1</v>
      </c>
    </row>
    <row r="1067" spans="1:14" x14ac:dyDescent="0.35">
      <c r="A1067" t="s">
        <v>2623</v>
      </c>
      <c r="B1067" t="s">
        <v>171</v>
      </c>
      <c r="C1067" t="s">
        <v>1392</v>
      </c>
      <c r="D1067">
        <v>26</v>
      </c>
      <c r="E1067" t="s">
        <v>13</v>
      </c>
      <c r="F1067" s="1">
        <v>44497</v>
      </c>
      <c r="G1067" s="1">
        <v>46056</v>
      </c>
      <c r="H1067" t="s">
        <v>14</v>
      </c>
      <c r="I1067" t="s">
        <v>2778</v>
      </c>
      <c r="J1067">
        <v>264215</v>
      </c>
      <c r="K1067" t="s">
        <v>30</v>
      </c>
      <c r="L1067" t="str">
        <f t="shared" si="48"/>
        <v>Available</v>
      </c>
      <c r="M1067">
        <f t="shared" si="49"/>
        <v>0</v>
      </c>
      <c r="N1067">
        <f t="shared" si="50"/>
        <v>1</v>
      </c>
    </row>
    <row r="1068" spans="1:14" x14ac:dyDescent="0.35">
      <c r="A1068" t="s">
        <v>2624</v>
      </c>
      <c r="B1068" t="s">
        <v>19</v>
      </c>
      <c r="C1068" t="s">
        <v>1393</v>
      </c>
      <c r="D1068">
        <v>24</v>
      </c>
      <c r="E1068" t="s">
        <v>13</v>
      </c>
      <c r="F1068" s="1">
        <v>44497</v>
      </c>
      <c r="G1068" s="1">
        <v>46060</v>
      </c>
      <c r="H1068" t="s">
        <v>14</v>
      </c>
      <c r="I1068" s="2">
        <v>24805</v>
      </c>
      <c r="J1068">
        <v>262617</v>
      </c>
      <c r="K1068" t="s">
        <v>15</v>
      </c>
      <c r="L1068" t="str">
        <f t="shared" si="48"/>
        <v>Available</v>
      </c>
      <c r="M1068">
        <f t="shared" si="49"/>
        <v>1</v>
      </c>
      <c r="N1068">
        <f t="shared" si="50"/>
        <v>1</v>
      </c>
    </row>
    <row r="1069" spans="1:14" x14ac:dyDescent="0.35">
      <c r="A1069" t="s">
        <v>2625</v>
      </c>
      <c r="B1069" t="s">
        <v>1395</v>
      </c>
      <c r="C1069" t="s">
        <v>1394</v>
      </c>
      <c r="D1069">
        <v>24</v>
      </c>
      <c r="E1069" t="s">
        <v>13</v>
      </c>
      <c r="F1069" s="1">
        <v>44497</v>
      </c>
      <c r="G1069" s="1">
        <v>46059</v>
      </c>
      <c r="H1069" t="s">
        <v>14</v>
      </c>
      <c r="I1069" t="s">
        <v>2778</v>
      </c>
      <c r="J1069">
        <v>266451</v>
      </c>
      <c r="K1069" t="s">
        <v>30</v>
      </c>
      <c r="L1069" t="str">
        <f t="shared" si="48"/>
        <v>Available</v>
      </c>
      <c r="M1069">
        <f t="shared" si="49"/>
        <v>0</v>
      </c>
      <c r="N1069">
        <f t="shared" si="50"/>
        <v>1</v>
      </c>
    </row>
    <row r="1070" spans="1:14" x14ac:dyDescent="0.35">
      <c r="A1070" t="s">
        <v>2626</v>
      </c>
      <c r="B1070" t="s">
        <v>152</v>
      </c>
      <c r="C1070" t="s">
        <v>1396</v>
      </c>
      <c r="D1070">
        <v>24</v>
      </c>
      <c r="E1070" t="s">
        <v>13</v>
      </c>
      <c r="F1070" s="1">
        <v>44980</v>
      </c>
      <c r="G1070" s="1">
        <v>46057</v>
      </c>
      <c r="H1070" t="s">
        <v>14</v>
      </c>
      <c r="I1070" t="s">
        <v>2778</v>
      </c>
      <c r="J1070">
        <v>266638</v>
      </c>
      <c r="K1070" t="s">
        <v>30</v>
      </c>
      <c r="L1070" t="str">
        <f t="shared" si="48"/>
        <v>Available</v>
      </c>
      <c r="M1070">
        <f t="shared" si="49"/>
        <v>0</v>
      </c>
      <c r="N1070">
        <f t="shared" si="50"/>
        <v>1</v>
      </c>
    </row>
    <row r="1071" spans="1:14" x14ac:dyDescent="0.35">
      <c r="A1071" t="s">
        <v>2627</v>
      </c>
      <c r="B1071" t="s">
        <v>1099</v>
      </c>
      <c r="C1071" t="s">
        <v>1397</v>
      </c>
      <c r="D1071">
        <v>8</v>
      </c>
      <c r="E1071" t="s">
        <v>13</v>
      </c>
      <c r="F1071" s="1">
        <v>44497</v>
      </c>
      <c r="G1071" s="1">
        <v>46059</v>
      </c>
      <c r="H1071" t="s">
        <v>14</v>
      </c>
      <c r="I1071" s="2">
        <v>16560542</v>
      </c>
      <c r="J1071">
        <v>267040</v>
      </c>
      <c r="K1071" t="s">
        <v>15</v>
      </c>
      <c r="L1071" t="str">
        <f t="shared" si="48"/>
        <v>Available</v>
      </c>
      <c r="M1071">
        <f t="shared" si="49"/>
        <v>1</v>
      </c>
      <c r="N1071">
        <f t="shared" si="50"/>
        <v>1</v>
      </c>
    </row>
    <row r="1072" spans="1:14" x14ac:dyDescent="0.35">
      <c r="A1072" t="s">
        <v>2628</v>
      </c>
      <c r="C1072" t="s">
        <v>1398</v>
      </c>
      <c r="D1072">
        <v>24</v>
      </c>
      <c r="E1072" t="s">
        <v>13</v>
      </c>
      <c r="F1072" s="1">
        <v>44497</v>
      </c>
      <c r="G1072" s="1">
        <v>46059</v>
      </c>
      <c r="H1072" t="s">
        <v>14</v>
      </c>
      <c r="I1072" s="2">
        <v>17071006</v>
      </c>
      <c r="J1072">
        <v>264583</v>
      </c>
      <c r="K1072" t="s">
        <v>15</v>
      </c>
      <c r="L1072" t="str">
        <f t="shared" si="48"/>
        <v>Missing</v>
      </c>
      <c r="M1072">
        <f t="shared" si="49"/>
        <v>1</v>
      </c>
      <c r="N1072">
        <f t="shared" si="50"/>
        <v>0</v>
      </c>
    </row>
    <row r="1073" spans="1:14" x14ac:dyDescent="0.35">
      <c r="A1073" t="s">
        <v>2629</v>
      </c>
      <c r="C1073" t="s">
        <v>1399</v>
      </c>
      <c r="D1073">
        <v>16</v>
      </c>
      <c r="E1073" t="s">
        <v>13</v>
      </c>
      <c r="F1073" s="1">
        <v>44500</v>
      </c>
      <c r="G1073" s="1">
        <v>46059</v>
      </c>
      <c r="H1073" t="s">
        <v>14</v>
      </c>
      <c r="I1073" t="s">
        <v>2778</v>
      </c>
      <c r="J1073">
        <v>264247</v>
      </c>
      <c r="K1073" t="s">
        <v>30</v>
      </c>
      <c r="L1073" t="str">
        <f t="shared" si="48"/>
        <v>Missing</v>
      </c>
      <c r="M1073">
        <f t="shared" si="49"/>
        <v>0</v>
      </c>
      <c r="N1073">
        <f t="shared" si="50"/>
        <v>0</v>
      </c>
    </row>
    <row r="1074" spans="1:14" x14ac:dyDescent="0.35">
      <c r="A1074" t="s">
        <v>2630</v>
      </c>
      <c r="B1074" t="s">
        <v>420</v>
      </c>
      <c r="C1074" t="s">
        <v>1400</v>
      </c>
      <c r="F1074" s="1">
        <v>44866</v>
      </c>
      <c r="G1074" s="1">
        <v>45099</v>
      </c>
      <c r="H1074" t="s">
        <v>14</v>
      </c>
      <c r="I1074" t="s">
        <v>2778</v>
      </c>
      <c r="J1074">
        <v>264429</v>
      </c>
      <c r="K1074" t="s">
        <v>30</v>
      </c>
      <c r="L1074" t="str">
        <f t="shared" si="48"/>
        <v>Available</v>
      </c>
      <c r="M1074">
        <f t="shared" si="49"/>
        <v>0</v>
      </c>
      <c r="N1074">
        <f t="shared" si="50"/>
        <v>1</v>
      </c>
    </row>
    <row r="1075" spans="1:14" x14ac:dyDescent="0.35">
      <c r="A1075" t="s">
        <v>2631</v>
      </c>
      <c r="B1075" t="s">
        <v>875</v>
      </c>
      <c r="C1075" t="s">
        <v>1401</v>
      </c>
      <c r="D1075">
        <v>24</v>
      </c>
      <c r="E1075" t="s">
        <v>13</v>
      </c>
      <c r="F1075" s="1">
        <v>44713</v>
      </c>
      <c r="G1075" s="1">
        <v>46057</v>
      </c>
      <c r="H1075" t="s">
        <v>14</v>
      </c>
      <c r="I1075" s="2">
        <v>21511066</v>
      </c>
      <c r="J1075">
        <v>262133</v>
      </c>
      <c r="K1075" t="s">
        <v>15</v>
      </c>
      <c r="L1075" t="str">
        <f t="shared" si="48"/>
        <v>Available</v>
      </c>
      <c r="M1075">
        <f t="shared" si="49"/>
        <v>1</v>
      </c>
      <c r="N1075">
        <f t="shared" si="50"/>
        <v>1</v>
      </c>
    </row>
    <row r="1076" spans="1:14" x14ac:dyDescent="0.35">
      <c r="A1076" t="s">
        <v>2632</v>
      </c>
      <c r="B1076" t="s">
        <v>1109</v>
      </c>
      <c r="C1076" t="s">
        <v>1402</v>
      </c>
      <c r="D1076">
        <v>24</v>
      </c>
      <c r="E1076" t="s">
        <v>13</v>
      </c>
      <c r="F1076" s="1">
        <v>44497</v>
      </c>
      <c r="G1076" s="1">
        <v>46059</v>
      </c>
      <c r="H1076" t="s">
        <v>14</v>
      </c>
      <c r="I1076" s="2">
        <v>424842</v>
      </c>
      <c r="J1076">
        <v>264764</v>
      </c>
      <c r="K1076" t="s">
        <v>15</v>
      </c>
      <c r="L1076" t="str">
        <f t="shared" si="48"/>
        <v>Available</v>
      </c>
      <c r="M1076">
        <f t="shared" si="49"/>
        <v>1</v>
      </c>
      <c r="N1076">
        <f t="shared" si="50"/>
        <v>1</v>
      </c>
    </row>
    <row r="1077" spans="1:14" x14ac:dyDescent="0.35">
      <c r="A1077" t="s">
        <v>2633</v>
      </c>
      <c r="B1077" t="s">
        <v>424</v>
      </c>
      <c r="C1077" t="s">
        <v>1403</v>
      </c>
      <c r="D1077">
        <v>45</v>
      </c>
      <c r="E1077" t="s">
        <v>13</v>
      </c>
      <c r="F1077" s="1">
        <v>44501</v>
      </c>
      <c r="G1077" s="1">
        <v>45744</v>
      </c>
      <c r="H1077" t="s">
        <v>14</v>
      </c>
      <c r="I1077" t="s">
        <v>2778</v>
      </c>
      <c r="J1077">
        <v>264706</v>
      </c>
      <c r="K1077" t="s">
        <v>30</v>
      </c>
      <c r="L1077" t="str">
        <f t="shared" si="48"/>
        <v>Available</v>
      </c>
      <c r="M1077">
        <f t="shared" si="49"/>
        <v>0</v>
      </c>
      <c r="N1077">
        <f t="shared" si="50"/>
        <v>1</v>
      </c>
    </row>
    <row r="1078" spans="1:14" x14ac:dyDescent="0.35">
      <c r="A1078" t="s">
        <v>2634</v>
      </c>
      <c r="B1078" t="s">
        <v>152</v>
      </c>
      <c r="C1078" t="s">
        <v>1404</v>
      </c>
      <c r="D1078">
        <v>24</v>
      </c>
      <c r="E1078" t="s">
        <v>13</v>
      </c>
      <c r="F1078" s="1">
        <v>44980</v>
      </c>
      <c r="G1078" s="1">
        <v>46057</v>
      </c>
      <c r="H1078" t="s">
        <v>14</v>
      </c>
      <c r="I1078" t="s">
        <v>2778</v>
      </c>
      <c r="J1078">
        <v>261571</v>
      </c>
      <c r="K1078" t="s">
        <v>30</v>
      </c>
      <c r="L1078" t="str">
        <f t="shared" si="48"/>
        <v>Available</v>
      </c>
      <c r="M1078">
        <f t="shared" si="49"/>
        <v>0</v>
      </c>
      <c r="N1078">
        <f t="shared" si="50"/>
        <v>1</v>
      </c>
    </row>
    <row r="1079" spans="1:14" x14ac:dyDescent="0.35">
      <c r="A1079" t="s">
        <v>2635</v>
      </c>
      <c r="B1079" t="s">
        <v>253</v>
      </c>
      <c r="C1079" t="s">
        <v>1405</v>
      </c>
      <c r="D1079">
        <v>24</v>
      </c>
      <c r="E1079" t="s">
        <v>13</v>
      </c>
      <c r="F1079" s="1">
        <v>44497</v>
      </c>
      <c r="G1079" s="1">
        <v>46059</v>
      </c>
      <c r="H1079" t="s">
        <v>14</v>
      </c>
      <c r="I1079" s="2">
        <v>98559</v>
      </c>
      <c r="J1079">
        <v>264281</v>
      </c>
      <c r="K1079" t="s">
        <v>15</v>
      </c>
      <c r="L1079" t="str">
        <f t="shared" si="48"/>
        <v>Available</v>
      </c>
      <c r="M1079">
        <f t="shared" si="49"/>
        <v>1</v>
      </c>
      <c r="N1079">
        <f t="shared" si="50"/>
        <v>1</v>
      </c>
    </row>
    <row r="1080" spans="1:14" x14ac:dyDescent="0.35">
      <c r="A1080" t="s">
        <v>2636</v>
      </c>
      <c r="B1080" t="s">
        <v>25</v>
      </c>
      <c r="C1080" t="s">
        <v>1406</v>
      </c>
      <c r="D1080">
        <v>45</v>
      </c>
      <c r="E1080" t="s">
        <v>13</v>
      </c>
      <c r="F1080" s="1">
        <v>44497</v>
      </c>
      <c r="G1080" s="1">
        <v>46060</v>
      </c>
      <c r="H1080" t="s">
        <v>14</v>
      </c>
      <c r="I1080" s="2">
        <v>19950576</v>
      </c>
      <c r="J1080">
        <v>266329</v>
      </c>
      <c r="K1080" t="s">
        <v>15</v>
      </c>
      <c r="L1080" t="str">
        <f t="shared" si="48"/>
        <v>Available</v>
      </c>
      <c r="M1080">
        <f t="shared" si="49"/>
        <v>1</v>
      </c>
      <c r="N1080">
        <f t="shared" si="50"/>
        <v>1</v>
      </c>
    </row>
    <row r="1081" spans="1:14" x14ac:dyDescent="0.35">
      <c r="A1081" t="s">
        <v>2637</v>
      </c>
      <c r="B1081" t="s">
        <v>1408</v>
      </c>
      <c r="C1081" t="s">
        <v>1407</v>
      </c>
      <c r="D1081">
        <v>24</v>
      </c>
      <c r="E1081" t="s">
        <v>13</v>
      </c>
      <c r="F1081" s="1">
        <v>44500</v>
      </c>
      <c r="G1081" s="1">
        <v>46059</v>
      </c>
      <c r="H1081" t="s">
        <v>14</v>
      </c>
      <c r="I1081" t="s">
        <v>2778</v>
      </c>
      <c r="J1081">
        <v>264025</v>
      </c>
      <c r="K1081" t="s">
        <v>30</v>
      </c>
      <c r="L1081" t="str">
        <f t="shared" si="48"/>
        <v>Available</v>
      </c>
      <c r="M1081">
        <f t="shared" si="49"/>
        <v>0</v>
      </c>
      <c r="N1081">
        <f t="shared" si="50"/>
        <v>1</v>
      </c>
    </row>
    <row r="1082" spans="1:14" x14ac:dyDescent="0.35">
      <c r="A1082" t="s">
        <v>2638</v>
      </c>
      <c r="B1082" t="s">
        <v>668</v>
      </c>
      <c r="C1082" t="s">
        <v>1409</v>
      </c>
      <c r="D1082">
        <v>24</v>
      </c>
      <c r="E1082" t="s">
        <v>13</v>
      </c>
      <c r="F1082" s="1">
        <v>44497</v>
      </c>
      <c r="G1082" s="1">
        <v>46059</v>
      </c>
      <c r="H1082" t="s">
        <v>14</v>
      </c>
      <c r="I1082" s="2">
        <v>2581475</v>
      </c>
      <c r="J1082">
        <v>264660</v>
      </c>
      <c r="K1082" t="s">
        <v>15</v>
      </c>
      <c r="L1082" t="str">
        <f t="shared" si="48"/>
        <v>Available</v>
      </c>
      <c r="M1082">
        <f t="shared" si="49"/>
        <v>1</v>
      </c>
      <c r="N1082">
        <f t="shared" si="50"/>
        <v>1</v>
      </c>
    </row>
    <row r="1083" spans="1:14" x14ac:dyDescent="0.35">
      <c r="A1083" t="s">
        <v>2639</v>
      </c>
      <c r="B1083" t="s">
        <v>242</v>
      </c>
      <c r="C1083" t="s">
        <v>1410</v>
      </c>
      <c r="D1083">
        <v>32</v>
      </c>
      <c r="E1083" t="s">
        <v>13</v>
      </c>
      <c r="F1083" s="1">
        <v>44500</v>
      </c>
      <c r="G1083" s="1">
        <v>46059</v>
      </c>
      <c r="H1083" t="s">
        <v>14</v>
      </c>
      <c r="I1083" s="2">
        <v>227969</v>
      </c>
      <c r="J1083">
        <v>266391</v>
      </c>
      <c r="K1083" t="s">
        <v>15</v>
      </c>
      <c r="L1083" t="str">
        <f t="shared" si="48"/>
        <v>Available</v>
      </c>
      <c r="M1083">
        <f t="shared" si="49"/>
        <v>1</v>
      </c>
      <c r="N1083">
        <f t="shared" si="50"/>
        <v>1</v>
      </c>
    </row>
    <row r="1084" spans="1:14" x14ac:dyDescent="0.35">
      <c r="A1084" t="s">
        <v>2640</v>
      </c>
      <c r="B1084" t="s">
        <v>147</v>
      </c>
      <c r="C1084" t="s">
        <v>1411</v>
      </c>
      <c r="D1084">
        <v>24</v>
      </c>
      <c r="E1084" t="s">
        <v>35</v>
      </c>
      <c r="F1084" s="1">
        <v>44497</v>
      </c>
      <c r="G1084" s="1">
        <v>46060</v>
      </c>
      <c r="H1084" t="s">
        <v>14</v>
      </c>
      <c r="I1084" s="2">
        <v>24822</v>
      </c>
      <c r="J1084">
        <v>261798</v>
      </c>
      <c r="K1084" t="s">
        <v>15</v>
      </c>
      <c r="L1084" t="str">
        <f t="shared" si="48"/>
        <v>Available</v>
      </c>
      <c r="M1084">
        <f t="shared" si="49"/>
        <v>1</v>
      </c>
      <c r="N1084">
        <f t="shared" si="50"/>
        <v>1</v>
      </c>
    </row>
    <row r="1085" spans="1:14" x14ac:dyDescent="0.35">
      <c r="A1085" t="s">
        <v>2641</v>
      </c>
      <c r="B1085" t="s">
        <v>1413</v>
      </c>
      <c r="C1085" t="s">
        <v>1412</v>
      </c>
      <c r="D1085">
        <v>11</v>
      </c>
      <c r="E1085" t="s">
        <v>13</v>
      </c>
      <c r="F1085" s="1">
        <v>44500</v>
      </c>
      <c r="G1085" s="1">
        <v>46057</v>
      </c>
      <c r="H1085" t="s">
        <v>14</v>
      </c>
      <c r="I1085" t="s">
        <v>2778</v>
      </c>
      <c r="J1085">
        <v>266435</v>
      </c>
      <c r="K1085" t="s">
        <v>30</v>
      </c>
      <c r="L1085" t="str">
        <f t="shared" si="48"/>
        <v>Available</v>
      </c>
      <c r="M1085">
        <f t="shared" si="49"/>
        <v>0</v>
      </c>
      <c r="N1085">
        <f t="shared" si="50"/>
        <v>1</v>
      </c>
    </row>
    <row r="1086" spans="1:14" x14ac:dyDescent="0.35">
      <c r="A1086" t="s">
        <v>2642</v>
      </c>
      <c r="B1086" t="s">
        <v>1339</v>
      </c>
      <c r="C1086" t="s">
        <v>1414</v>
      </c>
      <c r="D1086">
        <v>24</v>
      </c>
      <c r="E1086" t="s">
        <v>13</v>
      </c>
      <c r="F1086" s="1">
        <v>44497</v>
      </c>
      <c r="G1086" s="1">
        <v>46059</v>
      </c>
      <c r="H1086" t="s">
        <v>14</v>
      </c>
      <c r="I1086" s="2">
        <v>17316372</v>
      </c>
      <c r="J1086">
        <v>261718</v>
      </c>
      <c r="K1086" t="s">
        <v>15</v>
      </c>
      <c r="L1086" t="str">
        <f t="shared" si="48"/>
        <v>Available</v>
      </c>
      <c r="M1086">
        <f t="shared" si="49"/>
        <v>1</v>
      </c>
      <c r="N1086">
        <f t="shared" si="50"/>
        <v>1</v>
      </c>
    </row>
    <row r="1087" spans="1:14" x14ac:dyDescent="0.35">
      <c r="A1087" t="s">
        <v>2643</v>
      </c>
      <c r="B1087" t="s">
        <v>575</v>
      </c>
      <c r="C1087" t="s">
        <v>1415</v>
      </c>
      <c r="D1087">
        <v>25</v>
      </c>
      <c r="E1087" t="s">
        <v>13</v>
      </c>
      <c r="F1087" s="1">
        <v>44500</v>
      </c>
      <c r="G1087" s="1">
        <v>46059</v>
      </c>
      <c r="H1087" t="s">
        <v>14</v>
      </c>
      <c r="I1087" s="2">
        <v>159299</v>
      </c>
      <c r="J1087">
        <v>264469</v>
      </c>
      <c r="K1087" t="s">
        <v>15</v>
      </c>
      <c r="L1087" t="str">
        <f t="shared" si="48"/>
        <v>Available</v>
      </c>
      <c r="M1087">
        <f t="shared" si="49"/>
        <v>1</v>
      </c>
      <c r="N1087">
        <f t="shared" si="50"/>
        <v>1</v>
      </c>
    </row>
    <row r="1088" spans="1:14" x14ac:dyDescent="0.35">
      <c r="A1088" t="s">
        <v>2644</v>
      </c>
      <c r="B1088" t="s">
        <v>103</v>
      </c>
      <c r="C1088" t="s">
        <v>1416</v>
      </c>
      <c r="D1088">
        <v>24</v>
      </c>
      <c r="E1088" t="s">
        <v>13</v>
      </c>
      <c r="F1088" s="1">
        <v>45529</v>
      </c>
      <c r="G1088" s="1">
        <v>46058</v>
      </c>
      <c r="H1088" t="s">
        <v>14</v>
      </c>
      <c r="I1088" t="s">
        <v>2778</v>
      </c>
      <c r="J1088">
        <v>261865</v>
      </c>
      <c r="K1088" t="s">
        <v>30</v>
      </c>
      <c r="L1088" t="str">
        <f t="shared" si="48"/>
        <v>Available</v>
      </c>
      <c r="M1088">
        <f t="shared" si="49"/>
        <v>0</v>
      </c>
      <c r="N1088">
        <f t="shared" si="50"/>
        <v>1</v>
      </c>
    </row>
    <row r="1089" spans="1:14" x14ac:dyDescent="0.35">
      <c r="A1089" t="s">
        <v>2645</v>
      </c>
      <c r="C1089" t="s">
        <v>1417</v>
      </c>
      <c r="D1089">
        <v>20.46</v>
      </c>
      <c r="E1089" t="s">
        <v>13</v>
      </c>
      <c r="F1089" s="1">
        <v>44497</v>
      </c>
      <c r="G1089" s="1">
        <v>46059</v>
      </c>
      <c r="H1089" t="s">
        <v>14</v>
      </c>
      <c r="I1089" s="2">
        <v>19853670</v>
      </c>
      <c r="J1089">
        <v>262127</v>
      </c>
      <c r="K1089" t="s">
        <v>15</v>
      </c>
      <c r="L1089" t="str">
        <f t="shared" si="48"/>
        <v>Missing</v>
      </c>
      <c r="M1089">
        <f t="shared" si="49"/>
        <v>1</v>
      </c>
      <c r="N1089">
        <f t="shared" si="50"/>
        <v>0</v>
      </c>
    </row>
    <row r="1090" spans="1:14" x14ac:dyDescent="0.35">
      <c r="A1090" t="s">
        <v>2646</v>
      </c>
      <c r="B1090" t="s">
        <v>238</v>
      </c>
      <c r="C1090" t="s">
        <v>1418</v>
      </c>
      <c r="D1090">
        <v>45</v>
      </c>
      <c r="E1090" t="s">
        <v>13</v>
      </c>
      <c r="F1090" s="1">
        <v>44497</v>
      </c>
      <c r="G1090" s="1">
        <v>46059</v>
      </c>
      <c r="H1090" t="s">
        <v>14</v>
      </c>
      <c r="I1090" s="2">
        <v>16983264</v>
      </c>
      <c r="J1090">
        <v>261740</v>
      </c>
      <c r="K1090" t="s">
        <v>15</v>
      </c>
      <c r="L1090" t="str">
        <f t="shared" si="48"/>
        <v>Available</v>
      </c>
      <c r="M1090">
        <f t="shared" si="49"/>
        <v>1</v>
      </c>
      <c r="N1090">
        <f t="shared" si="50"/>
        <v>1</v>
      </c>
    </row>
    <row r="1091" spans="1:14" x14ac:dyDescent="0.35">
      <c r="A1091" t="s">
        <v>2647</v>
      </c>
      <c r="B1091" t="s">
        <v>1266</v>
      </c>
      <c r="C1091" t="s">
        <v>1419</v>
      </c>
      <c r="D1091">
        <v>12</v>
      </c>
      <c r="E1091" t="s">
        <v>13</v>
      </c>
      <c r="F1091" s="1">
        <v>45196</v>
      </c>
      <c r="G1091" s="1">
        <v>46058</v>
      </c>
      <c r="H1091" t="s">
        <v>14</v>
      </c>
      <c r="I1091" s="2">
        <v>34648749</v>
      </c>
      <c r="J1091">
        <v>261833</v>
      </c>
      <c r="K1091" t="s">
        <v>15</v>
      </c>
      <c r="L1091" t="str">
        <f t="shared" ref="L1091:L1154" si="51">IF(OR(B1091="",ISBLANK(B1091)),"Missing","Available")</f>
        <v>Available</v>
      </c>
      <c r="M1091">
        <f t="shared" ref="M1091:M1154" si="52">IF(K1091="Mapped",1,0)</f>
        <v>1</v>
      </c>
      <c r="N1091">
        <f t="shared" ref="N1091:N1154" si="53">IF(AND(B1091&lt;&gt;"",A1091&lt;&gt;""),1,0)</f>
        <v>1</v>
      </c>
    </row>
    <row r="1092" spans="1:14" x14ac:dyDescent="0.35">
      <c r="A1092" t="s">
        <v>2648</v>
      </c>
      <c r="B1092" t="s">
        <v>271</v>
      </c>
      <c r="C1092" t="s">
        <v>1420</v>
      </c>
      <c r="D1092">
        <v>26</v>
      </c>
      <c r="E1092" t="s">
        <v>13</v>
      </c>
      <c r="F1092" s="1">
        <v>44945</v>
      </c>
      <c r="G1092" s="1">
        <v>46059</v>
      </c>
      <c r="H1092" t="s">
        <v>14</v>
      </c>
      <c r="I1092" s="2">
        <v>29142063</v>
      </c>
      <c r="J1092">
        <v>261767</v>
      </c>
      <c r="K1092" t="s">
        <v>15</v>
      </c>
      <c r="L1092" t="str">
        <f t="shared" si="51"/>
        <v>Available</v>
      </c>
      <c r="M1092">
        <f t="shared" si="52"/>
        <v>1</v>
      </c>
      <c r="N1092">
        <f t="shared" si="53"/>
        <v>1</v>
      </c>
    </row>
    <row r="1093" spans="1:14" x14ac:dyDescent="0.35">
      <c r="A1093" t="s">
        <v>2649</v>
      </c>
      <c r="B1093" t="s">
        <v>271</v>
      </c>
      <c r="C1093" t="s">
        <v>1421</v>
      </c>
      <c r="D1093">
        <v>26</v>
      </c>
      <c r="E1093" t="s">
        <v>13</v>
      </c>
      <c r="F1093" s="1">
        <v>44934</v>
      </c>
      <c r="G1093" s="1">
        <v>46059</v>
      </c>
      <c r="H1093" t="s">
        <v>14</v>
      </c>
      <c r="I1093" s="2">
        <v>29141971</v>
      </c>
      <c r="J1093">
        <v>264313</v>
      </c>
      <c r="K1093" t="s">
        <v>15</v>
      </c>
      <c r="L1093" t="str">
        <f t="shared" si="51"/>
        <v>Available</v>
      </c>
      <c r="M1093">
        <f t="shared" si="52"/>
        <v>1</v>
      </c>
      <c r="N1093">
        <f t="shared" si="53"/>
        <v>1</v>
      </c>
    </row>
    <row r="1094" spans="1:14" x14ac:dyDescent="0.35">
      <c r="A1094" t="s">
        <v>2650</v>
      </c>
      <c r="C1094" t="s">
        <v>1422</v>
      </c>
      <c r="D1094">
        <v>32</v>
      </c>
      <c r="E1094" t="s">
        <v>13</v>
      </c>
      <c r="F1094" s="1">
        <v>44497</v>
      </c>
      <c r="G1094" s="1">
        <v>46058</v>
      </c>
      <c r="H1094" t="s">
        <v>14</v>
      </c>
      <c r="I1094" s="2">
        <v>17454830</v>
      </c>
      <c r="J1094">
        <v>267105</v>
      </c>
      <c r="K1094" t="s">
        <v>15</v>
      </c>
      <c r="L1094" t="str">
        <f t="shared" si="51"/>
        <v>Missing</v>
      </c>
      <c r="M1094">
        <f t="shared" si="52"/>
        <v>1</v>
      </c>
      <c r="N1094">
        <f t="shared" si="53"/>
        <v>0</v>
      </c>
    </row>
    <row r="1095" spans="1:14" x14ac:dyDescent="0.35">
      <c r="A1095" t="s">
        <v>2651</v>
      </c>
      <c r="B1095" t="s">
        <v>71</v>
      </c>
      <c r="C1095" t="s">
        <v>1423</v>
      </c>
      <c r="D1095">
        <v>24</v>
      </c>
      <c r="E1095" t="s">
        <v>13</v>
      </c>
      <c r="F1095" s="1">
        <v>44497</v>
      </c>
      <c r="G1095" s="1">
        <v>46060</v>
      </c>
      <c r="H1095" t="s">
        <v>14</v>
      </c>
      <c r="I1095" s="2">
        <v>16409978</v>
      </c>
      <c r="J1095">
        <v>266454</v>
      </c>
      <c r="K1095" t="s">
        <v>15</v>
      </c>
      <c r="L1095" t="str">
        <f t="shared" si="51"/>
        <v>Available</v>
      </c>
      <c r="M1095">
        <f t="shared" si="52"/>
        <v>1</v>
      </c>
      <c r="N1095">
        <f t="shared" si="53"/>
        <v>1</v>
      </c>
    </row>
    <row r="1096" spans="1:14" x14ac:dyDescent="0.35">
      <c r="A1096" t="s">
        <v>2652</v>
      </c>
      <c r="B1096" t="s">
        <v>121</v>
      </c>
      <c r="C1096" t="s">
        <v>1424</v>
      </c>
      <c r="D1096">
        <v>24</v>
      </c>
      <c r="E1096" t="s">
        <v>13</v>
      </c>
      <c r="F1096" s="1">
        <v>44497</v>
      </c>
      <c r="G1096" s="1">
        <v>46059</v>
      </c>
      <c r="H1096" t="s">
        <v>14</v>
      </c>
      <c r="I1096" s="2">
        <v>3356571</v>
      </c>
      <c r="J1096">
        <v>266407</v>
      </c>
      <c r="K1096" t="s">
        <v>15</v>
      </c>
      <c r="L1096" t="str">
        <f t="shared" si="51"/>
        <v>Available</v>
      </c>
      <c r="M1096">
        <f t="shared" si="52"/>
        <v>1</v>
      </c>
      <c r="N1096">
        <f t="shared" si="53"/>
        <v>1</v>
      </c>
    </row>
    <row r="1097" spans="1:14" x14ac:dyDescent="0.35">
      <c r="A1097" t="s">
        <v>2653</v>
      </c>
      <c r="B1097" t="s">
        <v>346</v>
      </c>
      <c r="C1097" t="s">
        <v>1425</v>
      </c>
      <c r="D1097">
        <v>24.3</v>
      </c>
      <c r="E1097" t="s">
        <v>13</v>
      </c>
      <c r="F1097" s="1">
        <v>44497</v>
      </c>
      <c r="G1097" s="1">
        <v>46059</v>
      </c>
      <c r="H1097" t="s">
        <v>14</v>
      </c>
      <c r="I1097" s="2">
        <v>168531</v>
      </c>
      <c r="J1097">
        <v>264232</v>
      </c>
      <c r="K1097" t="s">
        <v>15</v>
      </c>
      <c r="L1097" t="str">
        <f t="shared" si="51"/>
        <v>Available</v>
      </c>
      <c r="M1097">
        <f t="shared" si="52"/>
        <v>1</v>
      </c>
      <c r="N1097">
        <f t="shared" si="53"/>
        <v>1</v>
      </c>
    </row>
    <row r="1098" spans="1:14" x14ac:dyDescent="0.35">
      <c r="A1098" t="s">
        <v>2654</v>
      </c>
      <c r="B1098" t="s">
        <v>472</v>
      </c>
      <c r="C1098" t="s">
        <v>1426</v>
      </c>
      <c r="D1098">
        <v>24</v>
      </c>
      <c r="E1098" t="s">
        <v>13</v>
      </c>
      <c r="F1098" s="1">
        <v>44497</v>
      </c>
      <c r="G1098" s="1">
        <v>46059</v>
      </c>
      <c r="H1098" t="s">
        <v>14</v>
      </c>
      <c r="I1098" s="2">
        <v>333876</v>
      </c>
      <c r="J1098">
        <v>266829</v>
      </c>
      <c r="K1098" t="s">
        <v>15</v>
      </c>
      <c r="L1098" t="str">
        <f t="shared" si="51"/>
        <v>Available</v>
      </c>
      <c r="M1098">
        <f t="shared" si="52"/>
        <v>1</v>
      </c>
      <c r="N1098">
        <f t="shared" si="53"/>
        <v>1</v>
      </c>
    </row>
    <row r="1099" spans="1:14" x14ac:dyDescent="0.35">
      <c r="A1099" t="s">
        <v>2655</v>
      </c>
      <c r="B1099" t="s">
        <v>21</v>
      </c>
      <c r="C1099" t="s">
        <v>1427</v>
      </c>
      <c r="D1099">
        <v>24</v>
      </c>
      <c r="E1099" t="s">
        <v>13</v>
      </c>
      <c r="F1099" s="1">
        <v>44497</v>
      </c>
      <c r="G1099" s="1">
        <v>46058</v>
      </c>
      <c r="H1099" t="s">
        <v>14</v>
      </c>
      <c r="I1099" s="2">
        <v>53417</v>
      </c>
      <c r="J1099">
        <v>261543</v>
      </c>
      <c r="K1099" t="s">
        <v>15</v>
      </c>
      <c r="L1099" t="str">
        <f t="shared" si="51"/>
        <v>Available</v>
      </c>
      <c r="M1099">
        <f t="shared" si="52"/>
        <v>1</v>
      </c>
      <c r="N1099">
        <f t="shared" si="53"/>
        <v>1</v>
      </c>
    </row>
    <row r="1100" spans="1:14" x14ac:dyDescent="0.35">
      <c r="A1100" t="s">
        <v>2656</v>
      </c>
      <c r="B1100" t="s">
        <v>1429</v>
      </c>
      <c r="C1100" t="s">
        <v>1428</v>
      </c>
      <c r="D1100">
        <v>24</v>
      </c>
      <c r="E1100" t="s">
        <v>13</v>
      </c>
      <c r="F1100" s="1">
        <v>44497</v>
      </c>
      <c r="G1100" s="1">
        <v>46059</v>
      </c>
      <c r="H1100" t="s">
        <v>14</v>
      </c>
      <c r="I1100" s="2">
        <v>91511</v>
      </c>
      <c r="J1100">
        <v>264471</v>
      </c>
      <c r="K1100" t="s">
        <v>15</v>
      </c>
      <c r="L1100" t="str">
        <f t="shared" si="51"/>
        <v>Available</v>
      </c>
      <c r="M1100">
        <f t="shared" si="52"/>
        <v>1</v>
      </c>
      <c r="N1100">
        <f t="shared" si="53"/>
        <v>1</v>
      </c>
    </row>
    <row r="1101" spans="1:14" x14ac:dyDescent="0.35">
      <c r="A1101" t="s">
        <v>2657</v>
      </c>
      <c r="B1101" t="s">
        <v>116</v>
      </c>
      <c r="C1101" t="s">
        <v>1430</v>
      </c>
      <c r="D1101">
        <v>24</v>
      </c>
      <c r="E1101" t="s">
        <v>13</v>
      </c>
      <c r="F1101" s="1">
        <v>44935</v>
      </c>
      <c r="G1101" s="1">
        <v>46060</v>
      </c>
      <c r="H1101" t="s">
        <v>14</v>
      </c>
      <c r="I1101" s="2">
        <v>29203294</v>
      </c>
      <c r="J1101">
        <v>267037</v>
      </c>
      <c r="K1101" t="s">
        <v>15</v>
      </c>
      <c r="L1101" t="str">
        <f t="shared" si="51"/>
        <v>Available</v>
      </c>
      <c r="M1101">
        <f t="shared" si="52"/>
        <v>1</v>
      </c>
      <c r="N1101">
        <f t="shared" si="53"/>
        <v>1</v>
      </c>
    </row>
    <row r="1102" spans="1:14" x14ac:dyDescent="0.35">
      <c r="A1102" t="s">
        <v>2658</v>
      </c>
      <c r="B1102" t="s">
        <v>1014</v>
      </c>
      <c r="C1102" t="s">
        <v>1431</v>
      </c>
      <c r="D1102">
        <v>26</v>
      </c>
      <c r="E1102" t="s">
        <v>13</v>
      </c>
      <c r="F1102" s="1">
        <v>44502</v>
      </c>
      <c r="G1102" s="1">
        <v>45683</v>
      </c>
      <c r="H1102" t="s">
        <v>14</v>
      </c>
      <c r="I1102" t="s">
        <v>2778</v>
      </c>
      <c r="J1102">
        <v>261810</v>
      </c>
      <c r="K1102" t="s">
        <v>30</v>
      </c>
      <c r="L1102" t="str">
        <f t="shared" si="51"/>
        <v>Available</v>
      </c>
      <c r="M1102">
        <f t="shared" si="52"/>
        <v>0</v>
      </c>
      <c r="N1102">
        <f t="shared" si="53"/>
        <v>1</v>
      </c>
    </row>
    <row r="1103" spans="1:14" x14ac:dyDescent="0.35">
      <c r="A1103" t="s">
        <v>2659</v>
      </c>
      <c r="B1103" t="s">
        <v>58</v>
      </c>
      <c r="C1103" t="s">
        <v>1432</v>
      </c>
      <c r="D1103">
        <v>24</v>
      </c>
      <c r="E1103" t="s">
        <v>13</v>
      </c>
      <c r="F1103" s="1">
        <v>44497</v>
      </c>
      <c r="G1103" s="1">
        <v>46059</v>
      </c>
      <c r="H1103" t="s">
        <v>14</v>
      </c>
      <c r="I1103" s="2">
        <v>73908</v>
      </c>
      <c r="J1103">
        <v>262289</v>
      </c>
      <c r="K1103" t="s">
        <v>15</v>
      </c>
      <c r="L1103" t="str">
        <f t="shared" si="51"/>
        <v>Available</v>
      </c>
      <c r="M1103">
        <f t="shared" si="52"/>
        <v>1</v>
      </c>
      <c r="N1103">
        <f t="shared" si="53"/>
        <v>1</v>
      </c>
    </row>
    <row r="1104" spans="1:14" x14ac:dyDescent="0.35">
      <c r="A1104" t="s">
        <v>2660</v>
      </c>
      <c r="B1104" t="s">
        <v>58</v>
      </c>
      <c r="C1104" t="s">
        <v>1433</v>
      </c>
      <c r="D1104">
        <v>20.288091000000001</v>
      </c>
      <c r="E1104" t="s">
        <v>35</v>
      </c>
      <c r="F1104" s="1">
        <v>45631</v>
      </c>
      <c r="G1104" s="1">
        <v>46058</v>
      </c>
      <c r="H1104" t="s">
        <v>14</v>
      </c>
      <c r="I1104" t="s">
        <v>2778</v>
      </c>
      <c r="J1104">
        <v>261579</v>
      </c>
      <c r="K1104" t="s">
        <v>30</v>
      </c>
      <c r="L1104" t="str">
        <f t="shared" si="51"/>
        <v>Available</v>
      </c>
      <c r="M1104">
        <f t="shared" si="52"/>
        <v>0</v>
      </c>
      <c r="N1104">
        <f t="shared" si="53"/>
        <v>1</v>
      </c>
    </row>
    <row r="1105" spans="1:14" x14ac:dyDescent="0.35">
      <c r="A1105" t="s">
        <v>2661</v>
      </c>
      <c r="B1105" t="s">
        <v>135</v>
      </c>
      <c r="C1105" t="s">
        <v>1434</v>
      </c>
      <c r="D1105">
        <v>24</v>
      </c>
      <c r="E1105" t="s">
        <v>13</v>
      </c>
      <c r="F1105" s="1">
        <v>44497</v>
      </c>
      <c r="G1105" s="1">
        <v>46060</v>
      </c>
      <c r="H1105" t="s">
        <v>14</v>
      </c>
      <c r="I1105" t="s">
        <v>2786</v>
      </c>
      <c r="J1105" t="s">
        <v>1435</v>
      </c>
      <c r="K1105" t="s">
        <v>15</v>
      </c>
      <c r="L1105" t="str">
        <f t="shared" si="51"/>
        <v>Available</v>
      </c>
      <c r="M1105">
        <f t="shared" si="52"/>
        <v>1</v>
      </c>
      <c r="N1105">
        <f t="shared" si="53"/>
        <v>1</v>
      </c>
    </row>
    <row r="1106" spans="1:14" x14ac:dyDescent="0.35">
      <c r="A1106" t="s">
        <v>2662</v>
      </c>
      <c r="B1106" t="s">
        <v>936</v>
      </c>
      <c r="C1106" t="s">
        <v>1436</v>
      </c>
      <c r="D1106">
        <v>67</v>
      </c>
      <c r="E1106" t="s">
        <v>13</v>
      </c>
      <c r="F1106" s="1">
        <v>44497</v>
      </c>
      <c r="G1106" s="1">
        <v>46060</v>
      </c>
      <c r="H1106" t="s">
        <v>14</v>
      </c>
      <c r="I1106" s="2">
        <v>36107</v>
      </c>
      <c r="J1106">
        <v>262628</v>
      </c>
      <c r="K1106" t="s">
        <v>15</v>
      </c>
      <c r="L1106" t="str">
        <f t="shared" si="51"/>
        <v>Available</v>
      </c>
      <c r="M1106">
        <f t="shared" si="52"/>
        <v>1</v>
      </c>
      <c r="N1106">
        <f t="shared" si="53"/>
        <v>1</v>
      </c>
    </row>
    <row r="1107" spans="1:14" x14ac:dyDescent="0.35">
      <c r="A1107" t="s">
        <v>2663</v>
      </c>
      <c r="B1107" t="s">
        <v>278</v>
      </c>
      <c r="C1107" t="s">
        <v>1437</v>
      </c>
      <c r="D1107">
        <v>25.5</v>
      </c>
      <c r="E1107" t="s">
        <v>13</v>
      </c>
      <c r="F1107" s="1">
        <v>44497</v>
      </c>
      <c r="G1107" s="1">
        <v>46059</v>
      </c>
      <c r="H1107" t="s">
        <v>14</v>
      </c>
      <c r="I1107" s="2">
        <v>49168</v>
      </c>
      <c r="J1107">
        <v>264067</v>
      </c>
      <c r="K1107" t="s">
        <v>15</v>
      </c>
      <c r="L1107" t="str">
        <f t="shared" si="51"/>
        <v>Available</v>
      </c>
      <c r="M1107">
        <f t="shared" si="52"/>
        <v>1</v>
      </c>
      <c r="N1107">
        <f t="shared" si="53"/>
        <v>1</v>
      </c>
    </row>
    <row r="1108" spans="1:14" x14ac:dyDescent="0.35">
      <c r="A1108" t="s">
        <v>2664</v>
      </c>
      <c r="B1108" t="s">
        <v>121</v>
      </c>
      <c r="C1108" t="s">
        <v>1438</v>
      </c>
      <c r="D1108">
        <v>24</v>
      </c>
      <c r="E1108" t="s">
        <v>13</v>
      </c>
      <c r="F1108" s="1">
        <v>45686</v>
      </c>
      <c r="G1108" s="1">
        <v>46059</v>
      </c>
      <c r="H1108" t="s">
        <v>14</v>
      </c>
      <c r="I1108" s="2">
        <v>66362429</v>
      </c>
      <c r="J1108">
        <v>261745</v>
      </c>
      <c r="K1108" t="s">
        <v>15</v>
      </c>
      <c r="L1108" t="str">
        <f t="shared" si="51"/>
        <v>Available</v>
      </c>
      <c r="M1108">
        <f t="shared" si="52"/>
        <v>1</v>
      </c>
      <c r="N1108">
        <f t="shared" si="53"/>
        <v>1</v>
      </c>
    </row>
    <row r="1109" spans="1:14" x14ac:dyDescent="0.35">
      <c r="A1109" t="s">
        <v>2665</v>
      </c>
      <c r="B1109" t="s">
        <v>238</v>
      </c>
      <c r="C1109" t="s">
        <v>1439</v>
      </c>
      <c r="D1109">
        <v>24</v>
      </c>
      <c r="E1109" t="s">
        <v>13</v>
      </c>
      <c r="F1109" s="1">
        <v>44497</v>
      </c>
      <c r="G1109" s="1">
        <v>46059</v>
      </c>
      <c r="H1109" t="s">
        <v>14</v>
      </c>
      <c r="I1109" s="2">
        <v>17849966</v>
      </c>
      <c r="J1109">
        <v>264248</v>
      </c>
      <c r="K1109" t="s">
        <v>15</v>
      </c>
      <c r="L1109" t="str">
        <f t="shared" si="51"/>
        <v>Available</v>
      </c>
      <c r="M1109">
        <f t="shared" si="52"/>
        <v>1</v>
      </c>
      <c r="N1109">
        <f t="shared" si="53"/>
        <v>1</v>
      </c>
    </row>
    <row r="1110" spans="1:14" x14ac:dyDescent="0.35">
      <c r="A1110" t="s">
        <v>2666</v>
      </c>
      <c r="B1110" t="s">
        <v>123</v>
      </c>
      <c r="C1110" t="s">
        <v>1440</v>
      </c>
      <c r="D1110">
        <v>24</v>
      </c>
      <c r="E1110" t="s">
        <v>13</v>
      </c>
      <c r="F1110" s="1">
        <v>44497</v>
      </c>
      <c r="G1110" s="1">
        <v>46059</v>
      </c>
      <c r="H1110" t="s">
        <v>14</v>
      </c>
      <c r="I1110" s="2">
        <v>21829876</v>
      </c>
      <c r="J1110">
        <v>262208</v>
      </c>
      <c r="K1110" t="s">
        <v>15</v>
      </c>
      <c r="L1110" t="str">
        <f t="shared" si="51"/>
        <v>Available</v>
      </c>
      <c r="M1110">
        <f t="shared" si="52"/>
        <v>1</v>
      </c>
      <c r="N1110">
        <f t="shared" si="53"/>
        <v>1</v>
      </c>
    </row>
    <row r="1111" spans="1:14" x14ac:dyDescent="0.35">
      <c r="A1111" t="s">
        <v>2667</v>
      </c>
      <c r="B1111" t="s">
        <v>29</v>
      </c>
      <c r="C1111" t="s">
        <v>1441</v>
      </c>
      <c r="D1111">
        <v>24</v>
      </c>
      <c r="E1111" t="s">
        <v>13</v>
      </c>
      <c r="F1111" s="1">
        <v>45081</v>
      </c>
      <c r="G1111" s="1">
        <v>46059</v>
      </c>
      <c r="H1111" t="s">
        <v>14</v>
      </c>
      <c r="I1111" s="2">
        <v>30373545</v>
      </c>
      <c r="J1111">
        <v>266618</v>
      </c>
      <c r="K1111" t="s">
        <v>15</v>
      </c>
      <c r="L1111" t="str">
        <f t="shared" si="51"/>
        <v>Available</v>
      </c>
      <c r="M1111">
        <f t="shared" si="52"/>
        <v>1</v>
      </c>
      <c r="N1111">
        <f t="shared" si="53"/>
        <v>1</v>
      </c>
    </row>
    <row r="1112" spans="1:14" x14ac:dyDescent="0.35">
      <c r="A1112" t="s">
        <v>2668</v>
      </c>
      <c r="B1112" t="s">
        <v>271</v>
      </c>
      <c r="C1112" t="s">
        <v>1442</v>
      </c>
      <c r="D1112">
        <v>26</v>
      </c>
      <c r="E1112" t="s">
        <v>13</v>
      </c>
      <c r="F1112" s="1">
        <v>44934</v>
      </c>
      <c r="G1112" s="1">
        <v>46059</v>
      </c>
      <c r="H1112" t="s">
        <v>14</v>
      </c>
      <c r="I1112" s="2">
        <v>29148223</v>
      </c>
      <c r="J1112">
        <v>261892</v>
      </c>
      <c r="K1112" t="s">
        <v>15</v>
      </c>
      <c r="L1112" t="str">
        <f t="shared" si="51"/>
        <v>Available</v>
      </c>
      <c r="M1112">
        <f t="shared" si="52"/>
        <v>1</v>
      </c>
      <c r="N1112">
        <f t="shared" si="53"/>
        <v>1</v>
      </c>
    </row>
    <row r="1113" spans="1:14" x14ac:dyDescent="0.35">
      <c r="A1113" t="s">
        <v>2669</v>
      </c>
      <c r="B1113" t="s">
        <v>1375</v>
      </c>
      <c r="C1113" t="s">
        <v>1443</v>
      </c>
      <c r="D1113">
        <v>24</v>
      </c>
      <c r="E1113" t="s">
        <v>13</v>
      </c>
      <c r="F1113" s="1">
        <v>44497</v>
      </c>
      <c r="G1113" s="1">
        <v>46059</v>
      </c>
      <c r="H1113" t="s">
        <v>14</v>
      </c>
      <c r="I1113" s="2">
        <v>23801236</v>
      </c>
      <c r="J1113">
        <v>264730</v>
      </c>
      <c r="K1113" t="s">
        <v>15</v>
      </c>
      <c r="L1113" t="str">
        <f t="shared" si="51"/>
        <v>Available</v>
      </c>
      <c r="M1113">
        <f t="shared" si="52"/>
        <v>1</v>
      </c>
      <c r="N1113">
        <f t="shared" si="53"/>
        <v>1</v>
      </c>
    </row>
    <row r="1114" spans="1:14" x14ac:dyDescent="0.35">
      <c r="A1114" t="s">
        <v>2670</v>
      </c>
      <c r="C1114" t="s">
        <v>1444</v>
      </c>
      <c r="D1114">
        <v>32</v>
      </c>
      <c r="E1114" t="s">
        <v>13</v>
      </c>
      <c r="F1114" s="1">
        <v>44948</v>
      </c>
      <c r="G1114" s="1">
        <v>46059</v>
      </c>
      <c r="H1114" t="s">
        <v>14</v>
      </c>
      <c r="I1114" s="2">
        <v>27593138</v>
      </c>
      <c r="J1114">
        <v>266283</v>
      </c>
      <c r="K1114" t="s">
        <v>15</v>
      </c>
      <c r="L1114" t="str">
        <f t="shared" si="51"/>
        <v>Missing</v>
      </c>
      <c r="M1114">
        <f t="shared" si="52"/>
        <v>1</v>
      </c>
      <c r="N1114">
        <f t="shared" si="53"/>
        <v>0</v>
      </c>
    </row>
    <row r="1115" spans="1:14" x14ac:dyDescent="0.35">
      <c r="A1115" t="s">
        <v>2671</v>
      </c>
      <c r="B1115" t="s">
        <v>27</v>
      </c>
      <c r="C1115" t="s">
        <v>1445</v>
      </c>
      <c r="D1115">
        <v>24</v>
      </c>
      <c r="E1115" t="s">
        <v>13</v>
      </c>
      <c r="F1115" s="1">
        <v>44497</v>
      </c>
      <c r="G1115" s="1">
        <v>46059</v>
      </c>
      <c r="H1115" t="s">
        <v>14</v>
      </c>
      <c r="I1115" s="2">
        <v>283663</v>
      </c>
      <c r="J1115">
        <v>266869</v>
      </c>
      <c r="K1115" t="s">
        <v>15</v>
      </c>
      <c r="L1115" t="str">
        <f t="shared" si="51"/>
        <v>Available</v>
      </c>
      <c r="M1115">
        <f t="shared" si="52"/>
        <v>1</v>
      </c>
      <c r="N1115">
        <f t="shared" si="53"/>
        <v>1</v>
      </c>
    </row>
    <row r="1116" spans="1:14" x14ac:dyDescent="0.35">
      <c r="A1116" t="s">
        <v>2672</v>
      </c>
      <c r="B1116" t="s">
        <v>472</v>
      </c>
      <c r="C1116" t="s">
        <v>1446</v>
      </c>
      <c r="D1116">
        <v>24</v>
      </c>
      <c r="E1116" t="s">
        <v>13</v>
      </c>
      <c r="F1116" s="1">
        <v>44497</v>
      </c>
      <c r="G1116" s="1">
        <v>46059</v>
      </c>
      <c r="H1116" t="s">
        <v>14</v>
      </c>
      <c r="I1116" s="2">
        <v>252568</v>
      </c>
      <c r="J1116">
        <v>261867</v>
      </c>
      <c r="K1116" t="s">
        <v>15</v>
      </c>
      <c r="L1116" t="str">
        <f t="shared" si="51"/>
        <v>Available</v>
      </c>
      <c r="M1116">
        <f t="shared" si="52"/>
        <v>1</v>
      </c>
      <c r="N1116">
        <f t="shared" si="53"/>
        <v>1</v>
      </c>
    </row>
    <row r="1117" spans="1:14" x14ac:dyDescent="0.35">
      <c r="A1117" t="s">
        <v>2673</v>
      </c>
      <c r="B1117" t="s">
        <v>1109</v>
      </c>
      <c r="C1117" t="s">
        <v>1447</v>
      </c>
      <c r="D1117">
        <v>24</v>
      </c>
      <c r="E1117" t="s">
        <v>13</v>
      </c>
      <c r="F1117" s="1">
        <v>44502</v>
      </c>
      <c r="G1117" s="1">
        <v>46059</v>
      </c>
      <c r="H1117" t="s">
        <v>14</v>
      </c>
      <c r="I1117" s="2">
        <v>288441</v>
      </c>
      <c r="J1117">
        <v>261849</v>
      </c>
      <c r="K1117" t="s">
        <v>15</v>
      </c>
      <c r="L1117" t="str">
        <f t="shared" si="51"/>
        <v>Available</v>
      </c>
      <c r="M1117">
        <f t="shared" si="52"/>
        <v>1</v>
      </c>
      <c r="N1117">
        <f t="shared" si="53"/>
        <v>1</v>
      </c>
    </row>
    <row r="1118" spans="1:14" x14ac:dyDescent="0.35">
      <c r="A1118" t="s">
        <v>2674</v>
      </c>
      <c r="B1118" t="s">
        <v>1449</v>
      </c>
      <c r="C1118" t="s">
        <v>1448</v>
      </c>
      <c r="D1118">
        <v>13.76</v>
      </c>
      <c r="E1118" t="s">
        <v>13</v>
      </c>
      <c r="F1118" s="1">
        <v>44500</v>
      </c>
      <c r="G1118" s="1">
        <v>46059</v>
      </c>
      <c r="H1118" t="s">
        <v>14</v>
      </c>
      <c r="I1118" s="2">
        <v>25110687</v>
      </c>
      <c r="J1118">
        <v>261779</v>
      </c>
      <c r="K1118" t="s">
        <v>15</v>
      </c>
      <c r="L1118" t="str">
        <f t="shared" si="51"/>
        <v>Available</v>
      </c>
      <c r="M1118">
        <f t="shared" si="52"/>
        <v>1</v>
      </c>
      <c r="N1118">
        <f t="shared" si="53"/>
        <v>1</v>
      </c>
    </row>
    <row r="1119" spans="1:14" x14ac:dyDescent="0.35">
      <c r="A1119" t="s">
        <v>2675</v>
      </c>
      <c r="B1119" t="s">
        <v>67</v>
      </c>
      <c r="C1119" t="s">
        <v>1450</v>
      </c>
      <c r="D1119">
        <v>15</v>
      </c>
      <c r="E1119" t="s">
        <v>13</v>
      </c>
      <c r="F1119" s="1">
        <v>44497</v>
      </c>
      <c r="G1119" s="1">
        <v>45386</v>
      </c>
      <c r="H1119" t="s">
        <v>14</v>
      </c>
      <c r="I1119" t="s">
        <v>2778</v>
      </c>
      <c r="J1119">
        <v>264428</v>
      </c>
      <c r="K1119" t="s">
        <v>30</v>
      </c>
      <c r="L1119" t="str">
        <f t="shared" si="51"/>
        <v>Available</v>
      </c>
      <c r="M1119">
        <f t="shared" si="52"/>
        <v>0</v>
      </c>
      <c r="N1119">
        <f t="shared" si="53"/>
        <v>1</v>
      </c>
    </row>
    <row r="1120" spans="1:14" x14ac:dyDescent="0.35">
      <c r="A1120" t="s">
        <v>2676</v>
      </c>
      <c r="B1120" t="s">
        <v>261</v>
      </c>
      <c r="C1120" t="s">
        <v>1451</v>
      </c>
      <c r="D1120">
        <v>22.993169999999999</v>
      </c>
      <c r="E1120" t="s">
        <v>35</v>
      </c>
      <c r="F1120" s="1">
        <v>45233</v>
      </c>
      <c r="G1120" s="1">
        <v>45995</v>
      </c>
      <c r="H1120" t="s">
        <v>14</v>
      </c>
      <c r="I1120" t="s">
        <v>2778</v>
      </c>
      <c r="J1120">
        <v>261792</v>
      </c>
      <c r="K1120" t="s">
        <v>30</v>
      </c>
      <c r="L1120" t="str">
        <f t="shared" si="51"/>
        <v>Available</v>
      </c>
      <c r="M1120">
        <f t="shared" si="52"/>
        <v>0</v>
      </c>
      <c r="N1120">
        <f t="shared" si="53"/>
        <v>1</v>
      </c>
    </row>
    <row r="1121" spans="1:14" x14ac:dyDescent="0.35">
      <c r="A1121" t="s">
        <v>2677</v>
      </c>
      <c r="B1121" t="s">
        <v>271</v>
      </c>
      <c r="C1121" t="s">
        <v>1452</v>
      </c>
      <c r="D1121">
        <v>25</v>
      </c>
      <c r="E1121" t="s">
        <v>13</v>
      </c>
      <c r="F1121" s="1">
        <v>44497</v>
      </c>
      <c r="G1121" s="1">
        <v>45918</v>
      </c>
      <c r="H1121" t="s">
        <v>14</v>
      </c>
      <c r="I1121" t="s">
        <v>2778</v>
      </c>
      <c r="J1121">
        <v>267056</v>
      </c>
      <c r="K1121" t="s">
        <v>30</v>
      </c>
      <c r="L1121" t="str">
        <f t="shared" si="51"/>
        <v>Available</v>
      </c>
      <c r="M1121">
        <f t="shared" si="52"/>
        <v>0</v>
      </c>
      <c r="N1121">
        <f t="shared" si="53"/>
        <v>1</v>
      </c>
    </row>
    <row r="1122" spans="1:14" x14ac:dyDescent="0.35">
      <c r="A1122" t="s">
        <v>2678</v>
      </c>
      <c r="B1122" t="s">
        <v>424</v>
      </c>
      <c r="C1122" t="s">
        <v>1453</v>
      </c>
      <c r="D1122">
        <v>45</v>
      </c>
      <c r="E1122" t="s">
        <v>13</v>
      </c>
      <c r="F1122" s="1">
        <v>44497</v>
      </c>
      <c r="G1122" s="1">
        <v>45744</v>
      </c>
      <c r="H1122" t="s">
        <v>14</v>
      </c>
      <c r="I1122" t="s">
        <v>2778</v>
      </c>
      <c r="J1122">
        <v>264435</v>
      </c>
      <c r="K1122" t="s">
        <v>30</v>
      </c>
      <c r="L1122" t="str">
        <f t="shared" si="51"/>
        <v>Available</v>
      </c>
      <c r="M1122">
        <f t="shared" si="52"/>
        <v>0</v>
      </c>
      <c r="N1122">
        <f t="shared" si="53"/>
        <v>1</v>
      </c>
    </row>
    <row r="1123" spans="1:14" x14ac:dyDescent="0.35">
      <c r="A1123" t="s">
        <v>2679</v>
      </c>
      <c r="B1123" t="s">
        <v>58</v>
      </c>
      <c r="C1123" t="s">
        <v>1454</v>
      </c>
      <c r="D1123">
        <v>32</v>
      </c>
      <c r="E1123" t="s">
        <v>13</v>
      </c>
      <c r="F1123" s="1">
        <v>44497</v>
      </c>
      <c r="G1123" s="1">
        <v>46059</v>
      </c>
      <c r="H1123" t="s">
        <v>14</v>
      </c>
      <c r="I1123" t="s">
        <v>2778</v>
      </c>
      <c r="J1123">
        <v>264171</v>
      </c>
      <c r="K1123" t="s">
        <v>30</v>
      </c>
      <c r="L1123" t="str">
        <f t="shared" si="51"/>
        <v>Available</v>
      </c>
      <c r="M1123">
        <f t="shared" si="52"/>
        <v>0</v>
      </c>
      <c r="N1123">
        <f t="shared" si="53"/>
        <v>1</v>
      </c>
    </row>
    <row r="1124" spans="1:14" x14ac:dyDescent="0.35">
      <c r="A1124" t="s">
        <v>2680</v>
      </c>
      <c r="B1124" t="s">
        <v>338</v>
      </c>
      <c r="C1124" t="s">
        <v>1455</v>
      </c>
      <c r="D1124">
        <v>20</v>
      </c>
      <c r="E1124" t="s">
        <v>13</v>
      </c>
      <c r="F1124" s="1">
        <v>45102</v>
      </c>
      <c r="G1124" s="1">
        <v>46059</v>
      </c>
      <c r="H1124" t="s">
        <v>14</v>
      </c>
      <c r="I1124" s="2">
        <v>31998942</v>
      </c>
      <c r="J1124">
        <v>261600</v>
      </c>
      <c r="K1124" t="s">
        <v>15</v>
      </c>
      <c r="L1124" t="str">
        <f t="shared" si="51"/>
        <v>Available</v>
      </c>
      <c r="M1124">
        <f t="shared" si="52"/>
        <v>1</v>
      </c>
      <c r="N1124">
        <f t="shared" si="53"/>
        <v>1</v>
      </c>
    </row>
    <row r="1125" spans="1:14" x14ac:dyDescent="0.35">
      <c r="A1125" t="s">
        <v>2681</v>
      </c>
      <c r="B1125" t="s">
        <v>1457</v>
      </c>
      <c r="C1125" t="s">
        <v>1456</v>
      </c>
      <c r="D1125">
        <v>25.5</v>
      </c>
      <c r="E1125" t="s">
        <v>13</v>
      </c>
      <c r="F1125" s="1">
        <v>45680</v>
      </c>
      <c r="G1125" s="1">
        <v>46057</v>
      </c>
      <c r="H1125" t="s">
        <v>14</v>
      </c>
      <c r="I1125" t="s">
        <v>2778</v>
      </c>
      <c r="J1125">
        <v>262576</v>
      </c>
      <c r="K1125" t="s">
        <v>30</v>
      </c>
      <c r="L1125" t="str">
        <f t="shared" si="51"/>
        <v>Available</v>
      </c>
      <c r="M1125">
        <f t="shared" si="52"/>
        <v>0</v>
      </c>
      <c r="N1125">
        <f t="shared" si="53"/>
        <v>1</v>
      </c>
    </row>
    <row r="1126" spans="1:14" x14ac:dyDescent="0.35">
      <c r="A1126" t="s">
        <v>2682</v>
      </c>
      <c r="B1126" t="s">
        <v>200</v>
      </c>
      <c r="C1126" t="s">
        <v>1458</v>
      </c>
      <c r="D1126">
        <v>26</v>
      </c>
      <c r="E1126" t="s">
        <v>13</v>
      </c>
      <c r="F1126" s="1">
        <v>44497</v>
      </c>
      <c r="G1126" s="1">
        <v>46059</v>
      </c>
      <c r="H1126" t="s">
        <v>14</v>
      </c>
      <c r="I1126" s="2">
        <v>1387308</v>
      </c>
      <c r="J1126">
        <v>264408</v>
      </c>
      <c r="K1126" t="s">
        <v>15</v>
      </c>
      <c r="L1126" t="str">
        <f t="shared" si="51"/>
        <v>Available</v>
      </c>
      <c r="M1126">
        <f t="shared" si="52"/>
        <v>1</v>
      </c>
      <c r="N1126">
        <f t="shared" si="53"/>
        <v>1</v>
      </c>
    </row>
    <row r="1127" spans="1:14" x14ac:dyDescent="0.35">
      <c r="A1127" t="s">
        <v>2683</v>
      </c>
      <c r="B1127" t="s">
        <v>1336</v>
      </c>
      <c r="C1127" t="s">
        <v>1459</v>
      </c>
      <c r="D1127">
        <v>24.007574000000002</v>
      </c>
      <c r="E1127" t="s">
        <v>35</v>
      </c>
      <c r="F1127" s="1">
        <v>45981</v>
      </c>
      <c r="G1127" s="1">
        <v>46058</v>
      </c>
      <c r="H1127" t="s">
        <v>14</v>
      </c>
      <c r="I1127" t="s">
        <v>2778</v>
      </c>
      <c r="J1127">
        <v>264321</v>
      </c>
      <c r="K1127" t="s">
        <v>30</v>
      </c>
      <c r="L1127" t="str">
        <f t="shared" si="51"/>
        <v>Available</v>
      </c>
      <c r="M1127">
        <f t="shared" si="52"/>
        <v>0</v>
      </c>
      <c r="N1127">
        <f t="shared" si="53"/>
        <v>1</v>
      </c>
    </row>
    <row r="1128" spans="1:14" x14ac:dyDescent="0.35">
      <c r="A1128" t="s">
        <v>2684</v>
      </c>
      <c r="B1128" t="s">
        <v>27</v>
      </c>
      <c r="C1128" t="s">
        <v>1460</v>
      </c>
      <c r="D1128">
        <v>24</v>
      </c>
      <c r="E1128" t="s">
        <v>13</v>
      </c>
      <c r="F1128" s="1">
        <v>44497</v>
      </c>
      <c r="G1128" s="1">
        <v>46059</v>
      </c>
      <c r="H1128" t="s">
        <v>14</v>
      </c>
      <c r="I1128" s="2">
        <v>20034385</v>
      </c>
      <c r="J1128">
        <v>261753</v>
      </c>
      <c r="K1128" t="s">
        <v>15</v>
      </c>
      <c r="L1128" t="str">
        <f t="shared" si="51"/>
        <v>Available</v>
      </c>
      <c r="M1128">
        <f t="shared" si="52"/>
        <v>1</v>
      </c>
      <c r="N1128">
        <f t="shared" si="53"/>
        <v>1</v>
      </c>
    </row>
    <row r="1129" spans="1:14" x14ac:dyDescent="0.35">
      <c r="A1129" t="s">
        <v>2685</v>
      </c>
      <c r="B1129" t="s">
        <v>312</v>
      </c>
      <c r="C1129" t="s">
        <v>1461</v>
      </c>
      <c r="D1129">
        <v>32</v>
      </c>
      <c r="E1129" t="s">
        <v>13</v>
      </c>
      <c r="F1129" s="1">
        <v>44497</v>
      </c>
      <c r="G1129" s="1">
        <v>46059</v>
      </c>
      <c r="H1129" t="s">
        <v>14</v>
      </c>
      <c r="I1129" s="2">
        <v>110868</v>
      </c>
      <c r="J1129">
        <v>266425</v>
      </c>
      <c r="K1129" t="s">
        <v>15</v>
      </c>
      <c r="L1129" t="str">
        <f t="shared" si="51"/>
        <v>Available</v>
      </c>
      <c r="M1129">
        <f t="shared" si="52"/>
        <v>1</v>
      </c>
      <c r="N1129">
        <f t="shared" si="53"/>
        <v>1</v>
      </c>
    </row>
    <row r="1130" spans="1:14" x14ac:dyDescent="0.35">
      <c r="A1130" t="s">
        <v>2686</v>
      </c>
      <c r="B1130" t="s">
        <v>1463</v>
      </c>
      <c r="C1130" t="s">
        <v>1462</v>
      </c>
      <c r="D1130">
        <v>16</v>
      </c>
      <c r="E1130" t="s">
        <v>13</v>
      </c>
      <c r="F1130" s="1">
        <v>45201</v>
      </c>
      <c r="G1130" s="1">
        <v>45961</v>
      </c>
      <c r="H1130" t="s">
        <v>14</v>
      </c>
      <c r="I1130" t="s">
        <v>2778</v>
      </c>
      <c r="J1130">
        <v>264028</v>
      </c>
      <c r="K1130" t="s">
        <v>30</v>
      </c>
      <c r="L1130" t="str">
        <f t="shared" si="51"/>
        <v>Available</v>
      </c>
      <c r="M1130">
        <f t="shared" si="52"/>
        <v>0</v>
      </c>
      <c r="N1130">
        <f t="shared" si="53"/>
        <v>1</v>
      </c>
    </row>
    <row r="1131" spans="1:14" x14ac:dyDescent="0.35">
      <c r="A1131" t="s">
        <v>2687</v>
      </c>
      <c r="C1131" t="s">
        <v>1464</v>
      </c>
      <c r="D1131">
        <v>1</v>
      </c>
      <c r="E1131" t="s">
        <v>13</v>
      </c>
      <c r="F1131" s="1">
        <v>44497</v>
      </c>
      <c r="G1131" s="1">
        <v>46059</v>
      </c>
      <c r="H1131" t="s">
        <v>14</v>
      </c>
      <c r="I1131" t="s">
        <v>2778</v>
      </c>
      <c r="J1131">
        <v>267061</v>
      </c>
      <c r="K1131" t="s">
        <v>30</v>
      </c>
      <c r="L1131" t="str">
        <f t="shared" si="51"/>
        <v>Missing</v>
      </c>
      <c r="M1131">
        <f t="shared" si="52"/>
        <v>0</v>
      </c>
      <c r="N1131">
        <f t="shared" si="53"/>
        <v>0</v>
      </c>
    </row>
    <row r="1132" spans="1:14" x14ac:dyDescent="0.35">
      <c r="A1132" t="s">
        <v>2688</v>
      </c>
      <c r="B1132" t="s">
        <v>19</v>
      </c>
      <c r="C1132" t="s">
        <v>1465</v>
      </c>
      <c r="D1132">
        <v>32</v>
      </c>
      <c r="E1132" t="s">
        <v>13</v>
      </c>
      <c r="F1132" s="1">
        <v>44497</v>
      </c>
      <c r="G1132" s="1">
        <v>46060</v>
      </c>
      <c r="H1132" t="s">
        <v>14</v>
      </c>
      <c r="I1132" s="2">
        <v>20128007</v>
      </c>
      <c r="J1132">
        <v>266382</v>
      </c>
      <c r="K1132" t="s">
        <v>15</v>
      </c>
      <c r="L1132" t="str">
        <f t="shared" si="51"/>
        <v>Available</v>
      </c>
      <c r="M1132">
        <f t="shared" si="52"/>
        <v>1</v>
      </c>
      <c r="N1132">
        <f t="shared" si="53"/>
        <v>1</v>
      </c>
    </row>
    <row r="1133" spans="1:14" x14ac:dyDescent="0.35">
      <c r="A1133" t="s">
        <v>2689</v>
      </c>
      <c r="B1133" t="s">
        <v>271</v>
      </c>
      <c r="C1133" t="s">
        <v>1466</v>
      </c>
      <c r="D1133">
        <v>25</v>
      </c>
      <c r="E1133" t="s">
        <v>13</v>
      </c>
      <c r="F1133" s="1">
        <v>44497</v>
      </c>
      <c r="G1133" s="1">
        <v>45918</v>
      </c>
      <c r="H1133" t="s">
        <v>14</v>
      </c>
      <c r="I1133" t="s">
        <v>2778</v>
      </c>
      <c r="J1133">
        <v>267060</v>
      </c>
      <c r="K1133" t="s">
        <v>30</v>
      </c>
      <c r="L1133" t="str">
        <f t="shared" si="51"/>
        <v>Available</v>
      </c>
      <c r="M1133">
        <f t="shared" si="52"/>
        <v>0</v>
      </c>
      <c r="N1133">
        <f t="shared" si="53"/>
        <v>1</v>
      </c>
    </row>
    <row r="1134" spans="1:14" x14ac:dyDescent="0.35">
      <c r="A1134" t="s">
        <v>2690</v>
      </c>
      <c r="B1134" t="s">
        <v>29</v>
      </c>
      <c r="C1134" t="s">
        <v>1467</v>
      </c>
      <c r="D1134">
        <v>40</v>
      </c>
      <c r="E1134" t="s">
        <v>13</v>
      </c>
      <c r="F1134" s="1">
        <v>45756</v>
      </c>
      <c r="G1134" s="1">
        <v>46059</v>
      </c>
      <c r="H1134" t="s">
        <v>14</v>
      </c>
      <c r="I1134" s="2">
        <v>19461179</v>
      </c>
      <c r="J1134">
        <v>262218</v>
      </c>
      <c r="K1134" t="s">
        <v>15</v>
      </c>
      <c r="L1134" t="str">
        <f t="shared" si="51"/>
        <v>Available</v>
      </c>
      <c r="M1134">
        <f t="shared" si="52"/>
        <v>1</v>
      </c>
      <c r="N1134">
        <f t="shared" si="53"/>
        <v>1</v>
      </c>
    </row>
    <row r="1135" spans="1:14" x14ac:dyDescent="0.35">
      <c r="A1135" t="s">
        <v>2691</v>
      </c>
      <c r="B1135" t="s">
        <v>12</v>
      </c>
      <c r="C1135" t="s">
        <v>1468</v>
      </c>
      <c r="D1135">
        <v>24</v>
      </c>
      <c r="E1135" t="s">
        <v>13</v>
      </c>
      <c r="F1135" s="1">
        <v>44497</v>
      </c>
      <c r="G1135" s="1">
        <v>46059</v>
      </c>
      <c r="H1135" t="s">
        <v>14</v>
      </c>
      <c r="I1135" s="2">
        <v>39369</v>
      </c>
      <c r="J1135">
        <v>262152</v>
      </c>
      <c r="K1135" t="s">
        <v>15</v>
      </c>
      <c r="L1135" t="str">
        <f t="shared" si="51"/>
        <v>Available</v>
      </c>
      <c r="M1135">
        <f t="shared" si="52"/>
        <v>1</v>
      </c>
      <c r="N1135">
        <f t="shared" si="53"/>
        <v>1</v>
      </c>
    </row>
    <row r="1136" spans="1:14" x14ac:dyDescent="0.35">
      <c r="A1136" t="s">
        <v>2692</v>
      </c>
      <c r="B1136" t="s">
        <v>194</v>
      </c>
      <c r="C1136" t="s">
        <v>1469</v>
      </c>
      <c r="D1136">
        <v>26</v>
      </c>
      <c r="E1136" t="s">
        <v>13</v>
      </c>
      <c r="F1136" s="1">
        <v>44502</v>
      </c>
      <c r="G1136" s="1">
        <v>45817</v>
      </c>
      <c r="H1136" t="s">
        <v>14</v>
      </c>
      <c r="I1136" t="s">
        <v>2778</v>
      </c>
      <c r="J1136">
        <v>261478</v>
      </c>
      <c r="K1136" t="s">
        <v>30</v>
      </c>
      <c r="L1136" t="str">
        <f t="shared" si="51"/>
        <v>Available</v>
      </c>
      <c r="M1136">
        <f t="shared" si="52"/>
        <v>0</v>
      </c>
      <c r="N1136">
        <f t="shared" si="53"/>
        <v>1</v>
      </c>
    </row>
    <row r="1137" spans="1:14" x14ac:dyDescent="0.35">
      <c r="A1137" t="s">
        <v>2693</v>
      </c>
      <c r="B1137" t="s">
        <v>156</v>
      </c>
      <c r="C1137" t="s">
        <v>1470</v>
      </c>
      <c r="D1137">
        <v>32</v>
      </c>
      <c r="E1137" t="s">
        <v>13</v>
      </c>
      <c r="F1137" s="1">
        <v>44633</v>
      </c>
      <c r="G1137" s="1">
        <v>46059</v>
      </c>
      <c r="H1137" t="s">
        <v>14</v>
      </c>
      <c r="I1137" s="2">
        <v>27089174</v>
      </c>
      <c r="J1137">
        <v>261742</v>
      </c>
      <c r="K1137" t="s">
        <v>15</v>
      </c>
      <c r="L1137" t="str">
        <f t="shared" si="51"/>
        <v>Available</v>
      </c>
      <c r="M1137">
        <f t="shared" si="52"/>
        <v>1</v>
      </c>
      <c r="N1137">
        <f t="shared" si="53"/>
        <v>1</v>
      </c>
    </row>
    <row r="1138" spans="1:14" x14ac:dyDescent="0.35">
      <c r="A1138" t="s">
        <v>2694</v>
      </c>
      <c r="B1138" t="s">
        <v>1090</v>
      </c>
      <c r="C1138" t="s">
        <v>1471</v>
      </c>
      <c r="D1138">
        <v>24</v>
      </c>
      <c r="E1138" t="s">
        <v>13</v>
      </c>
      <c r="F1138" s="1">
        <v>44497</v>
      </c>
      <c r="G1138" s="1">
        <v>46060</v>
      </c>
      <c r="H1138" t="s">
        <v>14</v>
      </c>
      <c r="I1138" s="2">
        <v>39353</v>
      </c>
      <c r="J1138">
        <v>266347</v>
      </c>
      <c r="K1138" t="s">
        <v>15</v>
      </c>
      <c r="L1138" t="str">
        <f t="shared" si="51"/>
        <v>Available</v>
      </c>
      <c r="M1138">
        <f t="shared" si="52"/>
        <v>1</v>
      </c>
      <c r="N1138">
        <f t="shared" si="53"/>
        <v>1</v>
      </c>
    </row>
    <row r="1139" spans="1:14" x14ac:dyDescent="0.35">
      <c r="A1139" t="s">
        <v>2695</v>
      </c>
      <c r="B1139" t="s">
        <v>58</v>
      </c>
      <c r="C1139" t="s">
        <v>1472</v>
      </c>
      <c r="D1139">
        <v>20.288091000000001</v>
      </c>
      <c r="E1139" t="s">
        <v>35</v>
      </c>
      <c r="F1139" s="1">
        <v>45562</v>
      </c>
      <c r="G1139" s="1">
        <v>46058</v>
      </c>
      <c r="H1139" t="s">
        <v>14</v>
      </c>
      <c r="I1139" t="s">
        <v>2778</v>
      </c>
      <c r="J1139">
        <v>264272</v>
      </c>
      <c r="K1139" t="s">
        <v>30</v>
      </c>
      <c r="L1139" t="str">
        <f t="shared" si="51"/>
        <v>Available</v>
      </c>
      <c r="M1139">
        <f t="shared" si="52"/>
        <v>0</v>
      </c>
      <c r="N1139">
        <f t="shared" si="53"/>
        <v>1</v>
      </c>
    </row>
    <row r="1140" spans="1:14" x14ac:dyDescent="0.35">
      <c r="A1140" t="s">
        <v>2696</v>
      </c>
      <c r="B1140" t="s">
        <v>481</v>
      </c>
      <c r="C1140" t="s">
        <v>1473</v>
      </c>
      <c r="D1140">
        <v>25</v>
      </c>
      <c r="E1140" t="s">
        <v>13</v>
      </c>
      <c r="F1140" s="1">
        <v>44497</v>
      </c>
      <c r="G1140" s="1">
        <v>46058</v>
      </c>
      <c r="H1140" t="s">
        <v>14</v>
      </c>
      <c r="I1140" s="2">
        <v>23538514</v>
      </c>
      <c r="J1140">
        <v>264205</v>
      </c>
      <c r="K1140" t="s">
        <v>15</v>
      </c>
      <c r="L1140" t="str">
        <f t="shared" si="51"/>
        <v>Available</v>
      </c>
      <c r="M1140">
        <f t="shared" si="52"/>
        <v>1</v>
      </c>
      <c r="N1140">
        <f t="shared" si="53"/>
        <v>1</v>
      </c>
    </row>
    <row r="1141" spans="1:14" x14ac:dyDescent="0.35">
      <c r="A1141" t="s">
        <v>2697</v>
      </c>
      <c r="B1141" t="s">
        <v>71</v>
      </c>
      <c r="C1141" t="s">
        <v>1474</v>
      </c>
      <c r="D1141">
        <v>24</v>
      </c>
      <c r="E1141" t="s">
        <v>13</v>
      </c>
      <c r="F1141" s="1">
        <v>44497</v>
      </c>
      <c r="G1141" s="1">
        <v>46059</v>
      </c>
      <c r="H1141" t="s">
        <v>14</v>
      </c>
      <c r="I1141" s="2">
        <v>36095</v>
      </c>
      <c r="J1141">
        <v>262291</v>
      </c>
      <c r="K1141" t="s">
        <v>15</v>
      </c>
      <c r="L1141" t="str">
        <f t="shared" si="51"/>
        <v>Available</v>
      </c>
      <c r="M1141">
        <f t="shared" si="52"/>
        <v>1</v>
      </c>
      <c r="N1141">
        <f t="shared" si="53"/>
        <v>1</v>
      </c>
    </row>
    <row r="1142" spans="1:14" x14ac:dyDescent="0.35">
      <c r="A1142" t="s">
        <v>2698</v>
      </c>
      <c r="B1142" t="s">
        <v>628</v>
      </c>
      <c r="C1142" t="s">
        <v>1475</v>
      </c>
      <c r="D1142">
        <v>24</v>
      </c>
      <c r="E1142" t="s">
        <v>13</v>
      </c>
      <c r="F1142" s="1">
        <v>45035</v>
      </c>
      <c r="G1142" s="1">
        <v>46057</v>
      </c>
      <c r="H1142" t="s">
        <v>14</v>
      </c>
      <c r="I1142" s="2">
        <v>30529941</v>
      </c>
      <c r="J1142">
        <v>264021</v>
      </c>
      <c r="K1142" t="s">
        <v>15</v>
      </c>
      <c r="L1142" t="str">
        <f t="shared" si="51"/>
        <v>Available</v>
      </c>
      <c r="M1142">
        <f t="shared" si="52"/>
        <v>1</v>
      </c>
      <c r="N1142">
        <f t="shared" si="53"/>
        <v>1</v>
      </c>
    </row>
    <row r="1143" spans="1:14" x14ac:dyDescent="0.35">
      <c r="A1143" t="s">
        <v>2699</v>
      </c>
      <c r="B1143" t="s">
        <v>1477</v>
      </c>
      <c r="C1143" t="s">
        <v>1476</v>
      </c>
      <c r="D1143">
        <v>13.76</v>
      </c>
      <c r="E1143" t="s">
        <v>13</v>
      </c>
      <c r="F1143" s="1">
        <v>44500</v>
      </c>
      <c r="G1143" s="1">
        <v>46058</v>
      </c>
      <c r="H1143" t="s">
        <v>14</v>
      </c>
      <c r="I1143" s="2">
        <v>25055361</v>
      </c>
      <c r="J1143">
        <v>266825</v>
      </c>
      <c r="K1143" t="s">
        <v>15</v>
      </c>
      <c r="L1143" t="str">
        <f t="shared" si="51"/>
        <v>Available</v>
      </c>
      <c r="M1143">
        <f t="shared" si="52"/>
        <v>1</v>
      </c>
      <c r="N1143">
        <f t="shared" si="53"/>
        <v>1</v>
      </c>
    </row>
    <row r="1144" spans="1:14" x14ac:dyDescent="0.35">
      <c r="A1144" t="s">
        <v>2700</v>
      </c>
      <c r="B1144" t="s">
        <v>12</v>
      </c>
      <c r="C1144" t="s">
        <v>1478</v>
      </c>
      <c r="D1144">
        <v>24</v>
      </c>
      <c r="E1144" t="s">
        <v>13</v>
      </c>
      <c r="F1144" s="1">
        <v>44497</v>
      </c>
      <c r="G1144" s="1">
        <v>46059</v>
      </c>
      <c r="H1144" t="s">
        <v>14</v>
      </c>
      <c r="I1144" s="2">
        <v>73924</v>
      </c>
      <c r="J1144">
        <v>266327</v>
      </c>
      <c r="K1144" t="s">
        <v>15</v>
      </c>
      <c r="L1144" t="str">
        <f t="shared" si="51"/>
        <v>Available</v>
      </c>
      <c r="M1144">
        <f t="shared" si="52"/>
        <v>1</v>
      </c>
      <c r="N1144">
        <f t="shared" si="53"/>
        <v>1</v>
      </c>
    </row>
    <row r="1145" spans="1:14" x14ac:dyDescent="0.35">
      <c r="A1145" t="s">
        <v>2701</v>
      </c>
      <c r="B1145" t="s">
        <v>47</v>
      </c>
      <c r="C1145" t="s">
        <v>1479</v>
      </c>
      <c r="D1145">
        <v>23.9</v>
      </c>
      <c r="E1145" t="s">
        <v>13</v>
      </c>
      <c r="F1145" s="1">
        <v>44497</v>
      </c>
      <c r="G1145" s="1">
        <v>46060</v>
      </c>
      <c r="H1145" t="s">
        <v>14</v>
      </c>
      <c r="I1145" s="2">
        <v>39338</v>
      </c>
      <c r="J1145">
        <v>264358</v>
      </c>
      <c r="K1145" t="s">
        <v>15</v>
      </c>
      <c r="L1145" t="str">
        <f t="shared" si="51"/>
        <v>Available</v>
      </c>
      <c r="M1145">
        <f t="shared" si="52"/>
        <v>1</v>
      </c>
      <c r="N1145">
        <f t="shared" si="53"/>
        <v>1</v>
      </c>
    </row>
    <row r="1146" spans="1:14" x14ac:dyDescent="0.35">
      <c r="A1146" t="s">
        <v>2702</v>
      </c>
      <c r="B1146" t="s">
        <v>186</v>
      </c>
      <c r="C1146" t="s">
        <v>1480</v>
      </c>
      <c r="D1146">
        <v>18</v>
      </c>
      <c r="E1146" t="s">
        <v>13</v>
      </c>
      <c r="F1146" s="1">
        <v>44498</v>
      </c>
      <c r="G1146" s="1">
        <v>45888</v>
      </c>
      <c r="H1146" t="s">
        <v>14</v>
      </c>
      <c r="I1146" s="2">
        <v>135704</v>
      </c>
      <c r="J1146">
        <v>262215</v>
      </c>
      <c r="K1146" t="s">
        <v>15</v>
      </c>
      <c r="L1146" t="str">
        <f t="shared" si="51"/>
        <v>Available</v>
      </c>
      <c r="M1146">
        <f t="shared" si="52"/>
        <v>1</v>
      </c>
      <c r="N1146">
        <f t="shared" si="53"/>
        <v>1</v>
      </c>
    </row>
    <row r="1147" spans="1:14" x14ac:dyDescent="0.35">
      <c r="A1147" t="s">
        <v>2703</v>
      </c>
      <c r="B1147" t="s">
        <v>96</v>
      </c>
      <c r="C1147" t="s">
        <v>1481</v>
      </c>
      <c r="D1147">
        <v>24</v>
      </c>
      <c r="E1147" t="s">
        <v>13</v>
      </c>
      <c r="F1147" s="1">
        <v>44497</v>
      </c>
      <c r="G1147" s="1">
        <v>45699</v>
      </c>
      <c r="H1147" t="s">
        <v>14</v>
      </c>
      <c r="I1147" t="s">
        <v>2778</v>
      </c>
      <c r="J1147">
        <v>264040</v>
      </c>
      <c r="K1147" t="s">
        <v>30</v>
      </c>
      <c r="L1147" t="str">
        <f t="shared" si="51"/>
        <v>Available</v>
      </c>
      <c r="M1147">
        <f t="shared" si="52"/>
        <v>0</v>
      </c>
      <c r="N1147">
        <f t="shared" si="53"/>
        <v>1</v>
      </c>
    </row>
    <row r="1148" spans="1:14" x14ac:dyDescent="0.35">
      <c r="A1148" t="s">
        <v>2704</v>
      </c>
      <c r="C1148" t="s">
        <v>1482</v>
      </c>
      <c r="D1148">
        <v>15.3</v>
      </c>
      <c r="E1148" t="s">
        <v>13</v>
      </c>
      <c r="F1148" s="1">
        <v>44497</v>
      </c>
      <c r="G1148" s="1">
        <v>46059</v>
      </c>
      <c r="H1148" t="s">
        <v>14</v>
      </c>
      <c r="I1148" t="s">
        <v>2778</v>
      </c>
      <c r="J1148">
        <v>262200</v>
      </c>
      <c r="K1148" t="s">
        <v>30</v>
      </c>
      <c r="L1148" t="str">
        <f t="shared" si="51"/>
        <v>Missing</v>
      </c>
      <c r="M1148">
        <f t="shared" si="52"/>
        <v>0</v>
      </c>
      <c r="N1148">
        <f t="shared" si="53"/>
        <v>0</v>
      </c>
    </row>
    <row r="1149" spans="1:14" x14ac:dyDescent="0.35">
      <c r="A1149" t="s">
        <v>2705</v>
      </c>
      <c r="B1149" t="s">
        <v>29</v>
      </c>
      <c r="C1149" t="s">
        <v>1483</v>
      </c>
      <c r="D1149">
        <v>32</v>
      </c>
      <c r="E1149" t="s">
        <v>13</v>
      </c>
      <c r="F1149" s="1">
        <v>44502</v>
      </c>
      <c r="G1149" s="1">
        <v>46057</v>
      </c>
      <c r="H1149" t="s">
        <v>14</v>
      </c>
      <c r="I1149" s="2">
        <v>24809</v>
      </c>
      <c r="J1149">
        <v>262620</v>
      </c>
      <c r="K1149" t="s">
        <v>15</v>
      </c>
      <c r="L1149" t="str">
        <f t="shared" si="51"/>
        <v>Available</v>
      </c>
      <c r="M1149">
        <f t="shared" si="52"/>
        <v>1</v>
      </c>
      <c r="N1149">
        <f t="shared" si="53"/>
        <v>1</v>
      </c>
    </row>
    <row r="1150" spans="1:14" x14ac:dyDescent="0.35">
      <c r="A1150" t="s">
        <v>2706</v>
      </c>
      <c r="B1150" t="s">
        <v>1485</v>
      </c>
      <c r="C1150" t="s">
        <v>1484</v>
      </c>
      <c r="D1150">
        <v>10.144045</v>
      </c>
      <c r="E1150" t="s">
        <v>35</v>
      </c>
      <c r="F1150" s="1">
        <v>44497</v>
      </c>
      <c r="G1150" s="1">
        <v>46058</v>
      </c>
      <c r="H1150" t="s">
        <v>14</v>
      </c>
      <c r="I1150" t="s">
        <v>2778</v>
      </c>
      <c r="J1150">
        <v>261691</v>
      </c>
      <c r="K1150" t="s">
        <v>30</v>
      </c>
      <c r="L1150" t="str">
        <f t="shared" si="51"/>
        <v>Available</v>
      </c>
      <c r="M1150">
        <f t="shared" si="52"/>
        <v>0</v>
      </c>
      <c r="N1150">
        <f t="shared" si="53"/>
        <v>1</v>
      </c>
    </row>
    <row r="1151" spans="1:14" x14ac:dyDescent="0.35">
      <c r="A1151" t="s">
        <v>2707</v>
      </c>
      <c r="B1151" t="s">
        <v>121</v>
      </c>
      <c r="C1151" t="s">
        <v>1486</v>
      </c>
      <c r="F1151" s="1">
        <v>44497</v>
      </c>
      <c r="G1151" s="1">
        <v>45088</v>
      </c>
      <c r="H1151" t="s">
        <v>14</v>
      </c>
      <c r="I1151" t="s">
        <v>2778</v>
      </c>
      <c r="J1151">
        <v>261488</v>
      </c>
      <c r="K1151" t="s">
        <v>30</v>
      </c>
      <c r="L1151" t="str">
        <f t="shared" si="51"/>
        <v>Available</v>
      </c>
      <c r="M1151">
        <f t="shared" si="52"/>
        <v>0</v>
      </c>
      <c r="N1151">
        <f t="shared" si="53"/>
        <v>1</v>
      </c>
    </row>
    <row r="1152" spans="1:14" x14ac:dyDescent="0.35">
      <c r="A1152" t="s">
        <v>2708</v>
      </c>
      <c r="B1152" t="s">
        <v>428</v>
      </c>
      <c r="C1152" t="s">
        <v>1487</v>
      </c>
      <c r="D1152">
        <v>24</v>
      </c>
      <c r="E1152" t="s">
        <v>13</v>
      </c>
      <c r="F1152" s="1">
        <v>45693</v>
      </c>
      <c r="G1152" s="1">
        <v>46059</v>
      </c>
      <c r="H1152" t="s">
        <v>14</v>
      </c>
      <c r="I1152" s="2">
        <v>33224734</v>
      </c>
      <c r="J1152">
        <v>266410</v>
      </c>
      <c r="K1152" t="s">
        <v>15</v>
      </c>
      <c r="L1152" t="str">
        <f t="shared" si="51"/>
        <v>Available</v>
      </c>
      <c r="M1152">
        <f t="shared" si="52"/>
        <v>1</v>
      </c>
      <c r="N1152">
        <f t="shared" si="53"/>
        <v>1</v>
      </c>
    </row>
    <row r="1153" spans="1:14" x14ac:dyDescent="0.35">
      <c r="A1153" t="s">
        <v>2709</v>
      </c>
      <c r="B1153" t="s">
        <v>293</v>
      </c>
      <c r="C1153" t="s">
        <v>1488</v>
      </c>
      <c r="D1153">
        <v>18.5</v>
      </c>
      <c r="E1153" t="s">
        <v>13</v>
      </c>
      <c r="F1153" s="1">
        <v>44497</v>
      </c>
      <c r="G1153" s="1">
        <v>46059</v>
      </c>
      <c r="H1153" t="s">
        <v>14</v>
      </c>
      <c r="I1153" s="2">
        <v>162268</v>
      </c>
      <c r="J1153">
        <v>266518</v>
      </c>
      <c r="K1153" t="s">
        <v>15</v>
      </c>
      <c r="L1153" t="str">
        <f t="shared" si="51"/>
        <v>Available</v>
      </c>
      <c r="M1153">
        <f t="shared" si="52"/>
        <v>1</v>
      </c>
      <c r="N1153">
        <f t="shared" si="53"/>
        <v>1</v>
      </c>
    </row>
    <row r="1154" spans="1:14" x14ac:dyDescent="0.35">
      <c r="A1154" t="s">
        <v>2710</v>
      </c>
      <c r="C1154" t="s">
        <v>1489</v>
      </c>
      <c r="D1154">
        <v>32</v>
      </c>
      <c r="E1154" t="s">
        <v>13</v>
      </c>
      <c r="F1154" s="1">
        <v>44497</v>
      </c>
      <c r="G1154" s="1">
        <v>46058</v>
      </c>
      <c r="H1154" t="s">
        <v>14</v>
      </c>
      <c r="I1154" s="2">
        <v>17495657</v>
      </c>
      <c r="J1154">
        <v>266426</v>
      </c>
      <c r="K1154" t="s">
        <v>15</v>
      </c>
      <c r="L1154" t="str">
        <f t="shared" si="51"/>
        <v>Missing</v>
      </c>
      <c r="M1154">
        <f t="shared" si="52"/>
        <v>1</v>
      </c>
      <c r="N1154">
        <f t="shared" si="53"/>
        <v>0</v>
      </c>
    </row>
    <row r="1155" spans="1:14" x14ac:dyDescent="0.35">
      <c r="A1155" t="s">
        <v>2711</v>
      </c>
      <c r="B1155" t="s">
        <v>1491</v>
      </c>
      <c r="C1155" t="s">
        <v>1490</v>
      </c>
      <c r="D1155">
        <v>15</v>
      </c>
      <c r="E1155" t="s">
        <v>13</v>
      </c>
      <c r="F1155" s="1">
        <v>44497</v>
      </c>
      <c r="G1155" s="1">
        <v>46059</v>
      </c>
      <c r="H1155" t="s">
        <v>14</v>
      </c>
      <c r="I1155" s="2">
        <v>2568393</v>
      </c>
      <c r="J1155">
        <v>264711</v>
      </c>
      <c r="K1155" t="s">
        <v>15</v>
      </c>
      <c r="L1155" t="str">
        <f t="shared" ref="L1155:L1218" si="54">IF(OR(B1155="",ISBLANK(B1155)),"Missing","Available")</f>
        <v>Available</v>
      </c>
      <c r="M1155">
        <f t="shared" ref="M1155:M1218" si="55">IF(K1155="Mapped",1,0)</f>
        <v>1</v>
      </c>
      <c r="N1155">
        <f t="shared" ref="N1155:N1218" si="56">IF(AND(B1155&lt;&gt;"",A1155&lt;&gt;""),1,0)</f>
        <v>1</v>
      </c>
    </row>
    <row r="1156" spans="1:14" x14ac:dyDescent="0.35">
      <c r="A1156" t="s">
        <v>2712</v>
      </c>
      <c r="B1156" t="s">
        <v>152</v>
      </c>
      <c r="C1156" t="s">
        <v>1492</v>
      </c>
      <c r="D1156">
        <v>16</v>
      </c>
      <c r="E1156" t="s">
        <v>13</v>
      </c>
      <c r="F1156" s="1">
        <v>44497</v>
      </c>
      <c r="G1156" s="1">
        <v>45961</v>
      </c>
      <c r="H1156" t="s">
        <v>14</v>
      </c>
      <c r="I1156" t="s">
        <v>2778</v>
      </c>
      <c r="J1156">
        <v>264540</v>
      </c>
      <c r="K1156" t="s">
        <v>30</v>
      </c>
      <c r="L1156" t="str">
        <f t="shared" si="54"/>
        <v>Available</v>
      </c>
      <c r="M1156">
        <f t="shared" si="55"/>
        <v>0</v>
      </c>
      <c r="N1156">
        <f t="shared" si="56"/>
        <v>1</v>
      </c>
    </row>
    <row r="1157" spans="1:14" x14ac:dyDescent="0.35">
      <c r="A1157" t="s">
        <v>2713</v>
      </c>
      <c r="B1157" t="s">
        <v>47</v>
      </c>
      <c r="C1157" t="s">
        <v>1493</v>
      </c>
      <c r="D1157">
        <v>23.9</v>
      </c>
      <c r="E1157" t="s">
        <v>13</v>
      </c>
      <c r="F1157" s="1">
        <v>44497</v>
      </c>
      <c r="G1157" s="1">
        <v>46059</v>
      </c>
      <c r="H1157" t="s">
        <v>14</v>
      </c>
      <c r="I1157" s="2">
        <v>77117</v>
      </c>
      <c r="J1157">
        <v>264262</v>
      </c>
      <c r="K1157" t="s">
        <v>15</v>
      </c>
      <c r="L1157" t="str">
        <f t="shared" si="54"/>
        <v>Available</v>
      </c>
      <c r="M1157">
        <f t="shared" si="55"/>
        <v>1</v>
      </c>
      <c r="N1157">
        <f t="shared" si="56"/>
        <v>1</v>
      </c>
    </row>
    <row r="1158" spans="1:14" x14ac:dyDescent="0.35">
      <c r="A1158" t="s">
        <v>2714</v>
      </c>
      <c r="B1158" t="s">
        <v>58</v>
      </c>
      <c r="C1158" t="s">
        <v>1494</v>
      </c>
      <c r="D1158">
        <v>21.978764999999999</v>
      </c>
      <c r="E1158" t="s">
        <v>35</v>
      </c>
      <c r="F1158" s="1">
        <v>44497</v>
      </c>
      <c r="G1158" s="1">
        <v>45708</v>
      </c>
      <c r="H1158" t="s">
        <v>14</v>
      </c>
      <c r="I1158" t="s">
        <v>2778</v>
      </c>
      <c r="J1158">
        <v>262038</v>
      </c>
      <c r="K1158" t="s">
        <v>30</v>
      </c>
      <c r="L1158" t="str">
        <f t="shared" si="54"/>
        <v>Available</v>
      </c>
      <c r="M1158">
        <f t="shared" si="55"/>
        <v>0</v>
      </c>
      <c r="N1158">
        <f t="shared" si="56"/>
        <v>1</v>
      </c>
    </row>
    <row r="1159" spans="1:14" x14ac:dyDescent="0.35">
      <c r="A1159" t="s">
        <v>2715</v>
      </c>
      <c r="B1159" t="s">
        <v>135</v>
      </c>
      <c r="C1159" t="s">
        <v>1495</v>
      </c>
      <c r="D1159">
        <v>24</v>
      </c>
      <c r="E1159" t="s">
        <v>13</v>
      </c>
      <c r="F1159" s="1">
        <v>45687</v>
      </c>
      <c r="G1159" s="1">
        <v>46059</v>
      </c>
      <c r="H1159" t="s">
        <v>14</v>
      </c>
      <c r="I1159" s="2">
        <v>64212929</v>
      </c>
      <c r="J1159">
        <v>261752</v>
      </c>
      <c r="K1159" t="s">
        <v>15</v>
      </c>
      <c r="L1159" t="str">
        <f t="shared" si="54"/>
        <v>Available</v>
      </c>
      <c r="M1159">
        <f t="shared" si="55"/>
        <v>1</v>
      </c>
      <c r="N1159">
        <f t="shared" si="56"/>
        <v>1</v>
      </c>
    </row>
    <row r="1160" spans="1:14" x14ac:dyDescent="0.35">
      <c r="A1160" t="s">
        <v>2716</v>
      </c>
      <c r="B1160" t="s">
        <v>1014</v>
      </c>
      <c r="C1160" t="s">
        <v>1496</v>
      </c>
      <c r="F1160" s="1">
        <v>44502</v>
      </c>
      <c r="G1160" s="1">
        <v>45083</v>
      </c>
      <c r="H1160" t="s">
        <v>14</v>
      </c>
      <c r="I1160" t="s">
        <v>2778</v>
      </c>
      <c r="J1160">
        <v>264095</v>
      </c>
      <c r="K1160" t="s">
        <v>30</v>
      </c>
      <c r="L1160" t="str">
        <f t="shared" si="54"/>
        <v>Available</v>
      </c>
      <c r="M1160">
        <f t="shared" si="55"/>
        <v>0</v>
      </c>
      <c r="N1160">
        <f t="shared" si="56"/>
        <v>1</v>
      </c>
    </row>
    <row r="1161" spans="1:14" x14ac:dyDescent="0.35">
      <c r="A1161" t="s">
        <v>2717</v>
      </c>
      <c r="B1161" t="s">
        <v>420</v>
      </c>
      <c r="C1161" t="s">
        <v>1497</v>
      </c>
      <c r="F1161" s="1">
        <v>44866</v>
      </c>
      <c r="G1161" s="1">
        <v>45099</v>
      </c>
      <c r="H1161" t="s">
        <v>14</v>
      </c>
      <c r="I1161" t="s">
        <v>2778</v>
      </c>
      <c r="J1161">
        <v>262040</v>
      </c>
      <c r="K1161" t="s">
        <v>30</v>
      </c>
      <c r="L1161" t="str">
        <f t="shared" si="54"/>
        <v>Available</v>
      </c>
      <c r="M1161">
        <f t="shared" si="55"/>
        <v>0</v>
      </c>
      <c r="N1161">
        <f t="shared" si="56"/>
        <v>1</v>
      </c>
    </row>
    <row r="1162" spans="1:14" x14ac:dyDescent="0.35">
      <c r="A1162" t="s">
        <v>2718</v>
      </c>
      <c r="B1162" t="s">
        <v>121</v>
      </c>
      <c r="C1162" t="s">
        <v>1498</v>
      </c>
      <c r="D1162">
        <v>24</v>
      </c>
      <c r="E1162" t="s">
        <v>13</v>
      </c>
      <c r="F1162" s="1">
        <v>44497</v>
      </c>
      <c r="G1162" s="1">
        <v>46059</v>
      </c>
      <c r="H1162" t="s">
        <v>14</v>
      </c>
      <c r="I1162" s="2">
        <v>1926249</v>
      </c>
      <c r="J1162">
        <v>261515</v>
      </c>
      <c r="K1162" t="s">
        <v>15</v>
      </c>
      <c r="L1162" t="str">
        <f t="shared" si="54"/>
        <v>Available</v>
      </c>
      <c r="M1162">
        <f t="shared" si="55"/>
        <v>1</v>
      </c>
      <c r="N1162">
        <f t="shared" si="56"/>
        <v>1</v>
      </c>
    </row>
    <row r="1163" spans="1:14" x14ac:dyDescent="0.35">
      <c r="A1163" t="s">
        <v>2719</v>
      </c>
      <c r="B1163" t="s">
        <v>58</v>
      </c>
      <c r="C1163" t="s">
        <v>1499</v>
      </c>
      <c r="D1163">
        <v>24</v>
      </c>
      <c r="E1163" t="s">
        <v>13</v>
      </c>
      <c r="F1163" s="1">
        <v>44871</v>
      </c>
      <c r="G1163" s="1">
        <v>46055</v>
      </c>
      <c r="H1163" t="s">
        <v>14</v>
      </c>
      <c r="I1163" t="s">
        <v>2778</v>
      </c>
      <c r="J1163">
        <v>266438</v>
      </c>
      <c r="K1163" t="s">
        <v>30</v>
      </c>
      <c r="L1163" t="str">
        <f t="shared" si="54"/>
        <v>Available</v>
      </c>
      <c r="M1163">
        <f t="shared" si="55"/>
        <v>0</v>
      </c>
      <c r="N1163">
        <f t="shared" si="56"/>
        <v>1</v>
      </c>
    </row>
    <row r="1164" spans="1:14" x14ac:dyDescent="0.35">
      <c r="A1164" t="s">
        <v>2720</v>
      </c>
      <c r="B1164" t="s">
        <v>238</v>
      </c>
      <c r="C1164" t="s">
        <v>1500</v>
      </c>
      <c r="D1164">
        <v>24</v>
      </c>
      <c r="E1164" t="s">
        <v>13</v>
      </c>
      <c r="F1164" s="1">
        <v>44497</v>
      </c>
      <c r="G1164" s="1">
        <v>46059</v>
      </c>
      <c r="H1164" t="s">
        <v>14</v>
      </c>
      <c r="I1164" t="s">
        <v>2778</v>
      </c>
      <c r="J1164">
        <v>264526</v>
      </c>
      <c r="K1164" t="s">
        <v>30</v>
      </c>
      <c r="L1164" t="str">
        <f t="shared" si="54"/>
        <v>Available</v>
      </c>
      <c r="M1164">
        <f t="shared" si="55"/>
        <v>0</v>
      </c>
      <c r="N1164">
        <f t="shared" si="56"/>
        <v>1</v>
      </c>
    </row>
    <row r="1165" spans="1:14" x14ac:dyDescent="0.35">
      <c r="A1165" t="s">
        <v>2721</v>
      </c>
      <c r="B1165" t="s">
        <v>158</v>
      </c>
      <c r="C1165" t="s">
        <v>893</v>
      </c>
      <c r="D1165">
        <v>25</v>
      </c>
      <c r="E1165" t="s">
        <v>13</v>
      </c>
      <c r="F1165" s="1">
        <v>44497</v>
      </c>
      <c r="G1165" s="1">
        <v>46057</v>
      </c>
      <c r="H1165" t="s">
        <v>14</v>
      </c>
      <c r="I1165" s="2">
        <v>53396</v>
      </c>
      <c r="J1165">
        <v>264269</v>
      </c>
      <c r="K1165" t="s">
        <v>15</v>
      </c>
      <c r="L1165" t="str">
        <f t="shared" si="54"/>
        <v>Available</v>
      </c>
      <c r="M1165">
        <f t="shared" si="55"/>
        <v>1</v>
      </c>
      <c r="N1165">
        <f t="shared" si="56"/>
        <v>1</v>
      </c>
    </row>
    <row r="1166" spans="1:14" x14ac:dyDescent="0.35">
      <c r="A1166" t="s">
        <v>2722</v>
      </c>
      <c r="B1166" t="s">
        <v>521</v>
      </c>
      <c r="C1166" t="s">
        <v>1501</v>
      </c>
      <c r="D1166">
        <v>24</v>
      </c>
      <c r="E1166" t="s">
        <v>13</v>
      </c>
      <c r="F1166" s="1">
        <v>45546</v>
      </c>
      <c r="G1166" s="1">
        <v>46057</v>
      </c>
      <c r="H1166" t="s">
        <v>14</v>
      </c>
      <c r="I1166" s="2">
        <v>62644762</v>
      </c>
      <c r="J1166">
        <v>264474</v>
      </c>
      <c r="K1166" t="s">
        <v>15</v>
      </c>
      <c r="L1166" t="str">
        <f t="shared" si="54"/>
        <v>Available</v>
      </c>
      <c r="M1166">
        <f t="shared" si="55"/>
        <v>1</v>
      </c>
      <c r="N1166">
        <f t="shared" si="56"/>
        <v>1</v>
      </c>
    </row>
    <row r="1167" spans="1:14" x14ac:dyDescent="0.35">
      <c r="A1167" t="s">
        <v>2723</v>
      </c>
      <c r="B1167" t="s">
        <v>71</v>
      </c>
      <c r="C1167" t="s">
        <v>1502</v>
      </c>
      <c r="D1167">
        <v>22.993169999999999</v>
      </c>
      <c r="E1167" t="s">
        <v>35</v>
      </c>
      <c r="F1167" s="1">
        <v>44497</v>
      </c>
      <c r="G1167" s="1">
        <v>46058</v>
      </c>
      <c r="H1167" t="s">
        <v>14</v>
      </c>
      <c r="I1167" t="s">
        <v>2778</v>
      </c>
      <c r="J1167">
        <v>264120</v>
      </c>
      <c r="K1167" t="s">
        <v>30</v>
      </c>
      <c r="L1167" t="str">
        <f t="shared" si="54"/>
        <v>Available</v>
      </c>
      <c r="M1167">
        <f t="shared" si="55"/>
        <v>0</v>
      </c>
      <c r="N1167">
        <f t="shared" si="56"/>
        <v>1</v>
      </c>
    </row>
    <row r="1168" spans="1:14" x14ac:dyDescent="0.35">
      <c r="A1168" t="s">
        <v>2724</v>
      </c>
      <c r="B1168" t="s">
        <v>238</v>
      </c>
      <c r="C1168" t="s">
        <v>1503</v>
      </c>
      <c r="D1168">
        <v>45</v>
      </c>
      <c r="E1168" t="s">
        <v>13</v>
      </c>
      <c r="F1168" s="1">
        <v>44497</v>
      </c>
      <c r="G1168" s="1">
        <v>46059</v>
      </c>
      <c r="H1168" t="s">
        <v>14</v>
      </c>
      <c r="I1168" s="2">
        <v>16992672</v>
      </c>
      <c r="J1168">
        <v>261886</v>
      </c>
      <c r="K1168" t="s">
        <v>15</v>
      </c>
      <c r="L1168" t="str">
        <f t="shared" si="54"/>
        <v>Available</v>
      </c>
      <c r="M1168">
        <f t="shared" si="55"/>
        <v>1</v>
      </c>
      <c r="N1168">
        <f t="shared" si="56"/>
        <v>1</v>
      </c>
    </row>
    <row r="1169" spans="1:14" x14ac:dyDescent="0.35">
      <c r="A1169" t="s">
        <v>2725</v>
      </c>
      <c r="B1169" t="s">
        <v>269</v>
      </c>
      <c r="C1169" t="s">
        <v>1504</v>
      </c>
      <c r="D1169">
        <v>22.655035000000002</v>
      </c>
      <c r="E1169" t="s">
        <v>35</v>
      </c>
      <c r="F1169" s="1">
        <v>44497</v>
      </c>
      <c r="G1169" s="1">
        <v>45715</v>
      </c>
      <c r="H1169" t="s">
        <v>14</v>
      </c>
      <c r="I1169" t="s">
        <v>2778</v>
      </c>
      <c r="J1169">
        <v>261816</v>
      </c>
      <c r="K1169" t="s">
        <v>30</v>
      </c>
      <c r="L1169" t="str">
        <f t="shared" si="54"/>
        <v>Available</v>
      </c>
      <c r="M1169">
        <f t="shared" si="55"/>
        <v>0</v>
      </c>
      <c r="N1169">
        <f t="shared" si="56"/>
        <v>1</v>
      </c>
    </row>
    <row r="1170" spans="1:14" x14ac:dyDescent="0.35">
      <c r="A1170" t="s">
        <v>2726</v>
      </c>
      <c r="B1170" t="s">
        <v>94</v>
      </c>
      <c r="C1170" t="s">
        <v>1505</v>
      </c>
      <c r="D1170">
        <v>24</v>
      </c>
      <c r="E1170" t="s">
        <v>13</v>
      </c>
      <c r="F1170" s="1">
        <v>44497</v>
      </c>
      <c r="G1170" s="1">
        <v>46057</v>
      </c>
      <c r="H1170" t="s">
        <v>14</v>
      </c>
      <c r="I1170" s="2">
        <v>98557</v>
      </c>
      <c r="J1170">
        <v>261804</v>
      </c>
      <c r="K1170" t="s">
        <v>15</v>
      </c>
      <c r="L1170" t="str">
        <f t="shared" si="54"/>
        <v>Available</v>
      </c>
      <c r="M1170">
        <f t="shared" si="55"/>
        <v>1</v>
      </c>
      <c r="N1170">
        <f t="shared" si="56"/>
        <v>1</v>
      </c>
    </row>
    <row r="1171" spans="1:14" x14ac:dyDescent="0.35">
      <c r="A1171" t="s">
        <v>2727</v>
      </c>
      <c r="B1171" t="s">
        <v>116</v>
      </c>
      <c r="C1171" t="s">
        <v>1506</v>
      </c>
      <c r="D1171">
        <v>24</v>
      </c>
      <c r="E1171" t="s">
        <v>13</v>
      </c>
      <c r="F1171" s="1">
        <v>44935</v>
      </c>
      <c r="G1171" s="1">
        <v>46060</v>
      </c>
      <c r="H1171" t="s">
        <v>14</v>
      </c>
      <c r="I1171" s="2">
        <v>29203013</v>
      </c>
      <c r="J1171">
        <v>264199</v>
      </c>
      <c r="K1171" t="s">
        <v>15</v>
      </c>
      <c r="L1171" t="str">
        <f t="shared" si="54"/>
        <v>Available</v>
      </c>
      <c r="M1171">
        <f t="shared" si="55"/>
        <v>1</v>
      </c>
      <c r="N1171">
        <f t="shared" si="56"/>
        <v>1</v>
      </c>
    </row>
    <row r="1172" spans="1:14" x14ac:dyDescent="0.35">
      <c r="A1172" t="s">
        <v>2728</v>
      </c>
      <c r="B1172" t="s">
        <v>200</v>
      </c>
      <c r="C1172" t="s">
        <v>1507</v>
      </c>
      <c r="D1172">
        <v>26</v>
      </c>
      <c r="E1172" t="s">
        <v>13</v>
      </c>
      <c r="F1172" s="1">
        <v>44497</v>
      </c>
      <c r="G1172" s="1">
        <v>46059</v>
      </c>
      <c r="H1172" t="s">
        <v>14</v>
      </c>
      <c r="I1172" s="2">
        <v>1387317</v>
      </c>
      <c r="J1172">
        <v>266824</v>
      </c>
      <c r="K1172" t="s">
        <v>15</v>
      </c>
      <c r="L1172" t="str">
        <f t="shared" si="54"/>
        <v>Available</v>
      </c>
      <c r="M1172">
        <f t="shared" si="55"/>
        <v>1</v>
      </c>
      <c r="N1172">
        <f t="shared" si="56"/>
        <v>1</v>
      </c>
    </row>
    <row r="1173" spans="1:14" x14ac:dyDescent="0.35">
      <c r="A1173" t="s">
        <v>2729</v>
      </c>
      <c r="B1173" t="s">
        <v>43</v>
      </c>
      <c r="C1173" t="s">
        <v>1508</v>
      </c>
      <c r="D1173">
        <v>25</v>
      </c>
      <c r="E1173" t="s">
        <v>13</v>
      </c>
      <c r="F1173" s="1">
        <v>44502</v>
      </c>
      <c r="G1173" s="1">
        <v>46059</v>
      </c>
      <c r="H1173" t="s">
        <v>14</v>
      </c>
      <c r="I1173" s="2">
        <v>2767454</v>
      </c>
      <c r="J1173">
        <v>262019</v>
      </c>
      <c r="K1173" t="s">
        <v>15</v>
      </c>
      <c r="L1173" t="str">
        <f t="shared" si="54"/>
        <v>Available</v>
      </c>
      <c r="M1173">
        <f t="shared" si="55"/>
        <v>1</v>
      </c>
      <c r="N1173">
        <f t="shared" si="56"/>
        <v>1</v>
      </c>
    </row>
    <row r="1174" spans="1:14" x14ac:dyDescent="0.35">
      <c r="A1174" t="s">
        <v>2730</v>
      </c>
      <c r="C1174" t="s">
        <v>1509</v>
      </c>
      <c r="D1174">
        <v>32</v>
      </c>
      <c r="E1174" t="s">
        <v>13</v>
      </c>
      <c r="F1174" s="1">
        <v>44497</v>
      </c>
      <c r="G1174" s="1">
        <v>46059</v>
      </c>
      <c r="H1174" t="s">
        <v>14</v>
      </c>
      <c r="I1174" s="2">
        <v>25528182</v>
      </c>
      <c r="J1174">
        <v>264647</v>
      </c>
      <c r="K1174" t="s">
        <v>15</v>
      </c>
      <c r="L1174" t="str">
        <f t="shared" si="54"/>
        <v>Missing</v>
      </c>
      <c r="M1174">
        <f t="shared" si="55"/>
        <v>1</v>
      </c>
      <c r="N1174">
        <f t="shared" si="56"/>
        <v>0</v>
      </c>
    </row>
    <row r="1175" spans="1:14" x14ac:dyDescent="0.35">
      <c r="A1175" t="s">
        <v>2731</v>
      </c>
      <c r="B1175" t="s">
        <v>60</v>
      </c>
      <c r="C1175" t="s">
        <v>87</v>
      </c>
      <c r="D1175">
        <v>16</v>
      </c>
      <c r="E1175" t="s">
        <v>13</v>
      </c>
      <c r="F1175" s="1">
        <v>44500</v>
      </c>
      <c r="G1175" s="1">
        <v>46059</v>
      </c>
      <c r="H1175" t="s">
        <v>14</v>
      </c>
      <c r="I1175" t="s">
        <v>2778</v>
      </c>
      <c r="J1175">
        <v>264022</v>
      </c>
      <c r="K1175" t="s">
        <v>30</v>
      </c>
      <c r="L1175" t="str">
        <f t="shared" si="54"/>
        <v>Available</v>
      </c>
      <c r="M1175">
        <f t="shared" si="55"/>
        <v>0</v>
      </c>
      <c r="N1175">
        <f t="shared" si="56"/>
        <v>1</v>
      </c>
    </row>
    <row r="1176" spans="1:14" x14ac:dyDescent="0.35">
      <c r="A1176" t="s">
        <v>2732</v>
      </c>
      <c r="B1176" t="s">
        <v>811</v>
      </c>
      <c r="C1176" t="s">
        <v>1510</v>
      </c>
      <c r="D1176">
        <v>24</v>
      </c>
      <c r="E1176" t="s">
        <v>13</v>
      </c>
      <c r="F1176" s="1">
        <v>44497</v>
      </c>
      <c r="G1176" s="1">
        <v>46058</v>
      </c>
      <c r="H1176" t="s">
        <v>14</v>
      </c>
      <c r="I1176" s="2">
        <v>232524</v>
      </c>
      <c r="J1176">
        <v>267030</v>
      </c>
      <c r="K1176" t="s">
        <v>15</v>
      </c>
      <c r="L1176" t="str">
        <f t="shared" si="54"/>
        <v>Available</v>
      </c>
      <c r="M1176">
        <f t="shared" si="55"/>
        <v>1</v>
      </c>
      <c r="N1176">
        <f t="shared" si="56"/>
        <v>1</v>
      </c>
    </row>
    <row r="1177" spans="1:14" x14ac:dyDescent="0.35">
      <c r="A1177" t="s">
        <v>2733</v>
      </c>
      <c r="B1177" t="s">
        <v>171</v>
      </c>
      <c r="C1177" t="s">
        <v>1511</v>
      </c>
      <c r="D1177">
        <v>24</v>
      </c>
      <c r="E1177" t="s">
        <v>13</v>
      </c>
      <c r="F1177" s="1">
        <v>45253</v>
      </c>
      <c r="G1177" s="1">
        <v>46057</v>
      </c>
      <c r="H1177" t="s">
        <v>14</v>
      </c>
      <c r="I1177" s="2">
        <v>28129632</v>
      </c>
      <c r="J1177">
        <v>261751</v>
      </c>
      <c r="K1177" t="s">
        <v>15</v>
      </c>
      <c r="L1177" t="str">
        <f t="shared" si="54"/>
        <v>Available</v>
      </c>
      <c r="M1177">
        <f t="shared" si="55"/>
        <v>1</v>
      </c>
      <c r="N1177">
        <f t="shared" si="56"/>
        <v>1</v>
      </c>
    </row>
    <row r="1178" spans="1:14" x14ac:dyDescent="0.35">
      <c r="A1178" t="s">
        <v>2734</v>
      </c>
      <c r="B1178" t="s">
        <v>27</v>
      </c>
      <c r="C1178" t="s">
        <v>1512</v>
      </c>
      <c r="D1178">
        <v>24</v>
      </c>
      <c r="E1178" t="s">
        <v>13</v>
      </c>
      <c r="F1178" s="1">
        <v>44497</v>
      </c>
      <c r="G1178" s="1">
        <v>46059</v>
      </c>
      <c r="H1178" t="s">
        <v>14</v>
      </c>
      <c r="I1178" s="2">
        <v>91512</v>
      </c>
      <c r="J1178">
        <v>261608</v>
      </c>
      <c r="K1178" t="s">
        <v>15</v>
      </c>
      <c r="L1178" t="str">
        <f t="shared" si="54"/>
        <v>Available</v>
      </c>
      <c r="M1178">
        <f t="shared" si="55"/>
        <v>1</v>
      </c>
      <c r="N1178">
        <f t="shared" si="56"/>
        <v>1</v>
      </c>
    </row>
    <row r="1179" spans="1:14" x14ac:dyDescent="0.35">
      <c r="A1179" t="s">
        <v>2735</v>
      </c>
      <c r="B1179" t="s">
        <v>137</v>
      </c>
      <c r="C1179" t="s">
        <v>1165</v>
      </c>
      <c r="F1179" s="1">
        <v>44501</v>
      </c>
      <c r="G1179" s="1">
        <v>45109</v>
      </c>
      <c r="H1179" t="s">
        <v>14</v>
      </c>
      <c r="I1179" t="s">
        <v>2778</v>
      </c>
      <c r="J1179">
        <v>264702</v>
      </c>
      <c r="K1179" t="s">
        <v>30</v>
      </c>
      <c r="L1179" t="str">
        <f t="shared" si="54"/>
        <v>Available</v>
      </c>
      <c r="M1179">
        <f t="shared" si="55"/>
        <v>0</v>
      </c>
      <c r="N1179">
        <f t="shared" si="56"/>
        <v>1</v>
      </c>
    </row>
    <row r="1180" spans="1:14" x14ac:dyDescent="0.35">
      <c r="A1180" t="s">
        <v>2736</v>
      </c>
      <c r="C1180" t="s">
        <v>1513</v>
      </c>
      <c r="D1180">
        <v>38</v>
      </c>
      <c r="E1180" t="s">
        <v>13</v>
      </c>
      <c r="F1180" s="1">
        <v>44929</v>
      </c>
      <c r="G1180" s="1">
        <v>46060</v>
      </c>
      <c r="H1180" t="s">
        <v>14</v>
      </c>
      <c r="I1180" s="2">
        <v>22160443</v>
      </c>
      <c r="J1180">
        <v>264317</v>
      </c>
      <c r="K1180" t="s">
        <v>15</v>
      </c>
      <c r="L1180" t="str">
        <f t="shared" si="54"/>
        <v>Missing</v>
      </c>
      <c r="M1180">
        <f t="shared" si="55"/>
        <v>1</v>
      </c>
      <c r="N1180">
        <f t="shared" si="56"/>
        <v>0</v>
      </c>
    </row>
    <row r="1181" spans="1:14" x14ac:dyDescent="0.35">
      <c r="A1181" t="s">
        <v>2737</v>
      </c>
      <c r="B1181" t="s">
        <v>25</v>
      </c>
      <c r="C1181" t="s">
        <v>1514</v>
      </c>
      <c r="D1181">
        <v>14</v>
      </c>
      <c r="E1181" t="s">
        <v>13</v>
      </c>
      <c r="F1181" s="1">
        <v>44497</v>
      </c>
      <c r="G1181" s="1">
        <v>46060</v>
      </c>
      <c r="H1181" t="s">
        <v>14</v>
      </c>
      <c r="I1181" s="2">
        <v>91495</v>
      </c>
      <c r="J1181">
        <v>266346</v>
      </c>
      <c r="K1181" t="s">
        <v>15</v>
      </c>
      <c r="L1181" t="str">
        <f t="shared" si="54"/>
        <v>Available</v>
      </c>
      <c r="M1181">
        <f t="shared" si="55"/>
        <v>1</v>
      </c>
      <c r="N1181">
        <f t="shared" si="56"/>
        <v>1</v>
      </c>
    </row>
    <row r="1182" spans="1:14" x14ac:dyDescent="0.35">
      <c r="A1182" t="s">
        <v>2738</v>
      </c>
      <c r="C1182" t="s">
        <v>1515</v>
      </c>
      <c r="D1182">
        <v>25</v>
      </c>
      <c r="E1182" t="s">
        <v>13</v>
      </c>
      <c r="F1182" s="1">
        <v>44497</v>
      </c>
      <c r="G1182" s="1">
        <v>46059</v>
      </c>
      <c r="H1182" t="s">
        <v>14</v>
      </c>
      <c r="I1182" t="s">
        <v>2778</v>
      </c>
      <c r="J1182">
        <v>266330</v>
      </c>
      <c r="K1182" t="s">
        <v>30</v>
      </c>
      <c r="L1182" t="str">
        <f t="shared" si="54"/>
        <v>Missing</v>
      </c>
      <c r="M1182">
        <f t="shared" si="55"/>
        <v>0</v>
      </c>
      <c r="N1182">
        <f t="shared" si="56"/>
        <v>0</v>
      </c>
    </row>
    <row r="1183" spans="1:14" x14ac:dyDescent="0.35">
      <c r="A1183" t="s">
        <v>2739</v>
      </c>
      <c r="B1183" t="s">
        <v>29</v>
      </c>
      <c r="C1183" t="s">
        <v>1516</v>
      </c>
      <c r="D1183">
        <v>15.5</v>
      </c>
      <c r="E1183" t="s">
        <v>13</v>
      </c>
      <c r="F1183" s="1">
        <v>45315</v>
      </c>
      <c r="G1183" s="1">
        <v>46057</v>
      </c>
      <c r="H1183" t="s">
        <v>14</v>
      </c>
      <c r="I1183" t="s">
        <v>2778</v>
      </c>
      <c r="J1183">
        <v>264573</v>
      </c>
      <c r="K1183" t="s">
        <v>30</v>
      </c>
      <c r="L1183" t="str">
        <f t="shared" si="54"/>
        <v>Available</v>
      </c>
      <c r="M1183">
        <f t="shared" si="55"/>
        <v>0</v>
      </c>
      <c r="N1183">
        <f t="shared" si="56"/>
        <v>1</v>
      </c>
    </row>
    <row r="1184" spans="1:14" x14ac:dyDescent="0.35">
      <c r="A1184" t="s">
        <v>2740</v>
      </c>
      <c r="B1184" t="s">
        <v>898</v>
      </c>
      <c r="C1184" t="s">
        <v>1517</v>
      </c>
      <c r="D1184">
        <v>26</v>
      </c>
      <c r="E1184" t="s">
        <v>13</v>
      </c>
      <c r="F1184" s="1">
        <v>44504</v>
      </c>
      <c r="G1184" s="1">
        <v>46055</v>
      </c>
      <c r="H1184" t="s">
        <v>14</v>
      </c>
      <c r="I1184" s="2">
        <v>16742880</v>
      </c>
      <c r="J1184">
        <v>266961</v>
      </c>
      <c r="K1184" t="s">
        <v>15</v>
      </c>
      <c r="L1184" t="str">
        <f t="shared" si="54"/>
        <v>Available</v>
      </c>
      <c r="M1184">
        <f t="shared" si="55"/>
        <v>1</v>
      </c>
      <c r="N1184">
        <f t="shared" si="56"/>
        <v>1</v>
      </c>
    </row>
    <row r="1185" spans="1:14" x14ac:dyDescent="0.35">
      <c r="A1185" t="s">
        <v>2741</v>
      </c>
      <c r="B1185" t="s">
        <v>1519</v>
      </c>
      <c r="C1185" t="s">
        <v>1518</v>
      </c>
      <c r="D1185">
        <v>24</v>
      </c>
      <c r="E1185" t="s">
        <v>13</v>
      </c>
      <c r="F1185" s="1">
        <v>44497</v>
      </c>
      <c r="G1185" s="1">
        <v>46058</v>
      </c>
      <c r="H1185" t="s">
        <v>14</v>
      </c>
      <c r="I1185" s="2">
        <v>2693821</v>
      </c>
      <c r="J1185">
        <v>261850</v>
      </c>
      <c r="K1185" t="s">
        <v>15</v>
      </c>
      <c r="L1185" t="str">
        <f t="shared" si="54"/>
        <v>Available</v>
      </c>
      <c r="M1185">
        <f t="shared" si="55"/>
        <v>1</v>
      </c>
      <c r="N1185">
        <f t="shared" si="56"/>
        <v>1</v>
      </c>
    </row>
    <row r="1186" spans="1:14" x14ac:dyDescent="0.35">
      <c r="A1186" t="s">
        <v>2742</v>
      </c>
      <c r="B1186" t="s">
        <v>299</v>
      </c>
      <c r="C1186" t="s">
        <v>1520</v>
      </c>
      <c r="D1186">
        <v>16</v>
      </c>
      <c r="E1186" t="s">
        <v>13</v>
      </c>
      <c r="F1186" s="1">
        <v>44497</v>
      </c>
      <c r="G1186" s="1">
        <v>46057</v>
      </c>
      <c r="H1186" t="s">
        <v>14</v>
      </c>
      <c r="I1186" s="2">
        <v>243573</v>
      </c>
      <c r="J1186">
        <v>264121</v>
      </c>
      <c r="K1186" t="s">
        <v>15</v>
      </c>
      <c r="L1186" t="str">
        <f t="shared" si="54"/>
        <v>Available</v>
      </c>
      <c r="M1186">
        <f t="shared" si="55"/>
        <v>1</v>
      </c>
      <c r="N1186">
        <f t="shared" si="56"/>
        <v>1</v>
      </c>
    </row>
    <row r="1187" spans="1:14" x14ac:dyDescent="0.35">
      <c r="A1187" t="s">
        <v>2743</v>
      </c>
      <c r="B1187" t="s">
        <v>71</v>
      </c>
      <c r="C1187" t="s">
        <v>1521</v>
      </c>
      <c r="D1187">
        <v>22.993169999999999</v>
      </c>
      <c r="E1187" t="s">
        <v>35</v>
      </c>
      <c r="F1187" s="1">
        <v>44497</v>
      </c>
      <c r="G1187" s="1">
        <v>46058</v>
      </c>
      <c r="H1187" t="s">
        <v>14</v>
      </c>
      <c r="I1187" t="s">
        <v>2778</v>
      </c>
      <c r="J1187">
        <v>261826</v>
      </c>
      <c r="K1187" t="s">
        <v>30</v>
      </c>
      <c r="L1187" t="str">
        <f t="shared" si="54"/>
        <v>Available</v>
      </c>
      <c r="M1187">
        <f t="shared" si="55"/>
        <v>0</v>
      </c>
      <c r="N1187">
        <f t="shared" si="56"/>
        <v>1</v>
      </c>
    </row>
    <row r="1188" spans="1:14" x14ac:dyDescent="0.35">
      <c r="A1188" t="s">
        <v>2744</v>
      </c>
      <c r="B1188" t="s">
        <v>152</v>
      </c>
      <c r="C1188" t="s">
        <v>1522</v>
      </c>
      <c r="D1188">
        <v>24</v>
      </c>
      <c r="E1188" t="s">
        <v>13</v>
      </c>
      <c r="F1188" s="1">
        <v>44497</v>
      </c>
      <c r="G1188" s="1">
        <v>46057</v>
      </c>
      <c r="H1188" t="s">
        <v>14</v>
      </c>
      <c r="I1188" t="s">
        <v>2778</v>
      </c>
      <c r="J1188">
        <v>262249</v>
      </c>
      <c r="K1188" t="s">
        <v>30</v>
      </c>
      <c r="L1188" t="str">
        <f t="shared" si="54"/>
        <v>Available</v>
      </c>
      <c r="M1188">
        <f t="shared" si="55"/>
        <v>0</v>
      </c>
      <c r="N1188">
        <f t="shared" si="56"/>
        <v>1</v>
      </c>
    </row>
    <row r="1189" spans="1:14" x14ac:dyDescent="0.35">
      <c r="A1189" t="s">
        <v>2745</v>
      </c>
      <c r="B1189" t="s">
        <v>125</v>
      </c>
      <c r="C1189" t="s">
        <v>1523</v>
      </c>
      <c r="D1189">
        <v>25</v>
      </c>
      <c r="E1189" t="s">
        <v>13</v>
      </c>
      <c r="F1189" s="1">
        <v>44607</v>
      </c>
      <c r="G1189" s="1">
        <v>46059</v>
      </c>
      <c r="H1189" t="s">
        <v>14</v>
      </c>
      <c r="I1189" s="2">
        <v>27583011</v>
      </c>
      <c r="J1189">
        <v>264073</v>
      </c>
      <c r="K1189" t="s">
        <v>15</v>
      </c>
      <c r="L1189" t="str">
        <f t="shared" si="54"/>
        <v>Available</v>
      </c>
      <c r="M1189">
        <f t="shared" si="55"/>
        <v>1</v>
      </c>
      <c r="N1189">
        <f t="shared" si="56"/>
        <v>1</v>
      </c>
    </row>
    <row r="1190" spans="1:14" x14ac:dyDescent="0.35">
      <c r="A1190" t="s">
        <v>2746</v>
      </c>
      <c r="B1190" t="s">
        <v>71</v>
      </c>
      <c r="C1190" t="s">
        <v>1524</v>
      </c>
      <c r="D1190">
        <v>22.993169999999999</v>
      </c>
      <c r="E1190" t="s">
        <v>35</v>
      </c>
      <c r="F1190" s="1">
        <v>44497</v>
      </c>
      <c r="G1190" s="1">
        <v>46058</v>
      </c>
      <c r="H1190" t="s">
        <v>14</v>
      </c>
      <c r="I1190" t="s">
        <v>2778</v>
      </c>
      <c r="J1190">
        <v>264051</v>
      </c>
      <c r="K1190" t="s">
        <v>30</v>
      </c>
      <c r="L1190" t="str">
        <f t="shared" si="54"/>
        <v>Available</v>
      </c>
      <c r="M1190">
        <f t="shared" si="55"/>
        <v>0</v>
      </c>
      <c r="N1190">
        <f t="shared" si="56"/>
        <v>1</v>
      </c>
    </row>
    <row r="1191" spans="1:14" x14ac:dyDescent="0.35">
      <c r="A1191" t="s">
        <v>2747</v>
      </c>
      <c r="B1191" t="s">
        <v>483</v>
      </c>
      <c r="C1191" t="s">
        <v>1525</v>
      </c>
      <c r="D1191">
        <v>16.906742000000001</v>
      </c>
      <c r="E1191" t="s">
        <v>35</v>
      </c>
      <c r="F1191" s="1">
        <v>45099</v>
      </c>
      <c r="G1191" s="1">
        <v>46058</v>
      </c>
      <c r="H1191" t="s">
        <v>14</v>
      </c>
      <c r="I1191" t="s">
        <v>2778</v>
      </c>
      <c r="J1191">
        <v>264549</v>
      </c>
      <c r="K1191" t="s">
        <v>30</v>
      </c>
      <c r="L1191" t="str">
        <f t="shared" si="54"/>
        <v>Available</v>
      </c>
      <c r="M1191">
        <f t="shared" si="55"/>
        <v>0</v>
      </c>
      <c r="N1191">
        <f t="shared" si="56"/>
        <v>1</v>
      </c>
    </row>
    <row r="1192" spans="1:14" x14ac:dyDescent="0.35">
      <c r="A1192" t="s">
        <v>2748</v>
      </c>
      <c r="B1192" t="s">
        <v>152</v>
      </c>
      <c r="C1192" t="s">
        <v>1526</v>
      </c>
      <c r="D1192">
        <v>25</v>
      </c>
      <c r="E1192" t="s">
        <v>13</v>
      </c>
      <c r="F1192" s="1">
        <v>45442</v>
      </c>
      <c r="G1192" s="1">
        <v>46057</v>
      </c>
      <c r="H1192" t="s">
        <v>14</v>
      </c>
      <c r="I1192" t="s">
        <v>2778</v>
      </c>
      <c r="J1192">
        <v>266976</v>
      </c>
      <c r="K1192" t="s">
        <v>30</v>
      </c>
      <c r="L1192" t="str">
        <f t="shared" si="54"/>
        <v>Available</v>
      </c>
      <c r="M1192">
        <f t="shared" si="55"/>
        <v>0</v>
      </c>
      <c r="N1192">
        <f t="shared" si="56"/>
        <v>1</v>
      </c>
    </row>
    <row r="1193" spans="1:14" x14ac:dyDescent="0.35">
      <c r="A1193" t="s">
        <v>2749</v>
      </c>
      <c r="C1193" t="s">
        <v>1527</v>
      </c>
      <c r="D1193">
        <v>24</v>
      </c>
      <c r="E1193" t="s">
        <v>13</v>
      </c>
      <c r="F1193" s="1">
        <v>44501</v>
      </c>
      <c r="G1193" s="1">
        <v>46058</v>
      </c>
      <c r="H1193" t="s">
        <v>14</v>
      </c>
      <c r="I1193" s="2">
        <v>3079004</v>
      </c>
      <c r="J1193">
        <v>266432</v>
      </c>
      <c r="K1193" t="s">
        <v>15</v>
      </c>
      <c r="L1193" t="str">
        <f t="shared" si="54"/>
        <v>Missing</v>
      </c>
      <c r="M1193">
        <f t="shared" si="55"/>
        <v>1</v>
      </c>
      <c r="N1193">
        <f t="shared" si="56"/>
        <v>0</v>
      </c>
    </row>
    <row r="1194" spans="1:14" x14ac:dyDescent="0.35">
      <c r="A1194" t="s">
        <v>2750</v>
      </c>
      <c r="B1194" t="s">
        <v>47</v>
      </c>
      <c r="C1194" t="s">
        <v>1528</v>
      </c>
      <c r="D1194">
        <v>66</v>
      </c>
      <c r="E1194" t="s">
        <v>13</v>
      </c>
      <c r="F1194" s="1">
        <v>44497</v>
      </c>
      <c r="G1194" s="1">
        <v>46060</v>
      </c>
      <c r="H1194" t="s">
        <v>14</v>
      </c>
      <c r="I1194" s="2">
        <v>2488676</v>
      </c>
      <c r="J1194">
        <v>264212</v>
      </c>
      <c r="K1194" t="s">
        <v>15</v>
      </c>
      <c r="L1194" t="str">
        <f t="shared" si="54"/>
        <v>Available</v>
      </c>
      <c r="M1194">
        <f t="shared" si="55"/>
        <v>1</v>
      </c>
      <c r="N1194">
        <f t="shared" si="56"/>
        <v>1</v>
      </c>
    </row>
    <row r="1195" spans="1:14" x14ac:dyDescent="0.35">
      <c r="A1195" t="s">
        <v>2751</v>
      </c>
      <c r="C1195" t="s">
        <v>1529</v>
      </c>
      <c r="D1195">
        <v>24</v>
      </c>
      <c r="E1195" t="s">
        <v>13</v>
      </c>
      <c r="F1195" s="1">
        <v>45382</v>
      </c>
      <c r="G1195" s="1">
        <v>46059</v>
      </c>
      <c r="H1195" t="s">
        <v>14</v>
      </c>
      <c r="I1195" s="2">
        <v>25037321</v>
      </c>
      <c r="J1195">
        <v>261863</v>
      </c>
      <c r="K1195" t="s">
        <v>15</v>
      </c>
      <c r="L1195" t="str">
        <f t="shared" si="54"/>
        <v>Missing</v>
      </c>
      <c r="M1195">
        <f t="shared" si="55"/>
        <v>1</v>
      </c>
      <c r="N1195">
        <f t="shared" si="56"/>
        <v>0</v>
      </c>
    </row>
    <row r="1196" spans="1:14" x14ac:dyDescent="0.35">
      <c r="A1196" t="s">
        <v>2752</v>
      </c>
      <c r="B1196" t="s">
        <v>453</v>
      </c>
      <c r="C1196" t="s">
        <v>1530</v>
      </c>
      <c r="D1196">
        <v>25</v>
      </c>
      <c r="E1196" t="s">
        <v>13</v>
      </c>
      <c r="F1196" s="1">
        <v>44497</v>
      </c>
      <c r="G1196" s="1">
        <v>45896</v>
      </c>
      <c r="H1196" t="s">
        <v>14</v>
      </c>
      <c r="I1196" s="2">
        <v>24360729</v>
      </c>
      <c r="J1196">
        <v>264152</v>
      </c>
      <c r="K1196" t="s">
        <v>15</v>
      </c>
      <c r="L1196" t="str">
        <f t="shared" si="54"/>
        <v>Available</v>
      </c>
      <c r="M1196">
        <f t="shared" si="55"/>
        <v>1</v>
      </c>
      <c r="N1196">
        <f t="shared" si="56"/>
        <v>1</v>
      </c>
    </row>
    <row r="1197" spans="1:14" x14ac:dyDescent="0.35">
      <c r="A1197" t="s">
        <v>2753</v>
      </c>
      <c r="B1197" t="s">
        <v>1532</v>
      </c>
      <c r="C1197" t="s">
        <v>1531</v>
      </c>
      <c r="D1197">
        <v>28</v>
      </c>
      <c r="E1197" t="s">
        <v>13</v>
      </c>
      <c r="F1197" s="1">
        <v>44497</v>
      </c>
      <c r="G1197" s="1">
        <v>46059</v>
      </c>
      <c r="H1197" t="s">
        <v>14</v>
      </c>
      <c r="I1197" s="2">
        <v>212230</v>
      </c>
      <c r="J1197">
        <v>262022</v>
      </c>
      <c r="K1197" t="s">
        <v>15</v>
      </c>
      <c r="L1197" t="str">
        <f t="shared" si="54"/>
        <v>Available</v>
      </c>
      <c r="M1197">
        <f t="shared" si="55"/>
        <v>1</v>
      </c>
      <c r="N1197">
        <f t="shared" si="56"/>
        <v>1</v>
      </c>
    </row>
    <row r="1198" spans="1:14" x14ac:dyDescent="0.35">
      <c r="A1198" t="s">
        <v>2754</v>
      </c>
      <c r="B1198" t="s">
        <v>96</v>
      </c>
      <c r="C1198" t="s">
        <v>1533</v>
      </c>
      <c r="D1198">
        <v>24</v>
      </c>
      <c r="E1198" t="s">
        <v>13</v>
      </c>
      <c r="F1198" s="1">
        <v>44497</v>
      </c>
      <c r="G1198" s="1">
        <v>46059</v>
      </c>
      <c r="H1198" t="s">
        <v>14</v>
      </c>
      <c r="I1198" s="2">
        <v>16290487</v>
      </c>
      <c r="J1198">
        <v>261735</v>
      </c>
      <c r="K1198" t="s">
        <v>15</v>
      </c>
      <c r="L1198" t="str">
        <f t="shared" si="54"/>
        <v>Available</v>
      </c>
      <c r="M1198">
        <f t="shared" si="55"/>
        <v>1</v>
      </c>
      <c r="N1198">
        <f t="shared" si="56"/>
        <v>1</v>
      </c>
    </row>
    <row r="1199" spans="1:14" x14ac:dyDescent="0.35">
      <c r="A1199" t="s">
        <v>2755</v>
      </c>
      <c r="B1199" t="s">
        <v>17</v>
      </c>
      <c r="C1199" t="s">
        <v>1534</v>
      </c>
      <c r="D1199">
        <v>32</v>
      </c>
      <c r="E1199" t="s">
        <v>13</v>
      </c>
      <c r="F1199" s="1">
        <v>44497</v>
      </c>
      <c r="G1199" s="1">
        <v>46059</v>
      </c>
      <c r="H1199" t="s">
        <v>14</v>
      </c>
      <c r="I1199" s="2">
        <v>16948755</v>
      </c>
      <c r="J1199">
        <v>261755</v>
      </c>
      <c r="K1199" t="s">
        <v>15</v>
      </c>
      <c r="L1199" t="str">
        <f t="shared" si="54"/>
        <v>Available</v>
      </c>
      <c r="M1199">
        <f t="shared" si="55"/>
        <v>1</v>
      </c>
      <c r="N1199">
        <f t="shared" si="56"/>
        <v>1</v>
      </c>
    </row>
    <row r="1200" spans="1:14" x14ac:dyDescent="0.35">
      <c r="A1200" t="s">
        <v>2756</v>
      </c>
      <c r="B1200" t="s">
        <v>1005</v>
      </c>
      <c r="C1200" t="s">
        <v>1535</v>
      </c>
      <c r="D1200">
        <v>24</v>
      </c>
      <c r="E1200" t="s">
        <v>13</v>
      </c>
      <c r="F1200" s="1">
        <v>45147</v>
      </c>
      <c r="G1200" s="1">
        <v>46059</v>
      </c>
      <c r="H1200" t="s">
        <v>14</v>
      </c>
      <c r="I1200" s="2">
        <v>91449</v>
      </c>
      <c r="J1200">
        <v>264090</v>
      </c>
      <c r="K1200" t="s">
        <v>15</v>
      </c>
      <c r="L1200" t="str">
        <f t="shared" si="54"/>
        <v>Available</v>
      </c>
      <c r="M1200">
        <f t="shared" si="55"/>
        <v>1</v>
      </c>
      <c r="N1200">
        <f t="shared" si="56"/>
        <v>1</v>
      </c>
    </row>
    <row r="1201" spans="1:14" x14ac:dyDescent="0.35">
      <c r="A1201" t="s">
        <v>2757</v>
      </c>
      <c r="B1201" t="s">
        <v>94</v>
      </c>
      <c r="C1201" t="s">
        <v>1536</v>
      </c>
      <c r="D1201">
        <v>24</v>
      </c>
      <c r="E1201" t="s">
        <v>13</v>
      </c>
      <c r="F1201" s="1">
        <v>44497</v>
      </c>
      <c r="G1201" s="1">
        <v>46056</v>
      </c>
      <c r="H1201" t="s">
        <v>14</v>
      </c>
      <c r="I1201" s="2">
        <v>98558</v>
      </c>
      <c r="J1201">
        <v>261732</v>
      </c>
      <c r="K1201" t="s">
        <v>15</v>
      </c>
      <c r="L1201" t="str">
        <f t="shared" si="54"/>
        <v>Available</v>
      </c>
      <c r="M1201">
        <f t="shared" si="55"/>
        <v>1</v>
      </c>
      <c r="N1201">
        <f t="shared" si="56"/>
        <v>1</v>
      </c>
    </row>
    <row r="1202" spans="1:14" x14ac:dyDescent="0.35">
      <c r="A1202" t="s">
        <v>2758</v>
      </c>
      <c r="C1202" t="s">
        <v>1537</v>
      </c>
      <c r="D1202">
        <v>32</v>
      </c>
      <c r="E1202" t="s">
        <v>13</v>
      </c>
      <c r="F1202" s="1">
        <v>44497</v>
      </c>
      <c r="G1202" s="1">
        <v>46059</v>
      </c>
      <c r="H1202" t="s">
        <v>14</v>
      </c>
      <c r="I1202" s="2">
        <v>98577</v>
      </c>
      <c r="J1202">
        <v>264231</v>
      </c>
      <c r="K1202" t="s">
        <v>15</v>
      </c>
      <c r="L1202" t="str">
        <f t="shared" si="54"/>
        <v>Missing</v>
      </c>
      <c r="M1202">
        <f t="shared" si="55"/>
        <v>1</v>
      </c>
      <c r="N1202">
        <f t="shared" si="56"/>
        <v>0</v>
      </c>
    </row>
    <row r="1203" spans="1:14" x14ac:dyDescent="0.35">
      <c r="A1203" t="s">
        <v>2759</v>
      </c>
      <c r="B1203" t="s">
        <v>583</v>
      </c>
      <c r="C1203" t="s">
        <v>1538</v>
      </c>
      <c r="D1203">
        <v>25.25</v>
      </c>
      <c r="E1203" t="s">
        <v>13</v>
      </c>
      <c r="F1203" s="1">
        <v>44497</v>
      </c>
      <c r="G1203" s="1">
        <v>46059</v>
      </c>
      <c r="H1203" t="s">
        <v>14</v>
      </c>
      <c r="I1203" s="2">
        <v>152806</v>
      </c>
      <c r="J1203">
        <v>266580</v>
      </c>
      <c r="K1203" t="s">
        <v>15</v>
      </c>
      <c r="L1203" t="str">
        <f t="shared" si="54"/>
        <v>Available</v>
      </c>
      <c r="M1203">
        <f t="shared" si="55"/>
        <v>1</v>
      </c>
      <c r="N1203">
        <f t="shared" si="56"/>
        <v>1</v>
      </c>
    </row>
    <row r="1204" spans="1:14" x14ac:dyDescent="0.35">
      <c r="A1204" t="s">
        <v>2760</v>
      </c>
      <c r="B1204" t="s">
        <v>428</v>
      </c>
      <c r="C1204" t="s">
        <v>1539</v>
      </c>
      <c r="D1204">
        <v>24</v>
      </c>
      <c r="E1204" t="s">
        <v>13</v>
      </c>
      <c r="F1204" s="1">
        <v>45693</v>
      </c>
      <c r="G1204" s="1">
        <v>46059</v>
      </c>
      <c r="H1204" t="s">
        <v>14</v>
      </c>
      <c r="I1204" t="s">
        <v>2778</v>
      </c>
      <c r="J1204">
        <v>261794</v>
      </c>
      <c r="K1204" t="s">
        <v>30</v>
      </c>
      <c r="L1204" t="str">
        <f t="shared" si="54"/>
        <v>Available</v>
      </c>
      <c r="M1204">
        <f t="shared" si="55"/>
        <v>0</v>
      </c>
      <c r="N1204">
        <f t="shared" si="56"/>
        <v>1</v>
      </c>
    </row>
    <row r="1205" spans="1:14" x14ac:dyDescent="0.35">
      <c r="A1205" t="s">
        <v>2761</v>
      </c>
      <c r="C1205" t="s">
        <v>1540</v>
      </c>
      <c r="D1205">
        <v>20</v>
      </c>
      <c r="E1205" t="s">
        <v>13</v>
      </c>
      <c r="F1205" s="1">
        <v>44497</v>
      </c>
      <c r="G1205" s="1">
        <v>46059</v>
      </c>
      <c r="H1205" t="s">
        <v>14</v>
      </c>
      <c r="I1205" s="2">
        <v>19831723</v>
      </c>
      <c r="J1205">
        <v>266433</v>
      </c>
      <c r="K1205" t="s">
        <v>15</v>
      </c>
      <c r="L1205" t="str">
        <f t="shared" si="54"/>
        <v>Missing</v>
      </c>
      <c r="M1205">
        <f t="shared" si="55"/>
        <v>1</v>
      </c>
      <c r="N1205">
        <f t="shared" si="56"/>
        <v>0</v>
      </c>
    </row>
    <row r="1206" spans="1:14" x14ac:dyDescent="0.35">
      <c r="A1206" t="s">
        <v>2762</v>
      </c>
      <c r="B1206" t="s">
        <v>987</v>
      </c>
      <c r="C1206" t="s">
        <v>1541</v>
      </c>
      <c r="D1206">
        <v>20.288091000000001</v>
      </c>
      <c r="E1206" t="s">
        <v>35</v>
      </c>
      <c r="F1206" s="1">
        <v>45631</v>
      </c>
      <c r="G1206" s="1">
        <v>46058</v>
      </c>
      <c r="H1206" t="s">
        <v>14</v>
      </c>
      <c r="I1206" t="s">
        <v>2778</v>
      </c>
      <c r="J1206">
        <v>266503</v>
      </c>
      <c r="K1206" t="s">
        <v>30</v>
      </c>
      <c r="L1206" t="str">
        <f t="shared" si="54"/>
        <v>Available</v>
      </c>
      <c r="M1206">
        <f t="shared" si="55"/>
        <v>0</v>
      </c>
      <c r="N1206">
        <f t="shared" si="56"/>
        <v>1</v>
      </c>
    </row>
    <row r="1207" spans="1:14" x14ac:dyDescent="0.35">
      <c r="A1207" t="s">
        <v>2763</v>
      </c>
      <c r="B1207" t="s">
        <v>238</v>
      </c>
      <c r="C1207" t="s">
        <v>1542</v>
      </c>
      <c r="D1207">
        <v>24</v>
      </c>
      <c r="E1207" t="s">
        <v>13</v>
      </c>
      <c r="F1207" s="1">
        <v>44497</v>
      </c>
      <c r="G1207" s="1">
        <v>46059</v>
      </c>
      <c r="H1207" t="s">
        <v>14</v>
      </c>
      <c r="I1207" s="2">
        <v>16987093</v>
      </c>
      <c r="J1207">
        <v>264200</v>
      </c>
      <c r="K1207" t="s">
        <v>15</v>
      </c>
      <c r="L1207" t="str">
        <f t="shared" si="54"/>
        <v>Available</v>
      </c>
      <c r="M1207">
        <f t="shared" si="55"/>
        <v>1</v>
      </c>
      <c r="N1207">
        <f t="shared" si="56"/>
        <v>1</v>
      </c>
    </row>
    <row r="1208" spans="1:14" x14ac:dyDescent="0.35">
      <c r="A1208" t="s">
        <v>2764</v>
      </c>
      <c r="B1208" t="s">
        <v>322</v>
      </c>
      <c r="C1208" t="s">
        <v>1543</v>
      </c>
      <c r="D1208">
        <v>21.978764999999999</v>
      </c>
      <c r="E1208" t="s">
        <v>35</v>
      </c>
      <c r="F1208" s="1">
        <v>44497</v>
      </c>
      <c r="G1208" s="1">
        <v>45613</v>
      </c>
      <c r="H1208" t="s">
        <v>14</v>
      </c>
      <c r="I1208" t="s">
        <v>2778</v>
      </c>
      <c r="J1208">
        <v>266849</v>
      </c>
      <c r="K1208" t="s">
        <v>30</v>
      </c>
      <c r="L1208" t="str">
        <f t="shared" si="54"/>
        <v>Available</v>
      </c>
      <c r="M1208">
        <f t="shared" si="55"/>
        <v>0</v>
      </c>
      <c r="N1208">
        <f t="shared" si="56"/>
        <v>1</v>
      </c>
    </row>
    <row r="1209" spans="1:14" x14ac:dyDescent="0.35">
      <c r="A1209" t="s">
        <v>2765</v>
      </c>
      <c r="B1209" t="s">
        <v>312</v>
      </c>
      <c r="C1209" t="s">
        <v>1544</v>
      </c>
      <c r="D1209">
        <v>16</v>
      </c>
      <c r="E1209" t="s">
        <v>13</v>
      </c>
      <c r="F1209" s="1">
        <v>44497</v>
      </c>
      <c r="G1209" s="1">
        <v>46059</v>
      </c>
      <c r="H1209" t="s">
        <v>14</v>
      </c>
      <c r="I1209" s="2">
        <v>16369029</v>
      </c>
      <c r="J1209">
        <v>261777</v>
      </c>
      <c r="K1209" t="s">
        <v>15</v>
      </c>
      <c r="L1209" t="str">
        <f t="shared" si="54"/>
        <v>Available</v>
      </c>
      <c r="M1209">
        <f t="shared" si="55"/>
        <v>1</v>
      </c>
      <c r="N1209">
        <f t="shared" si="56"/>
        <v>1</v>
      </c>
    </row>
    <row r="1210" spans="1:14" x14ac:dyDescent="0.35">
      <c r="A1210" t="s">
        <v>2766</v>
      </c>
      <c r="B1210" t="s">
        <v>1546</v>
      </c>
      <c r="C1210" t="s">
        <v>1545</v>
      </c>
      <c r="D1210">
        <v>19</v>
      </c>
      <c r="E1210" t="s">
        <v>13</v>
      </c>
      <c r="F1210" s="1">
        <v>45578</v>
      </c>
      <c r="G1210" s="1">
        <v>46059</v>
      </c>
      <c r="H1210" t="s">
        <v>14</v>
      </c>
      <c r="I1210" s="2">
        <v>46735671</v>
      </c>
      <c r="J1210">
        <v>261510</v>
      </c>
      <c r="K1210" t="s">
        <v>15</v>
      </c>
      <c r="L1210" t="str">
        <f t="shared" si="54"/>
        <v>Available</v>
      </c>
      <c r="M1210">
        <f t="shared" si="55"/>
        <v>1</v>
      </c>
      <c r="N1210">
        <f t="shared" si="56"/>
        <v>1</v>
      </c>
    </row>
    <row r="1211" spans="1:14" x14ac:dyDescent="0.35">
      <c r="A1211" t="s">
        <v>2767</v>
      </c>
      <c r="B1211" t="s">
        <v>29</v>
      </c>
      <c r="C1211" t="s">
        <v>1483</v>
      </c>
      <c r="D1211">
        <v>32</v>
      </c>
      <c r="E1211" t="s">
        <v>13</v>
      </c>
      <c r="F1211" s="1">
        <v>44502</v>
      </c>
      <c r="G1211" s="1">
        <v>46057</v>
      </c>
      <c r="H1211" t="s">
        <v>14</v>
      </c>
      <c r="I1211" s="2">
        <v>24809</v>
      </c>
      <c r="J1211">
        <v>262579</v>
      </c>
      <c r="K1211" t="s">
        <v>15</v>
      </c>
      <c r="L1211" t="str">
        <f t="shared" si="54"/>
        <v>Available</v>
      </c>
      <c r="M1211">
        <f t="shared" si="55"/>
        <v>1</v>
      </c>
      <c r="N1211">
        <f t="shared" si="56"/>
        <v>1</v>
      </c>
    </row>
    <row r="1212" spans="1:14" x14ac:dyDescent="0.35">
      <c r="A1212" t="s">
        <v>2768</v>
      </c>
      <c r="C1212" t="s">
        <v>1547</v>
      </c>
      <c r="D1212">
        <v>26</v>
      </c>
      <c r="E1212" t="s">
        <v>13</v>
      </c>
      <c r="F1212" s="1">
        <v>44500</v>
      </c>
      <c r="G1212" s="1">
        <v>46058</v>
      </c>
      <c r="H1212" t="s">
        <v>14</v>
      </c>
      <c r="I1212" s="2">
        <v>266093</v>
      </c>
      <c r="J1212">
        <v>261842</v>
      </c>
      <c r="K1212" t="s">
        <v>15</v>
      </c>
      <c r="L1212" t="str">
        <f t="shared" si="54"/>
        <v>Missing</v>
      </c>
      <c r="M1212">
        <f t="shared" si="55"/>
        <v>1</v>
      </c>
      <c r="N1212">
        <f t="shared" si="56"/>
        <v>0</v>
      </c>
    </row>
    <row r="1213" spans="1:14" x14ac:dyDescent="0.35">
      <c r="A1213" t="s">
        <v>2769</v>
      </c>
      <c r="B1213" t="s">
        <v>1549</v>
      </c>
      <c r="C1213" t="s">
        <v>1548</v>
      </c>
      <c r="D1213">
        <v>26</v>
      </c>
      <c r="E1213" t="s">
        <v>13</v>
      </c>
      <c r="F1213" s="1">
        <v>44514</v>
      </c>
      <c r="G1213" s="1">
        <v>46055</v>
      </c>
      <c r="H1213" t="s">
        <v>14</v>
      </c>
      <c r="I1213" s="2">
        <v>2812451</v>
      </c>
      <c r="J1213">
        <v>266554</v>
      </c>
      <c r="K1213" t="s">
        <v>15</v>
      </c>
      <c r="L1213" t="str">
        <f t="shared" si="54"/>
        <v>Available</v>
      </c>
      <c r="M1213">
        <f t="shared" si="55"/>
        <v>1</v>
      </c>
      <c r="N1213">
        <f t="shared" si="56"/>
        <v>1</v>
      </c>
    </row>
    <row r="1214" spans="1:14" x14ac:dyDescent="0.35">
      <c r="A1214" t="s">
        <v>2770</v>
      </c>
      <c r="B1214" t="s">
        <v>82</v>
      </c>
      <c r="C1214" t="s">
        <v>1550</v>
      </c>
      <c r="D1214">
        <v>32</v>
      </c>
      <c r="E1214" t="s">
        <v>13</v>
      </c>
      <c r="F1214" s="1">
        <v>44497</v>
      </c>
      <c r="G1214" s="1">
        <v>46059</v>
      </c>
      <c r="H1214" t="s">
        <v>14</v>
      </c>
      <c r="I1214" s="2">
        <v>18905025</v>
      </c>
      <c r="J1214">
        <v>266811</v>
      </c>
      <c r="K1214" t="s">
        <v>15</v>
      </c>
      <c r="L1214" t="str">
        <f t="shared" si="54"/>
        <v>Available</v>
      </c>
      <c r="M1214">
        <f t="shared" si="55"/>
        <v>1</v>
      </c>
      <c r="N1214">
        <f t="shared" si="56"/>
        <v>1</v>
      </c>
    </row>
    <row r="1215" spans="1:14" x14ac:dyDescent="0.35">
      <c r="A1215" t="s">
        <v>2771</v>
      </c>
      <c r="B1215" t="s">
        <v>302</v>
      </c>
      <c r="C1215" t="s">
        <v>1551</v>
      </c>
      <c r="D1215">
        <v>24</v>
      </c>
      <c r="E1215" t="s">
        <v>13</v>
      </c>
      <c r="F1215" s="1">
        <v>44500</v>
      </c>
      <c r="G1215" s="1">
        <v>46059</v>
      </c>
      <c r="H1215" t="s">
        <v>14</v>
      </c>
      <c r="I1215" s="2">
        <v>18074820</v>
      </c>
      <c r="J1215">
        <v>266595</v>
      </c>
      <c r="K1215" t="s">
        <v>15</v>
      </c>
      <c r="L1215" t="str">
        <f t="shared" si="54"/>
        <v>Available</v>
      </c>
      <c r="M1215">
        <f t="shared" si="55"/>
        <v>1</v>
      </c>
      <c r="N1215">
        <f t="shared" si="56"/>
        <v>1</v>
      </c>
    </row>
    <row r="1216" spans="1:14" x14ac:dyDescent="0.35">
      <c r="A1216" t="s">
        <v>2772</v>
      </c>
      <c r="B1216" t="s">
        <v>318</v>
      </c>
      <c r="C1216" t="s">
        <v>1552</v>
      </c>
      <c r="D1216">
        <v>25.25</v>
      </c>
      <c r="E1216" t="s">
        <v>13</v>
      </c>
      <c r="F1216" s="1">
        <v>44497</v>
      </c>
      <c r="G1216" s="1">
        <v>46059</v>
      </c>
      <c r="H1216" t="s">
        <v>14</v>
      </c>
      <c r="I1216" s="2">
        <v>152805</v>
      </c>
      <c r="J1216">
        <v>261524</v>
      </c>
      <c r="K1216" t="s">
        <v>15</v>
      </c>
      <c r="L1216" t="str">
        <f t="shared" si="54"/>
        <v>Available</v>
      </c>
      <c r="M1216">
        <f t="shared" si="55"/>
        <v>1</v>
      </c>
      <c r="N1216">
        <f t="shared" si="56"/>
        <v>1</v>
      </c>
    </row>
    <row r="1217" spans="1:14" x14ac:dyDescent="0.35">
      <c r="A1217" t="s">
        <v>2773</v>
      </c>
      <c r="B1217" t="s">
        <v>27</v>
      </c>
      <c r="C1217" t="s">
        <v>1553</v>
      </c>
      <c r="D1217">
        <v>2</v>
      </c>
      <c r="E1217" t="s">
        <v>640</v>
      </c>
      <c r="F1217" s="1">
        <v>45449</v>
      </c>
      <c r="G1217" s="1">
        <v>45953</v>
      </c>
      <c r="H1217" t="s">
        <v>14</v>
      </c>
      <c r="I1217" t="s">
        <v>2778</v>
      </c>
      <c r="J1217">
        <v>266420</v>
      </c>
      <c r="K1217" t="s">
        <v>30</v>
      </c>
      <c r="L1217" t="str">
        <f t="shared" si="54"/>
        <v>Available</v>
      </c>
      <c r="M1217">
        <f t="shared" si="55"/>
        <v>0</v>
      </c>
      <c r="N1217">
        <f t="shared" si="56"/>
        <v>1</v>
      </c>
    </row>
    <row r="1218" spans="1:14" x14ac:dyDescent="0.35">
      <c r="A1218" t="s">
        <v>2774</v>
      </c>
      <c r="C1218" t="s">
        <v>1554</v>
      </c>
      <c r="D1218">
        <v>16</v>
      </c>
      <c r="E1218" t="s">
        <v>13</v>
      </c>
      <c r="F1218" s="1">
        <v>45201</v>
      </c>
      <c r="G1218" s="1">
        <v>46010</v>
      </c>
      <c r="H1218" t="s">
        <v>14</v>
      </c>
      <c r="I1218" t="s">
        <v>2778</v>
      </c>
      <c r="J1218">
        <v>261746</v>
      </c>
      <c r="K1218" t="s">
        <v>30</v>
      </c>
      <c r="L1218" t="str">
        <f t="shared" si="54"/>
        <v>Missing</v>
      </c>
      <c r="M1218">
        <f t="shared" si="55"/>
        <v>0</v>
      </c>
      <c r="N1218">
        <f t="shared" si="56"/>
        <v>0</v>
      </c>
    </row>
    <row r="1219" spans="1:14" x14ac:dyDescent="0.35">
      <c r="A1219" t="s">
        <v>2775</v>
      </c>
      <c r="B1219" t="s">
        <v>37</v>
      </c>
      <c r="C1219" t="s">
        <v>1555</v>
      </c>
      <c r="D1219">
        <v>24</v>
      </c>
      <c r="E1219" t="s">
        <v>13</v>
      </c>
      <c r="F1219" s="1">
        <v>44499</v>
      </c>
      <c r="G1219" s="1">
        <v>46059</v>
      </c>
      <c r="H1219" t="s">
        <v>14</v>
      </c>
      <c r="I1219" s="2">
        <v>18491097</v>
      </c>
      <c r="J1219">
        <v>264348</v>
      </c>
      <c r="K1219" t="s">
        <v>15</v>
      </c>
      <c r="L1219" t="str">
        <f t="shared" ref="L1219:L1221" si="57">IF(OR(B1219="",ISBLANK(B1219)),"Missing","Available")</f>
        <v>Available</v>
      </c>
      <c r="M1219">
        <f t="shared" ref="M1219:M1221" si="58">IF(K1219="Mapped",1,0)</f>
        <v>1</v>
      </c>
      <c r="N1219">
        <f t="shared" ref="N1219:N1221" si="59">IF(AND(B1219&lt;&gt;"",A1219&lt;&gt;""),1,0)</f>
        <v>1</v>
      </c>
    </row>
    <row r="1220" spans="1:14" x14ac:dyDescent="0.35">
      <c r="A1220" t="s">
        <v>2776</v>
      </c>
      <c r="B1220" t="s">
        <v>768</v>
      </c>
      <c r="C1220" t="s">
        <v>1556</v>
      </c>
      <c r="D1220">
        <v>25</v>
      </c>
      <c r="E1220" t="s">
        <v>13</v>
      </c>
      <c r="F1220" s="1">
        <v>44497</v>
      </c>
      <c r="G1220" s="1">
        <v>46059</v>
      </c>
      <c r="H1220" t="s">
        <v>14</v>
      </c>
      <c r="I1220" s="2">
        <v>98562</v>
      </c>
      <c r="J1220">
        <v>264070</v>
      </c>
      <c r="K1220" t="s">
        <v>15</v>
      </c>
      <c r="L1220" t="str">
        <f t="shared" si="57"/>
        <v>Available</v>
      </c>
      <c r="M1220">
        <f t="shared" si="58"/>
        <v>1</v>
      </c>
      <c r="N1220">
        <f t="shared" si="59"/>
        <v>1</v>
      </c>
    </row>
    <row r="1221" spans="1:14" x14ac:dyDescent="0.35">
      <c r="A1221" t="s">
        <v>2777</v>
      </c>
      <c r="B1221" t="s">
        <v>686</v>
      </c>
      <c r="C1221" t="s">
        <v>1557</v>
      </c>
      <c r="D1221">
        <v>24</v>
      </c>
      <c r="E1221" t="s">
        <v>13</v>
      </c>
      <c r="F1221" s="1">
        <v>45679</v>
      </c>
      <c r="G1221" s="1">
        <v>46059</v>
      </c>
      <c r="H1221" t="s">
        <v>14</v>
      </c>
      <c r="I1221" s="2">
        <v>64419397</v>
      </c>
      <c r="J1221">
        <v>266363</v>
      </c>
      <c r="K1221" t="s">
        <v>15</v>
      </c>
      <c r="L1221" t="str">
        <f t="shared" si="57"/>
        <v>Available</v>
      </c>
      <c r="M1221">
        <f t="shared" si="58"/>
        <v>1</v>
      </c>
      <c r="N1221">
        <f t="shared" si="59"/>
        <v>1</v>
      </c>
    </row>
  </sheetData>
  <pageMargins left="0.7" right="0.7" top="0.75" bottom="0.75" header="0.3" footer="0.3"/>
  <ignoredErrors>
    <ignoredError sqref="A2:A12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BD81-9C37-48C7-B7F0-2019D5C651B1}">
  <dimension ref="A1:N1221"/>
  <sheetViews>
    <sheetView topLeftCell="A1205" workbookViewId="0">
      <selection activeCell="L1" sqref="L1"/>
    </sheetView>
  </sheetViews>
  <sheetFormatPr defaultRowHeight="14.5" x14ac:dyDescent="0.35"/>
  <cols>
    <col min="6" max="7" width="10.08984375" bestFit="1" customWidth="1"/>
  </cols>
  <sheetData>
    <row r="1" spans="1:14" x14ac:dyDescent="0.35">
      <c r="A1" t="s">
        <v>4</v>
      </c>
      <c r="B1" t="s">
        <v>1</v>
      </c>
      <c r="C1" t="s">
        <v>0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2906</v>
      </c>
      <c r="M1" t="s">
        <v>2907</v>
      </c>
      <c r="N1" t="s">
        <v>2908</v>
      </c>
    </row>
    <row r="2" spans="1:14" x14ac:dyDescent="0.35">
      <c r="A2" t="s">
        <v>1558</v>
      </c>
      <c r="B2" t="s">
        <v>12</v>
      </c>
      <c r="C2" t="s">
        <v>11</v>
      </c>
      <c r="D2">
        <v>24</v>
      </c>
      <c r="E2" t="s">
        <v>13</v>
      </c>
      <c r="F2" s="1">
        <v>44497</v>
      </c>
      <c r="G2" s="1">
        <v>46059</v>
      </c>
      <c r="H2" t="s">
        <v>14</v>
      </c>
      <c r="I2" s="2">
        <v>39355</v>
      </c>
      <c r="J2">
        <v>264156</v>
      </c>
      <c r="K2" t="s">
        <v>15</v>
      </c>
      <c r="L2" t="str">
        <f>IF(OR(B2="",ISBLANK(B2)),"Missing","Available")</f>
        <v>Available</v>
      </c>
      <c r="M2">
        <f>IF(K2="Mapped",1,0)</f>
        <v>1</v>
      </c>
      <c r="N2">
        <f>IF(AND(B2&lt;&gt;"",A2&lt;&gt;""),1,0)</f>
        <v>1</v>
      </c>
    </row>
    <row r="3" spans="1:14" x14ac:dyDescent="0.35">
      <c r="A3" t="s">
        <v>1559</v>
      </c>
      <c r="B3" t="s">
        <v>2789</v>
      </c>
      <c r="C3" t="s">
        <v>16</v>
      </c>
      <c r="D3">
        <v>32</v>
      </c>
      <c r="E3" t="s">
        <v>13</v>
      </c>
      <c r="F3" s="1">
        <v>44497</v>
      </c>
      <c r="G3" s="1">
        <v>46059</v>
      </c>
      <c r="H3" t="s">
        <v>14</v>
      </c>
      <c r="I3" s="2">
        <v>21149112</v>
      </c>
      <c r="J3">
        <v>261581</v>
      </c>
      <c r="K3" t="s">
        <v>15</v>
      </c>
      <c r="L3" t="str">
        <f t="shared" ref="L3:L66" si="0">IF(OR(B3="",ISBLANK(B3)),"Missing","Available")</f>
        <v>Available</v>
      </c>
      <c r="M3">
        <f t="shared" ref="M3:M66" si="1">IF(K3="Mapped",1,0)</f>
        <v>1</v>
      </c>
      <c r="N3">
        <f t="shared" ref="N3:N66" si="2">IF(AND(B3&lt;&gt;"",A3&lt;&gt;""),1,0)</f>
        <v>1</v>
      </c>
    </row>
    <row r="4" spans="1:14" x14ac:dyDescent="0.35">
      <c r="A4" t="s">
        <v>1560</v>
      </c>
      <c r="B4" t="s">
        <v>2790</v>
      </c>
      <c r="C4" t="s">
        <v>18</v>
      </c>
      <c r="D4">
        <v>24</v>
      </c>
      <c r="E4" t="s">
        <v>13</v>
      </c>
      <c r="F4" s="1">
        <v>44497</v>
      </c>
      <c r="G4" s="1">
        <v>46060</v>
      </c>
      <c r="H4" t="s">
        <v>14</v>
      </c>
      <c r="I4" s="2">
        <v>53413</v>
      </c>
      <c r="J4">
        <v>261778</v>
      </c>
      <c r="K4" t="s">
        <v>30</v>
      </c>
      <c r="L4" t="str">
        <f t="shared" si="0"/>
        <v>Available</v>
      </c>
      <c r="M4">
        <f t="shared" si="1"/>
        <v>0</v>
      </c>
      <c r="N4">
        <f t="shared" si="2"/>
        <v>1</v>
      </c>
    </row>
    <row r="5" spans="1:14" x14ac:dyDescent="0.35">
      <c r="A5" t="s">
        <v>1561</v>
      </c>
      <c r="B5" t="s">
        <v>21</v>
      </c>
      <c r="C5" t="s">
        <v>20</v>
      </c>
      <c r="D5">
        <v>24</v>
      </c>
      <c r="E5" t="s">
        <v>13</v>
      </c>
      <c r="F5" s="1">
        <v>44497</v>
      </c>
      <c r="G5" s="1">
        <v>46059</v>
      </c>
      <c r="H5" t="s">
        <v>14</v>
      </c>
      <c r="I5" s="2">
        <v>53414</v>
      </c>
      <c r="J5">
        <v>267054</v>
      </c>
      <c r="K5" t="s">
        <v>30</v>
      </c>
      <c r="L5" t="str">
        <f t="shared" si="0"/>
        <v>Available</v>
      </c>
      <c r="M5">
        <f t="shared" si="1"/>
        <v>0</v>
      </c>
      <c r="N5">
        <f t="shared" si="2"/>
        <v>1</v>
      </c>
    </row>
    <row r="6" spans="1:14" x14ac:dyDescent="0.35">
      <c r="A6" t="s">
        <v>1562</v>
      </c>
      <c r="B6" t="s">
        <v>2791</v>
      </c>
      <c r="C6" t="s">
        <v>22</v>
      </c>
      <c r="D6">
        <v>23.25</v>
      </c>
      <c r="E6" t="s">
        <v>13</v>
      </c>
      <c r="F6" s="1">
        <v>44969</v>
      </c>
      <c r="G6" s="1">
        <v>46057</v>
      </c>
      <c r="H6" t="s">
        <v>14</v>
      </c>
      <c r="I6" s="2">
        <v>29434996</v>
      </c>
      <c r="J6">
        <v>264454</v>
      </c>
      <c r="K6" t="s">
        <v>30</v>
      </c>
      <c r="L6" t="str">
        <f t="shared" si="0"/>
        <v>Available</v>
      </c>
      <c r="M6">
        <f t="shared" si="1"/>
        <v>0</v>
      </c>
      <c r="N6">
        <f t="shared" si="2"/>
        <v>1</v>
      </c>
    </row>
    <row r="7" spans="1:14" x14ac:dyDescent="0.35">
      <c r="A7" t="s">
        <v>1563</v>
      </c>
      <c r="B7" t="s">
        <v>25</v>
      </c>
      <c r="C7" t="s">
        <v>24</v>
      </c>
      <c r="D7">
        <v>24</v>
      </c>
      <c r="E7" t="s">
        <v>13</v>
      </c>
      <c r="F7" s="1">
        <v>44497</v>
      </c>
      <c r="G7" s="1">
        <v>46060</v>
      </c>
      <c r="H7" t="s">
        <v>14</v>
      </c>
      <c r="I7" s="2">
        <v>77096</v>
      </c>
      <c r="J7">
        <v>264735</v>
      </c>
      <c r="K7" t="s">
        <v>30</v>
      </c>
      <c r="L7" t="str">
        <f t="shared" si="0"/>
        <v>Available</v>
      </c>
      <c r="M7">
        <f t="shared" si="1"/>
        <v>0</v>
      </c>
      <c r="N7">
        <f t="shared" si="2"/>
        <v>1</v>
      </c>
    </row>
    <row r="8" spans="1:14" x14ac:dyDescent="0.35">
      <c r="A8" t="s">
        <v>1564</v>
      </c>
      <c r="B8" t="s">
        <v>27</v>
      </c>
      <c r="C8" t="s">
        <v>26</v>
      </c>
      <c r="D8">
        <v>24.7</v>
      </c>
      <c r="E8" t="s">
        <v>13</v>
      </c>
      <c r="F8" s="1">
        <v>44497</v>
      </c>
      <c r="G8" s="1">
        <v>46059</v>
      </c>
      <c r="H8" t="s">
        <v>14</v>
      </c>
      <c r="I8" s="2">
        <v>23836538</v>
      </c>
      <c r="J8">
        <v>261823</v>
      </c>
      <c r="K8" t="s">
        <v>15</v>
      </c>
      <c r="L8" t="str">
        <f t="shared" si="0"/>
        <v>Available</v>
      </c>
      <c r="M8">
        <f t="shared" si="1"/>
        <v>1</v>
      </c>
      <c r="N8">
        <f t="shared" si="2"/>
        <v>1</v>
      </c>
    </row>
    <row r="9" spans="1:14" x14ac:dyDescent="0.35">
      <c r="A9" t="s">
        <v>1565</v>
      </c>
      <c r="B9" t="s">
        <v>2792</v>
      </c>
      <c r="C9" t="s">
        <v>28</v>
      </c>
      <c r="D9">
        <v>15.5</v>
      </c>
      <c r="E9" t="s">
        <v>13</v>
      </c>
      <c r="F9" s="1">
        <v>45315</v>
      </c>
      <c r="G9" s="1">
        <v>46057</v>
      </c>
      <c r="H9" t="s">
        <v>14</v>
      </c>
      <c r="I9" t="s">
        <v>2778</v>
      </c>
      <c r="J9">
        <v>264019</v>
      </c>
      <c r="K9" t="s">
        <v>15</v>
      </c>
      <c r="L9" t="str">
        <f t="shared" si="0"/>
        <v>Available</v>
      </c>
      <c r="M9">
        <f t="shared" si="1"/>
        <v>1</v>
      </c>
      <c r="N9">
        <f t="shared" si="2"/>
        <v>1</v>
      </c>
    </row>
    <row r="10" spans="1:14" x14ac:dyDescent="0.35">
      <c r="A10" t="s">
        <v>1566</v>
      </c>
      <c r="B10" t="s">
        <v>32</v>
      </c>
      <c r="C10" t="s">
        <v>31</v>
      </c>
      <c r="D10">
        <v>28</v>
      </c>
      <c r="E10" t="s">
        <v>13</v>
      </c>
      <c r="F10" s="1">
        <v>44498</v>
      </c>
      <c r="G10" s="1">
        <v>46058</v>
      </c>
      <c r="H10" t="s">
        <v>14</v>
      </c>
      <c r="I10" s="2">
        <v>3144170</v>
      </c>
      <c r="J10">
        <v>261790</v>
      </c>
      <c r="K10" t="s">
        <v>15</v>
      </c>
      <c r="L10" t="str">
        <f t="shared" si="0"/>
        <v>Available</v>
      </c>
      <c r="M10">
        <f t="shared" si="1"/>
        <v>1</v>
      </c>
      <c r="N10">
        <f t="shared" si="2"/>
        <v>1</v>
      </c>
    </row>
    <row r="11" spans="1:14" x14ac:dyDescent="0.35">
      <c r="A11" t="s">
        <v>1567</v>
      </c>
      <c r="B11" t="s">
        <v>2793</v>
      </c>
      <c r="C11" t="s">
        <v>33</v>
      </c>
      <c r="D11">
        <v>21.911138000000001</v>
      </c>
      <c r="E11" t="s">
        <v>35</v>
      </c>
      <c r="F11" s="1">
        <v>44497</v>
      </c>
      <c r="G11" s="1">
        <v>46058</v>
      </c>
      <c r="H11" t="s">
        <v>14</v>
      </c>
      <c r="I11" t="s">
        <v>2778</v>
      </c>
      <c r="J11">
        <v>266295</v>
      </c>
      <c r="K11" t="s">
        <v>15</v>
      </c>
      <c r="L11" t="str">
        <f t="shared" si="0"/>
        <v>Available</v>
      </c>
      <c r="M11">
        <f t="shared" si="1"/>
        <v>1</v>
      </c>
      <c r="N11">
        <f t="shared" si="2"/>
        <v>1</v>
      </c>
    </row>
    <row r="12" spans="1:14" x14ac:dyDescent="0.35">
      <c r="A12" t="s">
        <v>1568</v>
      </c>
      <c r="B12" t="s">
        <v>37</v>
      </c>
      <c r="C12" t="s">
        <v>36</v>
      </c>
      <c r="D12">
        <v>26</v>
      </c>
      <c r="E12" t="s">
        <v>13</v>
      </c>
      <c r="F12" s="1">
        <v>44497</v>
      </c>
      <c r="G12" s="1">
        <v>46059</v>
      </c>
      <c r="H12" t="s">
        <v>14</v>
      </c>
      <c r="I12" s="2">
        <v>169437</v>
      </c>
      <c r="J12">
        <v>262534</v>
      </c>
      <c r="K12" t="s">
        <v>30</v>
      </c>
      <c r="L12" t="str">
        <f t="shared" si="0"/>
        <v>Available</v>
      </c>
      <c r="M12">
        <f t="shared" si="1"/>
        <v>0</v>
      </c>
      <c r="N12">
        <f t="shared" si="2"/>
        <v>1</v>
      </c>
    </row>
    <row r="13" spans="1:14" x14ac:dyDescent="0.35">
      <c r="A13" t="s">
        <v>1569</v>
      </c>
      <c r="B13" t="s">
        <v>2794</v>
      </c>
      <c r="C13" t="s">
        <v>38</v>
      </c>
      <c r="D13">
        <v>32</v>
      </c>
      <c r="E13" t="s">
        <v>13</v>
      </c>
      <c r="F13" s="1">
        <v>44502</v>
      </c>
      <c r="G13" s="1">
        <v>46057</v>
      </c>
      <c r="H13" t="s">
        <v>14</v>
      </c>
      <c r="I13" s="2">
        <v>20451724</v>
      </c>
      <c r="J13">
        <v>262065</v>
      </c>
      <c r="K13" t="s">
        <v>15</v>
      </c>
      <c r="L13" t="str">
        <f t="shared" si="0"/>
        <v>Available</v>
      </c>
      <c r="M13">
        <f t="shared" si="1"/>
        <v>1</v>
      </c>
      <c r="N13">
        <f t="shared" si="2"/>
        <v>1</v>
      </c>
    </row>
    <row r="14" spans="1:14" x14ac:dyDescent="0.35">
      <c r="A14" t="s">
        <v>1570</v>
      </c>
      <c r="B14" t="s">
        <v>41</v>
      </c>
      <c r="C14" t="s">
        <v>40</v>
      </c>
      <c r="D14">
        <v>24.3</v>
      </c>
      <c r="E14" t="s">
        <v>13</v>
      </c>
      <c r="F14" s="1">
        <v>44497</v>
      </c>
      <c r="G14" s="1">
        <v>46058</v>
      </c>
      <c r="H14" t="s">
        <v>14</v>
      </c>
      <c r="I14" s="2">
        <v>333902</v>
      </c>
      <c r="J14">
        <v>264714</v>
      </c>
      <c r="K14" t="s">
        <v>15</v>
      </c>
      <c r="L14" t="str">
        <f t="shared" si="0"/>
        <v>Available</v>
      </c>
      <c r="M14">
        <f t="shared" si="1"/>
        <v>1</v>
      </c>
      <c r="N14">
        <f t="shared" si="2"/>
        <v>1</v>
      </c>
    </row>
    <row r="15" spans="1:14" x14ac:dyDescent="0.35">
      <c r="A15" t="s">
        <v>1571</v>
      </c>
      <c r="B15" t="s">
        <v>43</v>
      </c>
      <c r="C15" t="s">
        <v>42</v>
      </c>
      <c r="D15">
        <v>25</v>
      </c>
      <c r="E15" t="s">
        <v>13</v>
      </c>
      <c r="F15" s="1">
        <v>44497</v>
      </c>
      <c r="G15" s="1">
        <v>46059</v>
      </c>
      <c r="H15" t="s">
        <v>14</v>
      </c>
      <c r="I15" s="2">
        <v>91479</v>
      </c>
      <c r="J15">
        <v>266355</v>
      </c>
      <c r="K15" t="s">
        <v>15</v>
      </c>
      <c r="L15" t="str">
        <f t="shared" si="0"/>
        <v>Available</v>
      </c>
      <c r="M15">
        <f t="shared" si="1"/>
        <v>1</v>
      </c>
      <c r="N15">
        <f t="shared" si="2"/>
        <v>1</v>
      </c>
    </row>
    <row r="16" spans="1:14" x14ac:dyDescent="0.35">
      <c r="A16" t="s">
        <v>1572</v>
      </c>
      <c r="B16" t="s">
        <v>147</v>
      </c>
      <c r="C16" t="s">
        <v>44</v>
      </c>
      <c r="D16">
        <v>24.973545000000001</v>
      </c>
      <c r="E16" t="s">
        <v>13</v>
      </c>
      <c r="F16" s="1">
        <v>44497</v>
      </c>
      <c r="G16" s="1">
        <v>46060</v>
      </c>
      <c r="H16" t="s">
        <v>14</v>
      </c>
      <c r="I16" s="2">
        <v>16698389</v>
      </c>
      <c r="J16">
        <v>264126</v>
      </c>
      <c r="K16" t="s">
        <v>30</v>
      </c>
      <c r="L16" t="str">
        <f t="shared" si="0"/>
        <v>Available</v>
      </c>
      <c r="M16">
        <f t="shared" si="1"/>
        <v>0</v>
      </c>
      <c r="N16">
        <f t="shared" si="2"/>
        <v>1</v>
      </c>
    </row>
    <row r="17" spans="1:14" x14ac:dyDescent="0.35">
      <c r="A17" t="s">
        <v>1573</v>
      </c>
      <c r="B17" t="s">
        <v>47</v>
      </c>
      <c r="C17" t="s">
        <v>46</v>
      </c>
      <c r="D17">
        <v>135</v>
      </c>
      <c r="E17" t="s">
        <v>13</v>
      </c>
      <c r="F17" s="1">
        <v>44819</v>
      </c>
      <c r="G17" s="1">
        <v>46038</v>
      </c>
      <c r="H17" t="s">
        <v>14</v>
      </c>
      <c r="I17" t="s">
        <v>2778</v>
      </c>
      <c r="J17">
        <v>264418</v>
      </c>
      <c r="K17" t="s">
        <v>15</v>
      </c>
      <c r="L17" t="str">
        <f t="shared" si="0"/>
        <v>Available</v>
      </c>
      <c r="M17">
        <f t="shared" si="1"/>
        <v>1</v>
      </c>
      <c r="N17">
        <f t="shared" si="2"/>
        <v>1</v>
      </c>
    </row>
    <row r="18" spans="1:14" x14ac:dyDescent="0.35">
      <c r="A18" t="s">
        <v>1574</v>
      </c>
      <c r="B18" t="s">
        <v>32</v>
      </c>
      <c r="C18" t="s">
        <v>48</v>
      </c>
      <c r="D18">
        <v>25</v>
      </c>
      <c r="E18" t="s">
        <v>13</v>
      </c>
      <c r="F18" s="1">
        <v>44498</v>
      </c>
      <c r="G18" s="1">
        <v>46058</v>
      </c>
      <c r="H18" t="s">
        <v>14</v>
      </c>
      <c r="I18" s="2">
        <v>513485</v>
      </c>
      <c r="J18">
        <v>264078</v>
      </c>
      <c r="K18" t="s">
        <v>30</v>
      </c>
      <c r="L18" t="str">
        <f t="shared" si="0"/>
        <v>Available</v>
      </c>
      <c r="M18">
        <f t="shared" si="1"/>
        <v>0</v>
      </c>
      <c r="N18">
        <f t="shared" si="2"/>
        <v>1</v>
      </c>
    </row>
    <row r="19" spans="1:14" x14ac:dyDescent="0.35">
      <c r="A19" t="s">
        <v>1575</v>
      </c>
      <c r="B19" t="s">
        <v>41</v>
      </c>
      <c r="C19" t="s">
        <v>49</v>
      </c>
      <c r="D19">
        <v>24.3</v>
      </c>
      <c r="E19" t="s">
        <v>13</v>
      </c>
      <c r="F19" s="1">
        <v>44497</v>
      </c>
      <c r="G19" s="1">
        <v>46058</v>
      </c>
      <c r="H19" t="s">
        <v>14</v>
      </c>
      <c r="I19" s="2">
        <v>2488649</v>
      </c>
      <c r="J19">
        <v>264452</v>
      </c>
      <c r="K19" t="s">
        <v>30</v>
      </c>
      <c r="L19" t="str">
        <f t="shared" si="0"/>
        <v>Available</v>
      </c>
      <c r="M19">
        <f t="shared" si="1"/>
        <v>0</v>
      </c>
      <c r="N19">
        <f t="shared" si="2"/>
        <v>1</v>
      </c>
    </row>
    <row r="20" spans="1:14" x14ac:dyDescent="0.35">
      <c r="A20" t="s">
        <v>1576</v>
      </c>
      <c r="B20" t="s">
        <v>51</v>
      </c>
      <c r="C20" t="s">
        <v>50</v>
      </c>
      <c r="D20">
        <v>32</v>
      </c>
      <c r="E20" t="s">
        <v>13</v>
      </c>
      <c r="F20" s="1">
        <v>44497</v>
      </c>
      <c r="G20" s="1">
        <v>46057</v>
      </c>
      <c r="H20" t="s">
        <v>14</v>
      </c>
      <c r="I20" s="2">
        <v>77119</v>
      </c>
      <c r="J20">
        <v>267089</v>
      </c>
      <c r="K20" t="s">
        <v>15</v>
      </c>
      <c r="L20" t="str">
        <f t="shared" si="0"/>
        <v>Available</v>
      </c>
      <c r="M20">
        <f t="shared" si="1"/>
        <v>1</v>
      </c>
      <c r="N20">
        <f t="shared" si="2"/>
        <v>1</v>
      </c>
    </row>
    <row r="21" spans="1:14" x14ac:dyDescent="0.35">
      <c r="A21" t="s">
        <v>1577</v>
      </c>
      <c r="B21" t="s">
        <v>53</v>
      </c>
      <c r="C21" t="s">
        <v>52</v>
      </c>
      <c r="D21">
        <v>25</v>
      </c>
      <c r="E21" t="s">
        <v>13</v>
      </c>
      <c r="F21" s="1">
        <v>44502</v>
      </c>
      <c r="G21" s="1">
        <v>46059</v>
      </c>
      <c r="H21" t="s">
        <v>14</v>
      </c>
      <c r="I21" s="2">
        <v>18006261</v>
      </c>
      <c r="J21">
        <v>264077</v>
      </c>
      <c r="K21" t="s">
        <v>30</v>
      </c>
      <c r="L21" t="str">
        <f t="shared" si="0"/>
        <v>Available</v>
      </c>
      <c r="M21">
        <f t="shared" si="1"/>
        <v>0</v>
      </c>
      <c r="N21">
        <f t="shared" si="2"/>
        <v>1</v>
      </c>
    </row>
    <row r="22" spans="1:14" x14ac:dyDescent="0.35">
      <c r="A22" t="s">
        <v>1578</v>
      </c>
      <c r="B22" t="s">
        <v>55</v>
      </c>
      <c r="C22" t="s">
        <v>54</v>
      </c>
      <c r="D22">
        <v>15</v>
      </c>
      <c r="E22" t="s">
        <v>13</v>
      </c>
      <c r="F22" s="1">
        <v>44500</v>
      </c>
      <c r="G22" s="1">
        <v>45365</v>
      </c>
      <c r="H22" t="s">
        <v>14</v>
      </c>
      <c r="I22" t="s">
        <v>2778</v>
      </c>
      <c r="J22">
        <v>266338</v>
      </c>
      <c r="K22" t="s">
        <v>30</v>
      </c>
      <c r="L22" t="str">
        <f t="shared" si="0"/>
        <v>Available</v>
      </c>
      <c r="M22">
        <f t="shared" si="1"/>
        <v>0</v>
      </c>
      <c r="N22">
        <f t="shared" si="2"/>
        <v>1</v>
      </c>
    </row>
    <row r="23" spans="1:14" x14ac:dyDescent="0.35">
      <c r="A23" t="s">
        <v>1579</v>
      </c>
      <c r="B23" t="s">
        <v>25</v>
      </c>
      <c r="C23" t="s">
        <v>56</v>
      </c>
      <c r="D23">
        <v>45</v>
      </c>
      <c r="E23" t="s">
        <v>13</v>
      </c>
      <c r="F23" s="1">
        <v>44497</v>
      </c>
      <c r="G23" s="1">
        <v>46059</v>
      </c>
      <c r="H23" t="s">
        <v>14</v>
      </c>
      <c r="I23" s="2">
        <v>24680086</v>
      </c>
      <c r="J23">
        <v>262167</v>
      </c>
      <c r="K23" t="s">
        <v>30</v>
      </c>
      <c r="L23" t="str">
        <f t="shared" si="0"/>
        <v>Available</v>
      </c>
      <c r="M23">
        <f t="shared" si="1"/>
        <v>0</v>
      </c>
      <c r="N23">
        <f t="shared" si="2"/>
        <v>1</v>
      </c>
    </row>
    <row r="24" spans="1:14" x14ac:dyDescent="0.35">
      <c r="A24" t="s">
        <v>1580</v>
      </c>
      <c r="B24" t="s">
        <v>58</v>
      </c>
      <c r="C24" t="s">
        <v>57</v>
      </c>
      <c r="D24">
        <v>20.288091000000001</v>
      </c>
      <c r="E24" t="s">
        <v>35</v>
      </c>
      <c r="F24" s="1">
        <v>45631</v>
      </c>
      <c r="G24" s="1">
        <v>46058</v>
      </c>
      <c r="H24" t="s">
        <v>14</v>
      </c>
      <c r="I24" t="s">
        <v>2778</v>
      </c>
      <c r="J24">
        <v>264020</v>
      </c>
      <c r="K24" t="s">
        <v>30</v>
      </c>
      <c r="L24" t="str">
        <f t="shared" si="0"/>
        <v>Available</v>
      </c>
      <c r="M24">
        <f t="shared" si="1"/>
        <v>0</v>
      </c>
      <c r="N24">
        <f t="shared" si="2"/>
        <v>1</v>
      </c>
    </row>
    <row r="25" spans="1:14" x14ac:dyDescent="0.35">
      <c r="A25" t="s">
        <v>1581</v>
      </c>
      <c r="B25" t="s">
        <v>2795</v>
      </c>
      <c r="C25" t="s">
        <v>59</v>
      </c>
      <c r="D25">
        <v>25</v>
      </c>
      <c r="E25" t="s">
        <v>13</v>
      </c>
      <c r="F25" s="1">
        <v>44497</v>
      </c>
      <c r="G25" s="1">
        <v>46059</v>
      </c>
      <c r="H25" t="s">
        <v>14</v>
      </c>
      <c r="I25" s="2">
        <v>18689362</v>
      </c>
      <c r="J25">
        <v>266357</v>
      </c>
      <c r="K25" t="s">
        <v>15</v>
      </c>
      <c r="L25" t="str">
        <f t="shared" si="0"/>
        <v>Available</v>
      </c>
      <c r="M25">
        <f t="shared" si="1"/>
        <v>1</v>
      </c>
      <c r="N25">
        <f t="shared" si="2"/>
        <v>1</v>
      </c>
    </row>
    <row r="26" spans="1:14" x14ac:dyDescent="0.35">
      <c r="A26" t="s">
        <v>1582</v>
      </c>
      <c r="B26" t="s">
        <v>62</v>
      </c>
      <c r="C26" t="s">
        <v>61</v>
      </c>
      <c r="D26">
        <v>23.6</v>
      </c>
      <c r="E26" t="s">
        <v>13</v>
      </c>
      <c r="F26" s="1">
        <v>44497</v>
      </c>
      <c r="G26" s="1">
        <v>46059</v>
      </c>
      <c r="H26" t="s">
        <v>14</v>
      </c>
      <c r="I26" s="2">
        <v>18301267</v>
      </c>
      <c r="J26">
        <v>266388</v>
      </c>
      <c r="K26" t="s">
        <v>30</v>
      </c>
      <c r="L26" t="str">
        <f t="shared" si="0"/>
        <v>Available</v>
      </c>
      <c r="M26">
        <f t="shared" si="1"/>
        <v>0</v>
      </c>
      <c r="N26">
        <f t="shared" si="2"/>
        <v>1</v>
      </c>
    </row>
    <row r="27" spans="1:14" x14ac:dyDescent="0.35">
      <c r="A27" t="s">
        <v>1583</v>
      </c>
      <c r="B27" t="s">
        <v>2796</v>
      </c>
      <c r="C27" t="s">
        <v>63</v>
      </c>
      <c r="D27">
        <v>25.5</v>
      </c>
      <c r="E27" t="s">
        <v>13</v>
      </c>
      <c r="F27" s="1">
        <v>44497</v>
      </c>
      <c r="G27" s="1">
        <v>46059</v>
      </c>
      <c r="H27" t="s">
        <v>14</v>
      </c>
      <c r="I27" s="2">
        <v>2680706</v>
      </c>
      <c r="J27">
        <v>266434</v>
      </c>
      <c r="K27" t="s">
        <v>30</v>
      </c>
      <c r="L27" t="str">
        <f t="shared" si="0"/>
        <v>Available</v>
      </c>
      <c r="M27">
        <f t="shared" si="1"/>
        <v>0</v>
      </c>
      <c r="N27">
        <f t="shared" si="2"/>
        <v>1</v>
      </c>
    </row>
    <row r="28" spans="1:14" x14ac:dyDescent="0.35">
      <c r="A28" t="s">
        <v>1584</v>
      </c>
      <c r="B28" t="s">
        <v>41</v>
      </c>
      <c r="C28" t="s">
        <v>65</v>
      </c>
      <c r="D28">
        <v>24.3</v>
      </c>
      <c r="E28" t="s">
        <v>13</v>
      </c>
      <c r="F28" s="1">
        <v>44497</v>
      </c>
      <c r="G28" s="1">
        <v>46058</v>
      </c>
      <c r="H28" t="s">
        <v>14</v>
      </c>
      <c r="I28" t="s">
        <v>2778</v>
      </c>
      <c r="J28">
        <v>264368</v>
      </c>
      <c r="K28" t="s">
        <v>15</v>
      </c>
      <c r="L28" t="str">
        <f t="shared" si="0"/>
        <v>Available</v>
      </c>
      <c r="M28">
        <f t="shared" si="1"/>
        <v>1</v>
      </c>
      <c r="N28">
        <f t="shared" si="2"/>
        <v>1</v>
      </c>
    </row>
    <row r="29" spans="1:14" x14ac:dyDescent="0.35">
      <c r="A29" t="s">
        <v>1585</v>
      </c>
      <c r="B29" t="s">
        <v>626</v>
      </c>
      <c r="C29" t="s">
        <v>66</v>
      </c>
      <c r="F29" s="1">
        <v>44497</v>
      </c>
      <c r="G29" s="1">
        <v>45211</v>
      </c>
      <c r="H29" t="s">
        <v>14</v>
      </c>
      <c r="I29" t="s">
        <v>2778</v>
      </c>
      <c r="J29">
        <v>264701</v>
      </c>
      <c r="K29" t="s">
        <v>30</v>
      </c>
      <c r="L29" t="str">
        <f t="shared" si="0"/>
        <v>Available</v>
      </c>
      <c r="M29">
        <f t="shared" si="1"/>
        <v>0</v>
      </c>
      <c r="N29">
        <f t="shared" si="2"/>
        <v>1</v>
      </c>
    </row>
    <row r="30" spans="1:14" x14ac:dyDescent="0.35">
      <c r="A30" t="s">
        <v>1586</v>
      </c>
      <c r="B30" t="s">
        <v>2792</v>
      </c>
      <c r="C30" t="s">
        <v>68</v>
      </c>
      <c r="D30">
        <v>24</v>
      </c>
      <c r="E30" t="s">
        <v>13</v>
      </c>
      <c r="F30" s="1">
        <v>44497</v>
      </c>
      <c r="G30" s="1">
        <v>46057</v>
      </c>
      <c r="H30" t="s">
        <v>14</v>
      </c>
      <c r="I30" s="2">
        <v>16293666</v>
      </c>
      <c r="J30">
        <v>262619</v>
      </c>
      <c r="K30" t="s">
        <v>15</v>
      </c>
      <c r="L30" t="str">
        <f t="shared" si="0"/>
        <v>Available</v>
      </c>
      <c r="M30">
        <f t="shared" si="1"/>
        <v>1</v>
      </c>
      <c r="N30">
        <f t="shared" si="2"/>
        <v>1</v>
      </c>
    </row>
    <row r="31" spans="1:14" x14ac:dyDescent="0.35">
      <c r="A31" t="s">
        <v>1587</v>
      </c>
      <c r="B31" t="s">
        <v>25</v>
      </c>
      <c r="C31" t="s">
        <v>69</v>
      </c>
      <c r="D31">
        <v>67</v>
      </c>
      <c r="E31" t="s">
        <v>13</v>
      </c>
      <c r="F31" s="1">
        <v>44497</v>
      </c>
      <c r="G31" s="1">
        <v>46060</v>
      </c>
      <c r="H31" t="s">
        <v>14</v>
      </c>
      <c r="I31" s="2">
        <v>118427</v>
      </c>
      <c r="J31">
        <v>267095</v>
      </c>
      <c r="K31" t="s">
        <v>15</v>
      </c>
      <c r="L31" t="str">
        <f t="shared" si="0"/>
        <v>Available</v>
      </c>
      <c r="M31">
        <f t="shared" si="1"/>
        <v>1</v>
      </c>
      <c r="N31">
        <f t="shared" si="2"/>
        <v>1</v>
      </c>
    </row>
    <row r="32" spans="1:14" x14ac:dyDescent="0.35">
      <c r="A32" t="s">
        <v>1588</v>
      </c>
      <c r="B32" t="s">
        <v>2797</v>
      </c>
      <c r="C32" t="s">
        <v>70</v>
      </c>
      <c r="D32">
        <v>24</v>
      </c>
      <c r="E32" t="s">
        <v>13</v>
      </c>
      <c r="F32" s="1">
        <v>44497</v>
      </c>
      <c r="G32" s="1">
        <v>46060</v>
      </c>
      <c r="H32" t="s">
        <v>14</v>
      </c>
      <c r="I32" s="2">
        <v>43575</v>
      </c>
      <c r="J32">
        <v>266418</v>
      </c>
      <c r="K32" t="s">
        <v>15</v>
      </c>
      <c r="L32" t="str">
        <f t="shared" si="0"/>
        <v>Available</v>
      </c>
      <c r="M32">
        <f t="shared" si="1"/>
        <v>1</v>
      </c>
      <c r="N32">
        <f t="shared" si="2"/>
        <v>1</v>
      </c>
    </row>
    <row r="33" spans="1:14" x14ac:dyDescent="0.35">
      <c r="A33" t="s">
        <v>1589</v>
      </c>
      <c r="B33" t="s">
        <v>73</v>
      </c>
      <c r="C33" t="s">
        <v>72</v>
      </c>
      <c r="F33" s="1">
        <v>44497</v>
      </c>
      <c r="G33" s="1">
        <v>46059</v>
      </c>
      <c r="H33" t="s">
        <v>14</v>
      </c>
      <c r="I33" t="s">
        <v>2778</v>
      </c>
      <c r="J33">
        <v>266287</v>
      </c>
      <c r="K33" t="s">
        <v>15</v>
      </c>
      <c r="L33" t="str">
        <f t="shared" si="0"/>
        <v>Available</v>
      </c>
      <c r="M33">
        <f t="shared" si="1"/>
        <v>1</v>
      </c>
      <c r="N33">
        <f t="shared" si="2"/>
        <v>1</v>
      </c>
    </row>
    <row r="34" spans="1:14" x14ac:dyDescent="0.35">
      <c r="A34" t="s">
        <v>1590</v>
      </c>
      <c r="B34" t="s">
        <v>2798</v>
      </c>
      <c r="C34" t="s">
        <v>74</v>
      </c>
      <c r="D34">
        <v>14</v>
      </c>
      <c r="E34" t="s">
        <v>13</v>
      </c>
      <c r="F34" s="1">
        <v>45347</v>
      </c>
      <c r="G34" s="1">
        <v>46055</v>
      </c>
      <c r="H34" t="s">
        <v>14</v>
      </c>
      <c r="I34" s="2">
        <v>42887397</v>
      </c>
      <c r="J34">
        <v>264310</v>
      </c>
      <c r="K34" t="s">
        <v>15</v>
      </c>
      <c r="L34" t="str">
        <f t="shared" si="0"/>
        <v>Available</v>
      </c>
      <c r="M34">
        <f t="shared" si="1"/>
        <v>1</v>
      </c>
      <c r="N34">
        <f t="shared" si="2"/>
        <v>1</v>
      </c>
    </row>
    <row r="35" spans="1:14" x14ac:dyDescent="0.35">
      <c r="A35" t="s">
        <v>1591</v>
      </c>
      <c r="B35" t="s">
        <v>25</v>
      </c>
      <c r="C35" t="s">
        <v>76</v>
      </c>
      <c r="D35">
        <v>24</v>
      </c>
      <c r="E35" t="s">
        <v>13</v>
      </c>
      <c r="F35" s="1">
        <v>44497</v>
      </c>
      <c r="G35" s="1">
        <v>46059</v>
      </c>
      <c r="H35" t="s">
        <v>14</v>
      </c>
      <c r="I35" s="2">
        <v>36102</v>
      </c>
      <c r="J35">
        <v>262546</v>
      </c>
      <c r="K35" t="s">
        <v>15</v>
      </c>
      <c r="L35" t="str">
        <f t="shared" si="0"/>
        <v>Available</v>
      </c>
      <c r="M35">
        <f t="shared" si="1"/>
        <v>1</v>
      </c>
      <c r="N35">
        <f t="shared" si="2"/>
        <v>1</v>
      </c>
    </row>
    <row r="36" spans="1:14" x14ac:dyDescent="0.35">
      <c r="A36" t="s">
        <v>1592</v>
      </c>
      <c r="B36" t="s">
        <v>58</v>
      </c>
      <c r="C36" t="s">
        <v>77</v>
      </c>
      <c r="D36">
        <v>20.288091000000001</v>
      </c>
      <c r="E36" t="s">
        <v>35</v>
      </c>
      <c r="F36" s="1">
        <v>45631</v>
      </c>
      <c r="G36" s="1">
        <v>46058</v>
      </c>
      <c r="H36" t="s">
        <v>14</v>
      </c>
      <c r="I36" t="s">
        <v>2778</v>
      </c>
      <c r="J36">
        <v>261566</v>
      </c>
      <c r="K36" t="s">
        <v>30</v>
      </c>
      <c r="L36" t="str">
        <f t="shared" si="0"/>
        <v>Available</v>
      </c>
      <c r="M36">
        <f t="shared" si="1"/>
        <v>0</v>
      </c>
      <c r="N36">
        <f t="shared" si="2"/>
        <v>1</v>
      </c>
    </row>
    <row r="37" spans="1:14" x14ac:dyDescent="0.35">
      <c r="A37" t="s">
        <v>1593</v>
      </c>
      <c r="B37" t="s">
        <v>2799</v>
      </c>
      <c r="C37" t="s">
        <v>78</v>
      </c>
      <c r="D37">
        <v>32</v>
      </c>
      <c r="E37" t="s">
        <v>13</v>
      </c>
      <c r="F37" s="1">
        <v>44497</v>
      </c>
      <c r="G37" s="1">
        <v>46059</v>
      </c>
      <c r="H37" t="s">
        <v>14</v>
      </c>
      <c r="I37" s="2">
        <v>16314077</v>
      </c>
      <c r="J37">
        <v>261787</v>
      </c>
      <c r="K37" t="s">
        <v>15</v>
      </c>
      <c r="L37" t="str">
        <f t="shared" si="0"/>
        <v>Available</v>
      </c>
      <c r="M37">
        <f t="shared" si="1"/>
        <v>1</v>
      </c>
      <c r="N37">
        <f t="shared" si="2"/>
        <v>1</v>
      </c>
    </row>
    <row r="38" spans="1:14" x14ac:dyDescent="0.35">
      <c r="A38" t="s">
        <v>1594</v>
      </c>
      <c r="B38" t="s">
        <v>27</v>
      </c>
      <c r="C38" t="s">
        <v>80</v>
      </c>
      <c r="D38">
        <v>24</v>
      </c>
      <c r="E38" t="s">
        <v>13</v>
      </c>
      <c r="F38" s="1">
        <v>45728</v>
      </c>
      <c r="G38" s="1">
        <v>46060</v>
      </c>
      <c r="H38" t="s">
        <v>14</v>
      </c>
      <c r="I38" s="2">
        <v>66908976</v>
      </c>
      <c r="J38">
        <v>261707</v>
      </c>
      <c r="K38" t="s">
        <v>30</v>
      </c>
      <c r="L38" t="str">
        <f t="shared" si="0"/>
        <v>Available</v>
      </c>
      <c r="M38">
        <f t="shared" si="1"/>
        <v>0</v>
      </c>
      <c r="N38">
        <f t="shared" si="2"/>
        <v>1</v>
      </c>
    </row>
    <row r="39" spans="1:14" x14ac:dyDescent="0.35">
      <c r="A39" t="s">
        <v>1595</v>
      </c>
      <c r="B39" t="s">
        <v>2800</v>
      </c>
      <c r="C39" t="s">
        <v>81</v>
      </c>
      <c r="D39">
        <v>32</v>
      </c>
      <c r="E39" t="s">
        <v>13</v>
      </c>
      <c r="F39" s="1">
        <v>44497</v>
      </c>
      <c r="G39" s="1">
        <v>46059</v>
      </c>
      <c r="H39" t="s">
        <v>14</v>
      </c>
      <c r="I39" s="2">
        <v>21008214</v>
      </c>
      <c r="J39">
        <v>262011</v>
      </c>
      <c r="K39" t="s">
        <v>30</v>
      </c>
      <c r="L39" t="str">
        <f t="shared" si="0"/>
        <v>Available</v>
      </c>
      <c r="M39">
        <f t="shared" si="1"/>
        <v>0</v>
      </c>
      <c r="N39">
        <f t="shared" si="2"/>
        <v>1</v>
      </c>
    </row>
    <row r="40" spans="1:14" x14ac:dyDescent="0.35">
      <c r="A40" t="s">
        <v>1596</v>
      </c>
      <c r="B40" t="s">
        <v>2801</v>
      </c>
      <c r="C40" t="s">
        <v>83</v>
      </c>
      <c r="D40">
        <v>24</v>
      </c>
      <c r="E40" t="s">
        <v>13</v>
      </c>
      <c r="F40" s="1">
        <v>44497</v>
      </c>
      <c r="G40" s="1">
        <v>46056</v>
      </c>
      <c r="H40" t="s">
        <v>14</v>
      </c>
      <c r="I40" s="2">
        <v>2812518</v>
      </c>
      <c r="J40">
        <v>266639</v>
      </c>
      <c r="K40" t="s">
        <v>15</v>
      </c>
      <c r="L40" t="str">
        <f t="shared" si="0"/>
        <v>Available</v>
      </c>
      <c r="M40">
        <f t="shared" si="1"/>
        <v>1</v>
      </c>
      <c r="N40">
        <f t="shared" si="2"/>
        <v>1</v>
      </c>
    </row>
    <row r="41" spans="1:14" x14ac:dyDescent="0.35">
      <c r="A41" t="s">
        <v>1597</v>
      </c>
      <c r="B41" t="s">
        <v>86</v>
      </c>
      <c r="C41" t="s">
        <v>85</v>
      </c>
      <c r="D41">
        <v>24</v>
      </c>
      <c r="E41" t="s">
        <v>13</v>
      </c>
      <c r="F41" s="1">
        <v>44497</v>
      </c>
      <c r="G41" s="1">
        <v>46058</v>
      </c>
      <c r="H41" t="s">
        <v>14</v>
      </c>
      <c r="I41" s="2">
        <v>2691735</v>
      </c>
      <c r="J41">
        <v>261901</v>
      </c>
      <c r="K41" t="s">
        <v>15</v>
      </c>
      <c r="L41" t="str">
        <f t="shared" si="0"/>
        <v>Available</v>
      </c>
      <c r="M41">
        <f t="shared" si="1"/>
        <v>1</v>
      </c>
      <c r="N41">
        <f t="shared" si="2"/>
        <v>1</v>
      </c>
    </row>
    <row r="42" spans="1:14" x14ac:dyDescent="0.35">
      <c r="A42" t="s">
        <v>1598</v>
      </c>
      <c r="B42" t="s">
        <v>2795</v>
      </c>
      <c r="C42" t="s">
        <v>87</v>
      </c>
      <c r="D42">
        <v>25</v>
      </c>
      <c r="E42" t="s">
        <v>13</v>
      </c>
      <c r="F42" s="1">
        <v>44497</v>
      </c>
      <c r="G42" s="1">
        <v>46059</v>
      </c>
      <c r="H42" t="s">
        <v>14</v>
      </c>
      <c r="I42" s="2">
        <v>25741398</v>
      </c>
      <c r="J42">
        <v>261540</v>
      </c>
      <c r="K42" t="s">
        <v>15</v>
      </c>
      <c r="L42" t="str">
        <f t="shared" si="0"/>
        <v>Available</v>
      </c>
      <c r="M42">
        <f t="shared" si="1"/>
        <v>1</v>
      </c>
      <c r="N42">
        <f t="shared" si="2"/>
        <v>1</v>
      </c>
    </row>
    <row r="43" spans="1:14" x14ac:dyDescent="0.35">
      <c r="A43" t="s">
        <v>1599</v>
      </c>
      <c r="B43" t="s">
        <v>2802</v>
      </c>
      <c r="C43" t="s">
        <v>88</v>
      </c>
      <c r="D43">
        <v>24</v>
      </c>
      <c r="E43" t="s">
        <v>13</v>
      </c>
      <c r="F43" s="1">
        <v>45974</v>
      </c>
      <c r="G43" s="1">
        <v>46059</v>
      </c>
      <c r="H43" t="s">
        <v>14</v>
      </c>
      <c r="I43" s="2">
        <v>74007010</v>
      </c>
      <c r="J43">
        <v>264460</v>
      </c>
      <c r="K43" t="s">
        <v>30</v>
      </c>
      <c r="L43" t="str">
        <f t="shared" si="0"/>
        <v>Available</v>
      </c>
      <c r="M43">
        <f t="shared" si="1"/>
        <v>0</v>
      </c>
      <c r="N43">
        <f t="shared" si="2"/>
        <v>1</v>
      </c>
    </row>
    <row r="44" spans="1:14" x14ac:dyDescent="0.35">
      <c r="A44" t="s">
        <v>1600</v>
      </c>
      <c r="B44" t="s">
        <v>2803</v>
      </c>
      <c r="C44" t="s">
        <v>90</v>
      </c>
      <c r="D44">
        <v>28</v>
      </c>
      <c r="E44" t="s">
        <v>13</v>
      </c>
      <c r="F44" s="1">
        <v>44497</v>
      </c>
      <c r="G44" s="1">
        <v>46059</v>
      </c>
      <c r="H44" t="s">
        <v>14</v>
      </c>
      <c r="I44" s="2">
        <v>29328271</v>
      </c>
      <c r="J44">
        <v>267064</v>
      </c>
      <c r="K44" t="s">
        <v>15</v>
      </c>
      <c r="L44" t="str">
        <f t="shared" si="0"/>
        <v>Available</v>
      </c>
      <c r="M44">
        <f t="shared" si="1"/>
        <v>1</v>
      </c>
      <c r="N44">
        <f t="shared" si="2"/>
        <v>1</v>
      </c>
    </row>
    <row r="45" spans="1:14" x14ac:dyDescent="0.35">
      <c r="A45" t="s">
        <v>1601</v>
      </c>
      <c r="B45" t="s">
        <v>2791</v>
      </c>
      <c r="C45" t="s">
        <v>92</v>
      </c>
      <c r="F45" s="1">
        <v>44500</v>
      </c>
      <c r="G45" s="1">
        <v>45133</v>
      </c>
      <c r="H45" t="s">
        <v>14</v>
      </c>
      <c r="I45" t="s">
        <v>2778</v>
      </c>
      <c r="J45">
        <v>264426</v>
      </c>
      <c r="K45" t="s">
        <v>30</v>
      </c>
      <c r="L45" t="str">
        <f t="shared" si="0"/>
        <v>Available</v>
      </c>
      <c r="M45">
        <f t="shared" si="1"/>
        <v>0</v>
      </c>
      <c r="N45">
        <f t="shared" si="2"/>
        <v>1</v>
      </c>
    </row>
    <row r="46" spans="1:14" x14ac:dyDescent="0.35">
      <c r="A46" t="s">
        <v>1602</v>
      </c>
      <c r="B46" t="s">
        <v>94</v>
      </c>
      <c r="C46" t="s">
        <v>93</v>
      </c>
      <c r="D46">
        <v>16</v>
      </c>
      <c r="E46" t="s">
        <v>13</v>
      </c>
      <c r="F46" s="1">
        <v>44497</v>
      </c>
      <c r="G46" s="1">
        <v>46059</v>
      </c>
      <c r="H46" t="s">
        <v>14</v>
      </c>
      <c r="I46" s="2">
        <v>110843</v>
      </c>
      <c r="J46">
        <v>266415</v>
      </c>
      <c r="K46" t="s">
        <v>15</v>
      </c>
      <c r="L46" t="str">
        <f t="shared" si="0"/>
        <v>Available</v>
      </c>
      <c r="M46">
        <f t="shared" si="1"/>
        <v>1</v>
      </c>
      <c r="N46">
        <f t="shared" si="2"/>
        <v>1</v>
      </c>
    </row>
    <row r="47" spans="1:14" x14ac:dyDescent="0.35">
      <c r="A47" t="s">
        <v>1603</v>
      </c>
      <c r="B47" t="s">
        <v>2804</v>
      </c>
      <c r="C47" t="s">
        <v>95</v>
      </c>
      <c r="D47">
        <v>24</v>
      </c>
      <c r="E47" t="s">
        <v>13</v>
      </c>
      <c r="F47" s="1">
        <v>44497</v>
      </c>
      <c r="G47" s="1">
        <v>46060</v>
      </c>
      <c r="H47" t="s">
        <v>14</v>
      </c>
      <c r="I47" s="2">
        <v>98540</v>
      </c>
      <c r="J47">
        <v>261871</v>
      </c>
      <c r="K47" t="s">
        <v>15</v>
      </c>
      <c r="L47" t="str">
        <f t="shared" si="0"/>
        <v>Available</v>
      </c>
      <c r="M47">
        <f t="shared" si="1"/>
        <v>1</v>
      </c>
      <c r="N47">
        <f t="shared" si="2"/>
        <v>1</v>
      </c>
    </row>
    <row r="48" spans="1:14" x14ac:dyDescent="0.35">
      <c r="A48" t="s">
        <v>1604</v>
      </c>
      <c r="B48" t="s">
        <v>58</v>
      </c>
      <c r="C48" t="s">
        <v>97</v>
      </c>
      <c r="D48">
        <v>13.863529</v>
      </c>
      <c r="E48" t="s">
        <v>35</v>
      </c>
      <c r="F48" s="1">
        <v>44497</v>
      </c>
      <c r="G48" s="1">
        <v>46058</v>
      </c>
      <c r="H48" t="s">
        <v>14</v>
      </c>
      <c r="I48" t="s">
        <v>2778</v>
      </c>
      <c r="J48">
        <v>261785</v>
      </c>
      <c r="K48" t="s">
        <v>30</v>
      </c>
      <c r="L48" t="str">
        <f t="shared" si="0"/>
        <v>Available</v>
      </c>
      <c r="M48">
        <f t="shared" si="1"/>
        <v>0</v>
      </c>
      <c r="N48">
        <f t="shared" si="2"/>
        <v>1</v>
      </c>
    </row>
    <row r="49" spans="1:14" x14ac:dyDescent="0.35">
      <c r="A49" t="s">
        <v>1605</v>
      </c>
      <c r="B49" t="s">
        <v>99</v>
      </c>
      <c r="C49" t="s">
        <v>98</v>
      </c>
      <c r="D49">
        <v>24</v>
      </c>
      <c r="E49" t="s">
        <v>13</v>
      </c>
      <c r="F49" s="1">
        <v>44500</v>
      </c>
      <c r="G49" s="1">
        <v>46059</v>
      </c>
      <c r="H49" t="s">
        <v>14</v>
      </c>
      <c r="I49" s="2">
        <v>19293749</v>
      </c>
      <c r="J49">
        <v>261782</v>
      </c>
      <c r="K49" t="s">
        <v>15</v>
      </c>
      <c r="L49" t="str">
        <f t="shared" si="0"/>
        <v>Available</v>
      </c>
      <c r="M49">
        <f t="shared" si="1"/>
        <v>1</v>
      </c>
      <c r="N49">
        <f t="shared" si="2"/>
        <v>1</v>
      </c>
    </row>
    <row r="50" spans="1:14" x14ac:dyDescent="0.35">
      <c r="A50" t="s">
        <v>1606</v>
      </c>
      <c r="B50" t="s">
        <v>25</v>
      </c>
      <c r="C50" t="s">
        <v>100</v>
      </c>
      <c r="D50">
        <v>24</v>
      </c>
      <c r="E50" t="s">
        <v>13</v>
      </c>
      <c r="F50" s="1">
        <v>44607</v>
      </c>
      <c r="G50" s="1">
        <v>46060</v>
      </c>
      <c r="H50" t="s">
        <v>14</v>
      </c>
      <c r="I50" s="2">
        <v>27126674</v>
      </c>
      <c r="J50">
        <v>266863</v>
      </c>
      <c r="K50" t="s">
        <v>15</v>
      </c>
      <c r="L50" t="str">
        <f t="shared" si="0"/>
        <v>Available</v>
      </c>
      <c r="M50">
        <f t="shared" si="1"/>
        <v>1</v>
      </c>
      <c r="N50">
        <f t="shared" si="2"/>
        <v>1</v>
      </c>
    </row>
    <row r="51" spans="1:14" x14ac:dyDescent="0.35">
      <c r="A51" t="s">
        <v>1607</v>
      </c>
      <c r="B51" t="s">
        <v>25</v>
      </c>
      <c r="C51" t="s">
        <v>101</v>
      </c>
      <c r="D51">
        <v>59.174500000000002</v>
      </c>
      <c r="E51" t="s">
        <v>35</v>
      </c>
      <c r="F51" s="1">
        <v>44497</v>
      </c>
      <c r="G51" s="1">
        <v>46058</v>
      </c>
      <c r="H51" t="s">
        <v>14</v>
      </c>
      <c r="I51" t="s">
        <v>2778</v>
      </c>
      <c r="J51">
        <v>264031</v>
      </c>
      <c r="K51" t="s">
        <v>30</v>
      </c>
      <c r="L51" t="str">
        <f t="shared" si="0"/>
        <v>Available</v>
      </c>
      <c r="M51">
        <f t="shared" si="1"/>
        <v>0</v>
      </c>
      <c r="N51">
        <f t="shared" si="2"/>
        <v>1</v>
      </c>
    </row>
    <row r="52" spans="1:14" x14ac:dyDescent="0.35">
      <c r="A52" t="s">
        <v>1608</v>
      </c>
      <c r="B52" t="s">
        <v>103</v>
      </c>
      <c r="C52" t="s">
        <v>102</v>
      </c>
      <c r="D52">
        <v>24</v>
      </c>
      <c r="E52" t="s">
        <v>13</v>
      </c>
      <c r="F52" s="1">
        <v>44500</v>
      </c>
      <c r="G52" s="1">
        <v>46059</v>
      </c>
      <c r="H52" t="s">
        <v>14</v>
      </c>
      <c r="I52" s="2">
        <v>19415306</v>
      </c>
      <c r="J52">
        <v>266361</v>
      </c>
      <c r="K52" t="s">
        <v>15</v>
      </c>
      <c r="L52" t="str">
        <f t="shared" si="0"/>
        <v>Available</v>
      </c>
      <c r="M52">
        <f t="shared" si="1"/>
        <v>1</v>
      </c>
      <c r="N52">
        <f t="shared" si="2"/>
        <v>1</v>
      </c>
    </row>
    <row r="53" spans="1:14" x14ac:dyDescent="0.35">
      <c r="A53" t="s">
        <v>1609</v>
      </c>
      <c r="B53" t="s">
        <v>105</v>
      </c>
      <c r="C53" t="s">
        <v>104</v>
      </c>
      <c r="D53">
        <v>23.5</v>
      </c>
      <c r="E53" t="s">
        <v>13</v>
      </c>
      <c r="F53" s="1">
        <v>44497</v>
      </c>
      <c r="G53" s="1">
        <v>46059</v>
      </c>
      <c r="H53" t="s">
        <v>14</v>
      </c>
      <c r="I53" s="2">
        <v>20218143</v>
      </c>
      <c r="J53">
        <v>266868</v>
      </c>
      <c r="K53" t="s">
        <v>30</v>
      </c>
      <c r="L53" t="str">
        <f t="shared" si="0"/>
        <v>Available</v>
      </c>
      <c r="M53">
        <f t="shared" si="1"/>
        <v>0</v>
      </c>
      <c r="N53">
        <f t="shared" si="2"/>
        <v>1</v>
      </c>
    </row>
    <row r="54" spans="1:14" x14ac:dyDescent="0.35">
      <c r="A54" t="s">
        <v>1610</v>
      </c>
      <c r="B54" t="s">
        <v>25</v>
      </c>
      <c r="C54" t="s">
        <v>106</v>
      </c>
      <c r="D54">
        <v>45</v>
      </c>
      <c r="E54" t="s">
        <v>13</v>
      </c>
      <c r="F54" s="1">
        <v>44497</v>
      </c>
      <c r="G54" s="1">
        <v>46060</v>
      </c>
      <c r="H54" t="s">
        <v>14</v>
      </c>
      <c r="I54" s="2">
        <v>20020258</v>
      </c>
      <c r="J54">
        <v>261884</v>
      </c>
      <c r="K54" t="s">
        <v>30</v>
      </c>
      <c r="L54" t="str">
        <f t="shared" si="0"/>
        <v>Available</v>
      </c>
      <c r="M54">
        <f t="shared" si="1"/>
        <v>0</v>
      </c>
      <c r="N54">
        <f t="shared" si="2"/>
        <v>1</v>
      </c>
    </row>
    <row r="55" spans="1:14" x14ac:dyDescent="0.35">
      <c r="A55" t="s">
        <v>1611</v>
      </c>
      <c r="B55" t="s">
        <v>103</v>
      </c>
      <c r="C55" t="s">
        <v>107</v>
      </c>
      <c r="D55">
        <v>24</v>
      </c>
      <c r="E55" t="s">
        <v>13</v>
      </c>
      <c r="F55" s="1">
        <v>44497</v>
      </c>
      <c r="G55" s="1">
        <v>46058</v>
      </c>
      <c r="H55" t="s">
        <v>14</v>
      </c>
      <c r="I55" t="s">
        <v>2778</v>
      </c>
      <c r="J55">
        <v>262068</v>
      </c>
      <c r="K55" t="s">
        <v>30</v>
      </c>
      <c r="L55" t="str">
        <f t="shared" si="0"/>
        <v>Available</v>
      </c>
      <c r="M55">
        <f t="shared" si="1"/>
        <v>0</v>
      </c>
      <c r="N55">
        <f t="shared" si="2"/>
        <v>1</v>
      </c>
    </row>
    <row r="56" spans="1:14" x14ac:dyDescent="0.35">
      <c r="A56" t="s">
        <v>1612</v>
      </c>
      <c r="B56" t="s">
        <v>2778</v>
      </c>
      <c r="C56" t="s">
        <v>108</v>
      </c>
      <c r="D56">
        <v>24</v>
      </c>
      <c r="E56" t="s">
        <v>13</v>
      </c>
      <c r="F56" s="1">
        <v>44531</v>
      </c>
      <c r="G56" s="1">
        <v>45599</v>
      </c>
      <c r="H56" t="s">
        <v>14</v>
      </c>
      <c r="I56" t="s">
        <v>2778</v>
      </c>
      <c r="J56">
        <v>264699</v>
      </c>
      <c r="K56" t="s">
        <v>15</v>
      </c>
      <c r="L56" t="str">
        <f t="shared" si="0"/>
        <v>Missing</v>
      </c>
      <c r="M56">
        <f t="shared" si="1"/>
        <v>1</v>
      </c>
      <c r="N56">
        <f t="shared" si="2"/>
        <v>0</v>
      </c>
    </row>
    <row r="57" spans="1:14" x14ac:dyDescent="0.35">
      <c r="A57" t="s">
        <v>1613</v>
      </c>
      <c r="B57" t="s">
        <v>2805</v>
      </c>
      <c r="C57" t="s">
        <v>109</v>
      </c>
      <c r="D57">
        <v>24</v>
      </c>
      <c r="E57" t="s">
        <v>13</v>
      </c>
      <c r="F57" s="1">
        <v>44497</v>
      </c>
      <c r="G57" s="1">
        <v>46058</v>
      </c>
      <c r="H57" t="s">
        <v>14</v>
      </c>
      <c r="I57" s="2">
        <v>218913</v>
      </c>
      <c r="J57">
        <v>266880</v>
      </c>
      <c r="K57" t="s">
        <v>15</v>
      </c>
      <c r="L57" t="str">
        <f t="shared" si="0"/>
        <v>Available</v>
      </c>
      <c r="M57">
        <f t="shared" si="1"/>
        <v>1</v>
      </c>
      <c r="N57">
        <f t="shared" si="2"/>
        <v>1</v>
      </c>
    </row>
    <row r="58" spans="1:14" x14ac:dyDescent="0.35">
      <c r="A58" t="s">
        <v>1614</v>
      </c>
      <c r="B58" t="s">
        <v>112</v>
      </c>
      <c r="C58" t="s">
        <v>111</v>
      </c>
      <c r="D58">
        <v>23.5</v>
      </c>
      <c r="E58" t="s">
        <v>13</v>
      </c>
      <c r="F58" s="1">
        <v>44497</v>
      </c>
      <c r="G58" s="1">
        <v>46058</v>
      </c>
      <c r="H58" t="s">
        <v>14</v>
      </c>
      <c r="I58" t="s">
        <v>2778</v>
      </c>
      <c r="J58">
        <v>261788</v>
      </c>
      <c r="K58" t="s">
        <v>30</v>
      </c>
      <c r="L58" t="str">
        <f t="shared" si="0"/>
        <v>Available</v>
      </c>
      <c r="M58">
        <f t="shared" si="1"/>
        <v>0</v>
      </c>
      <c r="N58">
        <f t="shared" si="2"/>
        <v>1</v>
      </c>
    </row>
    <row r="59" spans="1:14" x14ac:dyDescent="0.35">
      <c r="A59" t="s">
        <v>1615</v>
      </c>
      <c r="B59" t="s">
        <v>2806</v>
      </c>
      <c r="C59" t="s">
        <v>113</v>
      </c>
      <c r="D59">
        <v>22.3169</v>
      </c>
      <c r="E59" t="s">
        <v>35</v>
      </c>
      <c r="F59" s="1">
        <v>45953</v>
      </c>
      <c r="G59" s="1">
        <v>46058</v>
      </c>
      <c r="H59" t="s">
        <v>14</v>
      </c>
      <c r="I59" t="s">
        <v>2778</v>
      </c>
      <c r="J59">
        <v>261889</v>
      </c>
      <c r="K59" t="s">
        <v>15</v>
      </c>
      <c r="L59" t="str">
        <f t="shared" si="0"/>
        <v>Available</v>
      </c>
      <c r="M59">
        <f t="shared" si="1"/>
        <v>1</v>
      </c>
      <c r="N59">
        <f t="shared" si="2"/>
        <v>1</v>
      </c>
    </row>
    <row r="60" spans="1:14" x14ac:dyDescent="0.35">
      <c r="A60" t="s">
        <v>1616</v>
      </c>
      <c r="B60" t="s">
        <v>2807</v>
      </c>
      <c r="C60" t="s">
        <v>115</v>
      </c>
      <c r="D60">
        <v>24</v>
      </c>
      <c r="E60" t="s">
        <v>13</v>
      </c>
      <c r="F60" s="1">
        <v>44937</v>
      </c>
      <c r="G60" s="1">
        <v>46060</v>
      </c>
      <c r="H60" t="s">
        <v>14</v>
      </c>
      <c r="I60" s="2">
        <v>29202912</v>
      </c>
      <c r="J60">
        <v>267004</v>
      </c>
      <c r="K60" t="s">
        <v>15</v>
      </c>
      <c r="L60" t="str">
        <f t="shared" si="0"/>
        <v>Available</v>
      </c>
      <c r="M60">
        <f t="shared" si="1"/>
        <v>1</v>
      </c>
      <c r="N60">
        <f t="shared" si="2"/>
        <v>1</v>
      </c>
    </row>
    <row r="61" spans="1:14" x14ac:dyDescent="0.35">
      <c r="A61" t="s">
        <v>1617</v>
      </c>
      <c r="B61" t="s">
        <v>118</v>
      </c>
      <c r="C61" t="s">
        <v>117</v>
      </c>
      <c r="D61">
        <v>24</v>
      </c>
      <c r="E61" t="s">
        <v>13</v>
      </c>
      <c r="F61" s="1">
        <v>45459</v>
      </c>
      <c r="G61" s="1">
        <v>46059</v>
      </c>
      <c r="H61" t="s">
        <v>14</v>
      </c>
      <c r="I61" s="2">
        <v>48699362</v>
      </c>
      <c r="J61">
        <v>262287</v>
      </c>
      <c r="K61" t="s">
        <v>30</v>
      </c>
      <c r="L61" t="str">
        <f t="shared" si="0"/>
        <v>Available</v>
      </c>
      <c r="M61">
        <f t="shared" si="1"/>
        <v>0</v>
      </c>
      <c r="N61">
        <f t="shared" si="2"/>
        <v>1</v>
      </c>
    </row>
    <row r="62" spans="1:14" x14ac:dyDescent="0.35">
      <c r="A62" t="s">
        <v>1618</v>
      </c>
      <c r="B62" t="s">
        <v>25</v>
      </c>
      <c r="C62" t="s">
        <v>119</v>
      </c>
      <c r="D62">
        <v>23.5</v>
      </c>
      <c r="E62" t="s">
        <v>13</v>
      </c>
      <c r="F62" s="1">
        <v>44497</v>
      </c>
      <c r="G62" s="1">
        <v>46059</v>
      </c>
      <c r="H62" t="s">
        <v>14</v>
      </c>
      <c r="I62" s="2">
        <v>27126599</v>
      </c>
      <c r="J62">
        <v>261532</v>
      </c>
      <c r="K62" t="s">
        <v>30</v>
      </c>
      <c r="L62" t="str">
        <f t="shared" si="0"/>
        <v>Available</v>
      </c>
      <c r="M62">
        <f t="shared" si="1"/>
        <v>0</v>
      </c>
      <c r="N62">
        <f t="shared" si="2"/>
        <v>1</v>
      </c>
    </row>
    <row r="63" spans="1:14" x14ac:dyDescent="0.35">
      <c r="A63" t="s">
        <v>1619</v>
      </c>
      <c r="B63" t="s">
        <v>121</v>
      </c>
      <c r="C63" t="s">
        <v>120</v>
      </c>
      <c r="D63">
        <v>24</v>
      </c>
      <c r="E63" t="s">
        <v>13</v>
      </c>
      <c r="F63" s="1">
        <v>45686</v>
      </c>
      <c r="G63" s="1">
        <v>46059</v>
      </c>
      <c r="H63" t="s">
        <v>14</v>
      </c>
      <c r="I63" s="2">
        <v>64885851</v>
      </c>
      <c r="J63">
        <v>267038</v>
      </c>
      <c r="K63" t="s">
        <v>15</v>
      </c>
      <c r="L63" t="str">
        <f t="shared" si="0"/>
        <v>Available</v>
      </c>
      <c r="M63">
        <f t="shared" si="1"/>
        <v>1</v>
      </c>
      <c r="N63">
        <f t="shared" si="2"/>
        <v>1</v>
      </c>
    </row>
    <row r="64" spans="1:14" x14ac:dyDescent="0.35">
      <c r="A64" t="s">
        <v>1620</v>
      </c>
      <c r="B64" t="s">
        <v>2808</v>
      </c>
      <c r="C64" t="s">
        <v>122</v>
      </c>
      <c r="D64">
        <v>45</v>
      </c>
      <c r="E64" t="s">
        <v>13</v>
      </c>
      <c r="F64" s="1">
        <v>44497</v>
      </c>
      <c r="G64" s="1">
        <v>46060</v>
      </c>
      <c r="H64" t="s">
        <v>14</v>
      </c>
      <c r="I64" s="2">
        <v>19950603</v>
      </c>
      <c r="J64">
        <v>267072</v>
      </c>
      <c r="K64" t="s">
        <v>15</v>
      </c>
      <c r="L64" t="str">
        <f t="shared" si="0"/>
        <v>Available</v>
      </c>
      <c r="M64">
        <f t="shared" si="1"/>
        <v>1</v>
      </c>
      <c r="N64">
        <f t="shared" si="2"/>
        <v>1</v>
      </c>
    </row>
    <row r="65" spans="1:14" x14ac:dyDescent="0.35">
      <c r="A65" t="s">
        <v>1621</v>
      </c>
      <c r="B65" t="s">
        <v>125</v>
      </c>
      <c r="C65" t="s">
        <v>124</v>
      </c>
      <c r="D65">
        <v>25</v>
      </c>
      <c r="E65" t="s">
        <v>13</v>
      </c>
      <c r="F65" s="1">
        <v>44607</v>
      </c>
      <c r="G65" s="1">
        <v>46059</v>
      </c>
      <c r="H65" t="s">
        <v>14</v>
      </c>
      <c r="I65" s="2">
        <v>27582936</v>
      </c>
      <c r="J65">
        <v>267036</v>
      </c>
      <c r="K65" t="s">
        <v>30</v>
      </c>
      <c r="L65" t="str">
        <f t="shared" si="0"/>
        <v>Available</v>
      </c>
      <c r="M65">
        <f t="shared" si="1"/>
        <v>0</v>
      </c>
      <c r="N65">
        <f t="shared" si="2"/>
        <v>1</v>
      </c>
    </row>
    <row r="66" spans="1:14" x14ac:dyDescent="0.35">
      <c r="A66" t="s">
        <v>1622</v>
      </c>
      <c r="B66" t="s">
        <v>32</v>
      </c>
      <c r="C66" t="s">
        <v>126</v>
      </c>
      <c r="D66">
        <v>25</v>
      </c>
      <c r="E66" t="s">
        <v>13</v>
      </c>
      <c r="F66" s="1">
        <v>44498</v>
      </c>
      <c r="G66" s="1">
        <v>46058</v>
      </c>
      <c r="H66" t="s">
        <v>14</v>
      </c>
      <c r="I66" s="2">
        <v>16511765</v>
      </c>
      <c r="J66">
        <v>266462</v>
      </c>
      <c r="K66" t="s">
        <v>15</v>
      </c>
      <c r="L66" t="str">
        <f t="shared" si="0"/>
        <v>Available</v>
      </c>
      <c r="M66">
        <f t="shared" si="1"/>
        <v>1</v>
      </c>
      <c r="N66">
        <f t="shared" si="2"/>
        <v>1</v>
      </c>
    </row>
    <row r="67" spans="1:14" x14ac:dyDescent="0.35">
      <c r="A67" t="s">
        <v>1623</v>
      </c>
      <c r="B67" t="s">
        <v>58</v>
      </c>
      <c r="C67" t="s">
        <v>127</v>
      </c>
      <c r="D67">
        <v>21.978764999999999</v>
      </c>
      <c r="E67" t="s">
        <v>35</v>
      </c>
      <c r="F67" s="1">
        <v>44497</v>
      </c>
      <c r="G67" s="1">
        <v>45820</v>
      </c>
      <c r="H67" t="s">
        <v>14</v>
      </c>
      <c r="I67" t="s">
        <v>2778</v>
      </c>
      <c r="J67">
        <v>262043</v>
      </c>
      <c r="K67" t="s">
        <v>30</v>
      </c>
      <c r="L67" t="str">
        <f t="shared" ref="L67:L130" si="3">IF(OR(B67="",ISBLANK(B67)),"Missing","Available")</f>
        <v>Available</v>
      </c>
      <c r="M67">
        <f t="shared" ref="M67:M130" si="4">IF(K67="Mapped",1,0)</f>
        <v>0</v>
      </c>
      <c r="N67">
        <f t="shared" ref="N67:N130" si="5">IF(AND(B67&lt;&gt;"",A67&lt;&gt;""),1,0)</f>
        <v>1</v>
      </c>
    </row>
    <row r="68" spans="1:14" x14ac:dyDescent="0.35">
      <c r="A68" t="s">
        <v>1624</v>
      </c>
      <c r="B68" t="s">
        <v>130</v>
      </c>
      <c r="C68" t="s">
        <v>128</v>
      </c>
      <c r="D68">
        <v>25</v>
      </c>
      <c r="E68" t="s">
        <v>13</v>
      </c>
      <c r="F68" s="1">
        <v>44497</v>
      </c>
      <c r="G68" s="1">
        <v>46059</v>
      </c>
      <c r="H68" t="s">
        <v>14</v>
      </c>
      <c r="I68" s="2">
        <v>2219447</v>
      </c>
      <c r="J68">
        <v>266548</v>
      </c>
      <c r="K68" t="s">
        <v>30</v>
      </c>
      <c r="L68" t="str">
        <f t="shared" si="3"/>
        <v>Available</v>
      </c>
      <c r="M68">
        <f t="shared" si="4"/>
        <v>0</v>
      </c>
      <c r="N68">
        <f t="shared" si="5"/>
        <v>1</v>
      </c>
    </row>
    <row r="69" spans="1:14" x14ac:dyDescent="0.35">
      <c r="A69" t="s">
        <v>1625</v>
      </c>
      <c r="B69" t="s">
        <v>132</v>
      </c>
      <c r="C69" t="s">
        <v>131</v>
      </c>
      <c r="D69">
        <v>24</v>
      </c>
      <c r="E69" t="s">
        <v>13</v>
      </c>
      <c r="F69" s="1">
        <v>45189</v>
      </c>
      <c r="G69" s="1">
        <v>46059</v>
      </c>
      <c r="H69" t="s">
        <v>14</v>
      </c>
      <c r="I69" s="2">
        <v>30769766</v>
      </c>
      <c r="J69">
        <v>264179</v>
      </c>
      <c r="K69" t="s">
        <v>30</v>
      </c>
      <c r="L69" t="str">
        <f t="shared" si="3"/>
        <v>Available</v>
      </c>
      <c r="M69">
        <f t="shared" si="4"/>
        <v>0</v>
      </c>
      <c r="N69">
        <f t="shared" si="5"/>
        <v>1</v>
      </c>
    </row>
    <row r="70" spans="1:14" x14ac:dyDescent="0.35">
      <c r="A70" t="s">
        <v>1626</v>
      </c>
      <c r="B70" t="s">
        <v>121</v>
      </c>
      <c r="C70" t="s">
        <v>133</v>
      </c>
      <c r="D70">
        <v>14.5</v>
      </c>
      <c r="E70" t="s">
        <v>13</v>
      </c>
      <c r="F70" s="1">
        <v>44501</v>
      </c>
      <c r="G70" s="1">
        <v>46059</v>
      </c>
      <c r="H70" t="s">
        <v>14</v>
      </c>
      <c r="I70" s="2">
        <v>25392842</v>
      </c>
      <c r="J70">
        <v>261770</v>
      </c>
      <c r="K70" t="s">
        <v>15</v>
      </c>
      <c r="L70" t="str">
        <f t="shared" si="3"/>
        <v>Available</v>
      </c>
      <c r="M70">
        <f t="shared" si="4"/>
        <v>1</v>
      </c>
      <c r="N70">
        <f t="shared" si="5"/>
        <v>1</v>
      </c>
    </row>
    <row r="71" spans="1:14" x14ac:dyDescent="0.35">
      <c r="A71" t="s">
        <v>1627</v>
      </c>
      <c r="B71" t="s">
        <v>2809</v>
      </c>
      <c r="C71" t="s">
        <v>134</v>
      </c>
      <c r="D71">
        <v>24</v>
      </c>
      <c r="E71" t="s">
        <v>13</v>
      </c>
      <c r="F71" s="1">
        <v>44497</v>
      </c>
      <c r="G71" s="1">
        <v>46060</v>
      </c>
      <c r="H71" t="s">
        <v>14</v>
      </c>
      <c r="I71" s="2">
        <v>16293666</v>
      </c>
      <c r="J71">
        <v>267044</v>
      </c>
      <c r="K71" t="s">
        <v>15</v>
      </c>
      <c r="L71" t="str">
        <f t="shared" si="3"/>
        <v>Available</v>
      </c>
      <c r="M71">
        <f t="shared" si="4"/>
        <v>1</v>
      </c>
      <c r="N71">
        <f t="shared" si="5"/>
        <v>1</v>
      </c>
    </row>
    <row r="72" spans="1:14" x14ac:dyDescent="0.35">
      <c r="A72" t="s">
        <v>1628</v>
      </c>
      <c r="B72" t="s">
        <v>137</v>
      </c>
      <c r="C72" t="s">
        <v>136</v>
      </c>
      <c r="D72">
        <v>24</v>
      </c>
      <c r="E72" t="s">
        <v>13</v>
      </c>
      <c r="F72" s="1">
        <v>44501</v>
      </c>
      <c r="G72" s="1">
        <v>45331</v>
      </c>
      <c r="H72" t="s">
        <v>14</v>
      </c>
      <c r="I72" t="s">
        <v>2778</v>
      </c>
      <c r="J72">
        <v>262045</v>
      </c>
      <c r="K72" t="s">
        <v>30</v>
      </c>
      <c r="L72" t="str">
        <f t="shared" si="3"/>
        <v>Available</v>
      </c>
      <c r="M72">
        <f t="shared" si="4"/>
        <v>0</v>
      </c>
      <c r="N72">
        <f t="shared" si="5"/>
        <v>1</v>
      </c>
    </row>
    <row r="73" spans="1:14" x14ac:dyDescent="0.35">
      <c r="A73" t="s">
        <v>1629</v>
      </c>
      <c r="B73" t="s">
        <v>139</v>
      </c>
      <c r="C73" t="s">
        <v>138</v>
      </c>
      <c r="D73">
        <v>24</v>
      </c>
      <c r="E73" t="s">
        <v>13</v>
      </c>
      <c r="F73" s="1">
        <v>44497</v>
      </c>
      <c r="G73" s="1">
        <v>45317</v>
      </c>
      <c r="H73" t="s">
        <v>14</v>
      </c>
      <c r="I73" t="s">
        <v>2778</v>
      </c>
      <c r="J73">
        <v>261487</v>
      </c>
      <c r="K73" t="s">
        <v>30</v>
      </c>
      <c r="L73" t="str">
        <f t="shared" si="3"/>
        <v>Available</v>
      </c>
      <c r="M73">
        <f t="shared" si="4"/>
        <v>0</v>
      </c>
      <c r="N73">
        <f t="shared" si="5"/>
        <v>1</v>
      </c>
    </row>
    <row r="74" spans="1:14" x14ac:dyDescent="0.35">
      <c r="A74" t="s">
        <v>1630</v>
      </c>
      <c r="B74" t="s">
        <v>12</v>
      </c>
      <c r="C74" t="s">
        <v>140</v>
      </c>
      <c r="D74">
        <v>23.5</v>
      </c>
      <c r="E74" t="s">
        <v>13</v>
      </c>
      <c r="F74" s="1">
        <v>44497</v>
      </c>
      <c r="G74" s="1">
        <v>46059</v>
      </c>
      <c r="H74" t="s">
        <v>14</v>
      </c>
      <c r="I74" s="2">
        <v>36160</v>
      </c>
      <c r="J74">
        <v>262522</v>
      </c>
      <c r="K74" t="s">
        <v>30</v>
      </c>
      <c r="L74" t="str">
        <f t="shared" si="3"/>
        <v>Available</v>
      </c>
      <c r="M74">
        <f t="shared" si="4"/>
        <v>0</v>
      </c>
      <c r="N74">
        <f t="shared" si="5"/>
        <v>1</v>
      </c>
    </row>
    <row r="75" spans="1:14" x14ac:dyDescent="0.35">
      <c r="A75" t="s">
        <v>1631</v>
      </c>
      <c r="B75" t="s">
        <v>142</v>
      </c>
      <c r="C75" t="s">
        <v>141</v>
      </c>
      <c r="D75">
        <v>32</v>
      </c>
      <c r="E75" t="s">
        <v>13</v>
      </c>
      <c r="F75" s="1">
        <v>44497</v>
      </c>
      <c r="G75" s="1">
        <v>46057</v>
      </c>
      <c r="H75" t="s">
        <v>14</v>
      </c>
      <c r="I75" t="s">
        <v>2778</v>
      </c>
      <c r="J75">
        <v>266872</v>
      </c>
      <c r="K75" t="s">
        <v>15</v>
      </c>
      <c r="L75" t="str">
        <f t="shared" si="3"/>
        <v>Available</v>
      </c>
      <c r="M75">
        <f t="shared" si="4"/>
        <v>1</v>
      </c>
      <c r="N75">
        <f t="shared" si="5"/>
        <v>1</v>
      </c>
    </row>
    <row r="76" spans="1:14" x14ac:dyDescent="0.35">
      <c r="A76" t="s">
        <v>1632</v>
      </c>
      <c r="B76" t="s">
        <v>58</v>
      </c>
      <c r="C76" t="s">
        <v>143</v>
      </c>
      <c r="D76">
        <v>20.288091000000001</v>
      </c>
      <c r="E76" t="s">
        <v>35</v>
      </c>
      <c r="F76" s="1">
        <v>45631</v>
      </c>
      <c r="G76" s="1">
        <v>46058</v>
      </c>
      <c r="H76" t="s">
        <v>14</v>
      </c>
      <c r="I76" t="s">
        <v>2778</v>
      </c>
      <c r="J76">
        <v>261784</v>
      </c>
      <c r="K76" t="s">
        <v>30</v>
      </c>
      <c r="L76" t="str">
        <f t="shared" si="3"/>
        <v>Available</v>
      </c>
      <c r="M76">
        <f t="shared" si="4"/>
        <v>0</v>
      </c>
      <c r="N76">
        <f t="shared" si="5"/>
        <v>1</v>
      </c>
    </row>
    <row r="77" spans="1:14" x14ac:dyDescent="0.35">
      <c r="A77" t="s">
        <v>1633</v>
      </c>
      <c r="B77" t="s">
        <v>2778</v>
      </c>
      <c r="C77" t="s">
        <v>144</v>
      </c>
      <c r="D77">
        <v>24</v>
      </c>
      <c r="E77" t="s">
        <v>13</v>
      </c>
      <c r="F77" s="1">
        <v>44539</v>
      </c>
      <c r="G77" s="1">
        <v>46059</v>
      </c>
      <c r="H77" t="s">
        <v>14</v>
      </c>
      <c r="I77" s="2">
        <v>23820092</v>
      </c>
      <c r="J77">
        <v>263993</v>
      </c>
      <c r="K77" t="s">
        <v>30</v>
      </c>
      <c r="L77" t="str">
        <f t="shared" si="3"/>
        <v>Missing</v>
      </c>
      <c r="M77">
        <f t="shared" si="4"/>
        <v>0</v>
      </c>
      <c r="N77">
        <f t="shared" si="5"/>
        <v>0</v>
      </c>
    </row>
    <row r="78" spans="1:14" x14ac:dyDescent="0.35">
      <c r="A78" t="s">
        <v>1634</v>
      </c>
      <c r="B78" t="s">
        <v>2778</v>
      </c>
      <c r="C78" t="s">
        <v>145</v>
      </c>
      <c r="D78">
        <v>16</v>
      </c>
      <c r="E78" t="s">
        <v>13</v>
      </c>
      <c r="F78" s="1">
        <v>44500</v>
      </c>
      <c r="G78" s="1">
        <v>45736</v>
      </c>
      <c r="H78" t="s">
        <v>14</v>
      </c>
      <c r="I78" t="s">
        <v>2778</v>
      </c>
      <c r="J78">
        <v>266445</v>
      </c>
      <c r="K78" t="s">
        <v>15</v>
      </c>
      <c r="L78" t="str">
        <f t="shared" si="3"/>
        <v>Missing</v>
      </c>
      <c r="M78">
        <f t="shared" si="4"/>
        <v>1</v>
      </c>
      <c r="N78">
        <f t="shared" si="5"/>
        <v>0</v>
      </c>
    </row>
    <row r="79" spans="1:14" x14ac:dyDescent="0.35">
      <c r="A79" t="s">
        <v>1635</v>
      </c>
      <c r="B79" t="s">
        <v>147</v>
      </c>
      <c r="C79" t="s">
        <v>146</v>
      </c>
      <c r="D79">
        <v>24</v>
      </c>
      <c r="E79" t="s">
        <v>13</v>
      </c>
      <c r="F79" s="1">
        <v>44497</v>
      </c>
      <c r="G79" s="1">
        <v>46059</v>
      </c>
      <c r="H79" t="s">
        <v>14</v>
      </c>
      <c r="I79" t="s">
        <v>2779</v>
      </c>
      <c r="J79" t="s">
        <v>148</v>
      </c>
      <c r="K79" t="s">
        <v>30</v>
      </c>
      <c r="L79" t="str">
        <f t="shared" si="3"/>
        <v>Available</v>
      </c>
      <c r="M79">
        <f t="shared" si="4"/>
        <v>0</v>
      </c>
      <c r="N79">
        <f t="shared" si="5"/>
        <v>1</v>
      </c>
    </row>
    <row r="80" spans="1:14" x14ac:dyDescent="0.35">
      <c r="A80" t="s">
        <v>1636</v>
      </c>
      <c r="B80" t="s">
        <v>27</v>
      </c>
      <c r="C80" t="s">
        <v>149</v>
      </c>
      <c r="D80">
        <v>23</v>
      </c>
      <c r="E80" t="s">
        <v>13</v>
      </c>
      <c r="F80" s="1">
        <v>44497</v>
      </c>
      <c r="G80" s="1">
        <v>46059</v>
      </c>
      <c r="H80" t="s">
        <v>14</v>
      </c>
      <c r="I80" s="2">
        <v>17066490</v>
      </c>
      <c r="J80">
        <v>261855</v>
      </c>
      <c r="K80" t="s">
        <v>15</v>
      </c>
      <c r="L80" t="str">
        <f t="shared" si="3"/>
        <v>Available</v>
      </c>
      <c r="M80">
        <f t="shared" si="4"/>
        <v>1</v>
      </c>
      <c r="N80">
        <f t="shared" si="5"/>
        <v>1</v>
      </c>
    </row>
    <row r="81" spans="1:14" x14ac:dyDescent="0.35">
      <c r="A81" t="s">
        <v>1637</v>
      </c>
      <c r="B81" t="s">
        <v>2778</v>
      </c>
      <c r="C81" t="s">
        <v>150</v>
      </c>
      <c r="D81">
        <v>24</v>
      </c>
      <c r="E81" t="s">
        <v>13</v>
      </c>
      <c r="F81" s="1">
        <v>44502</v>
      </c>
      <c r="G81" s="1">
        <v>45833</v>
      </c>
      <c r="H81" t="s">
        <v>14</v>
      </c>
      <c r="I81" t="s">
        <v>2778</v>
      </c>
      <c r="J81">
        <v>264245</v>
      </c>
      <c r="K81" t="s">
        <v>30</v>
      </c>
      <c r="L81" t="str">
        <f t="shared" si="3"/>
        <v>Missing</v>
      </c>
      <c r="M81">
        <f t="shared" si="4"/>
        <v>0</v>
      </c>
      <c r="N81">
        <f t="shared" si="5"/>
        <v>0</v>
      </c>
    </row>
    <row r="82" spans="1:14" x14ac:dyDescent="0.35">
      <c r="A82" t="s">
        <v>1638</v>
      </c>
      <c r="B82" t="s">
        <v>152</v>
      </c>
      <c r="C82" t="s">
        <v>151</v>
      </c>
      <c r="D82">
        <v>32</v>
      </c>
      <c r="E82" t="s">
        <v>13</v>
      </c>
      <c r="F82" s="1">
        <v>44497</v>
      </c>
      <c r="G82" s="1">
        <v>46059</v>
      </c>
      <c r="H82" t="s">
        <v>14</v>
      </c>
      <c r="I82" s="2">
        <v>16948683</v>
      </c>
      <c r="J82">
        <v>266372</v>
      </c>
      <c r="K82" t="s">
        <v>30</v>
      </c>
      <c r="L82" t="str">
        <f t="shared" si="3"/>
        <v>Available</v>
      </c>
      <c r="M82">
        <f t="shared" si="4"/>
        <v>0</v>
      </c>
      <c r="N82">
        <f t="shared" si="5"/>
        <v>1</v>
      </c>
    </row>
    <row r="83" spans="1:14" x14ac:dyDescent="0.35">
      <c r="A83" t="s">
        <v>1639</v>
      </c>
      <c r="B83" t="s">
        <v>2778</v>
      </c>
      <c r="C83" t="s">
        <v>153</v>
      </c>
      <c r="D83">
        <v>25</v>
      </c>
      <c r="E83" t="s">
        <v>13</v>
      </c>
      <c r="F83" s="1">
        <v>44500</v>
      </c>
      <c r="G83" s="1">
        <v>46059</v>
      </c>
      <c r="H83" t="s">
        <v>14</v>
      </c>
      <c r="I83" s="2">
        <v>22221627</v>
      </c>
      <c r="J83">
        <v>264254</v>
      </c>
      <c r="K83" t="s">
        <v>30</v>
      </c>
      <c r="L83" t="str">
        <f t="shared" si="3"/>
        <v>Missing</v>
      </c>
      <c r="M83">
        <f t="shared" si="4"/>
        <v>0</v>
      </c>
      <c r="N83">
        <f t="shared" si="5"/>
        <v>0</v>
      </c>
    </row>
    <row r="84" spans="1:14" x14ac:dyDescent="0.35">
      <c r="A84" t="s">
        <v>1640</v>
      </c>
      <c r="B84" t="s">
        <v>2778</v>
      </c>
      <c r="C84" t="s">
        <v>154</v>
      </c>
      <c r="D84">
        <v>24</v>
      </c>
      <c r="E84" t="s">
        <v>13</v>
      </c>
      <c r="F84" s="1">
        <v>44497</v>
      </c>
      <c r="G84" s="1">
        <v>46059</v>
      </c>
      <c r="H84" t="s">
        <v>14</v>
      </c>
      <c r="I84" s="2">
        <v>19630001</v>
      </c>
      <c r="J84">
        <v>266332</v>
      </c>
      <c r="K84" t="s">
        <v>15</v>
      </c>
      <c r="L84" t="str">
        <f t="shared" si="3"/>
        <v>Missing</v>
      </c>
      <c r="M84">
        <f t="shared" si="4"/>
        <v>1</v>
      </c>
      <c r="N84">
        <f t="shared" si="5"/>
        <v>0</v>
      </c>
    </row>
    <row r="85" spans="1:14" x14ac:dyDescent="0.35">
      <c r="A85" t="s">
        <v>1641</v>
      </c>
      <c r="B85" t="s">
        <v>156</v>
      </c>
      <c r="C85" t="s">
        <v>155</v>
      </c>
      <c r="D85">
        <v>24</v>
      </c>
      <c r="E85" t="s">
        <v>13</v>
      </c>
      <c r="F85" s="1">
        <v>45939</v>
      </c>
      <c r="G85" s="1">
        <v>46059</v>
      </c>
      <c r="H85" t="s">
        <v>14</v>
      </c>
      <c r="I85" s="2">
        <v>89942536</v>
      </c>
      <c r="J85">
        <v>267003</v>
      </c>
      <c r="K85" t="s">
        <v>30</v>
      </c>
      <c r="L85" t="str">
        <f t="shared" si="3"/>
        <v>Available</v>
      </c>
      <c r="M85">
        <f t="shared" si="4"/>
        <v>0</v>
      </c>
      <c r="N85">
        <f t="shared" si="5"/>
        <v>1</v>
      </c>
    </row>
    <row r="86" spans="1:14" x14ac:dyDescent="0.35">
      <c r="A86" t="s">
        <v>1642</v>
      </c>
      <c r="B86" t="s">
        <v>2810</v>
      </c>
      <c r="C86" t="s">
        <v>157</v>
      </c>
      <c r="D86">
        <v>25</v>
      </c>
      <c r="E86" t="s">
        <v>13</v>
      </c>
      <c r="F86" s="1">
        <v>44497</v>
      </c>
      <c r="G86" s="1">
        <v>46059</v>
      </c>
      <c r="H86" t="s">
        <v>14</v>
      </c>
      <c r="I86" s="2">
        <v>53393</v>
      </c>
      <c r="J86">
        <v>264743</v>
      </c>
      <c r="K86" t="s">
        <v>15</v>
      </c>
      <c r="L86" t="str">
        <f t="shared" si="3"/>
        <v>Available</v>
      </c>
      <c r="M86">
        <f t="shared" si="4"/>
        <v>1</v>
      </c>
      <c r="N86">
        <f t="shared" si="5"/>
        <v>1</v>
      </c>
    </row>
    <row r="87" spans="1:14" x14ac:dyDescent="0.35">
      <c r="A87" t="s">
        <v>1643</v>
      </c>
      <c r="B87" t="s">
        <v>2778</v>
      </c>
      <c r="C87" t="s">
        <v>159</v>
      </c>
      <c r="F87" s="1">
        <v>45765</v>
      </c>
      <c r="G87" s="1">
        <v>46059</v>
      </c>
      <c r="H87" t="s">
        <v>14</v>
      </c>
      <c r="I87" t="s">
        <v>2778</v>
      </c>
      <c r="J87">
        <v>262136</v>
      </c>
      <c r="K87" t="s">
        <v>15</v>
      </c>
      <c r="L87" t="str">
        <f t="shared" si="3"/>
        <v>Missing</v>
      </c>
      <c r="M87">
        <f t="shared" si="4"/>
        <v>1</v>
      </c>
      <c r="N87">
        <f t="shared" si="5"/>
        <v>0</v>
      </c>
    </row>
    <row r="88" spans="1:14" x14ac:dyDescent="0.35">
      <c r="A88" t="s">
        <v>1644</v>
      </c>
      <c r="B88" t="s">
        <v>2778</v>
      </c>
      <c r="C88" t="s">
        <v>160</v>
      </c>
      <c r="D88">
        <v>17.600000000000001</v>
      </c>
      <c r="E88" t="s">
        <v>13</v>
      </c>
      <c r="F88" s="1">
        <v>44500</v>
      </c>
      <c r="G88" s="1">
        <v>46059</v>
      </c>
      <c r="H88" t="s">
        <v>14</v>
      </c>
      <c r="I88" t="s">
        <v>2778</v>
      </c>
      <c r="J88">
        <v>264641</v>
      </c>
      <c r="K88" t="s">
        <v>30</v>
      </c>
      <c r="L88" t="str">
        <f t="shared" si="3"/>
        <v>Missing</v>
      </c>
      <c r="M88">
        <f t="shared" si="4"/>
        <v>0</v>
      </c>
      <c r="N88">
        <f t="shared" si="5"/>
        <v>0</v>
      </c>
    </row>
    <row r="89" spans="1:14" x14ac:dyDescent="0.35">
      <c r="A89" t="s">
        <v>1645</v>
      </c>
      <c r="B89" t="s">
        <v>27</v>
      </c>
      <c r="C89" t="s">
        <v>161</v>
      </c>
      <c r="D89">
        <v>23</v>
      </c>
      <c r="E89" t="s">
        <v>13</v>
      </c>
      <c r="F89" s="1">
        <v>44497</v>
      </c>
      <c r="G89" s="1">
        <v>46058</v>
      </c>
      <c r="H89" t="s">
        <v>14</v>
      </c>
      <c r="I89" s="2">
        <v>17066489</v>
      </c>
      <c r="J89">
        <v>267111</v>
      </c>
      <c r="K89" t="s">
        <v>15</v>
      </c>
      <c r="L89" t="str">
        <f t="shared" si="3"/>
        <v>Available</v>
      </c>
      <c r="M89">
        <f t="shared" si="4"/>
        <v>1</v>
      </c>
      <c r="N89">
        <f t="shared" si="5"/>
        <v>1</v>
      </c>
    </row>
    <row r="90" spans="1:14" x14ac:dyDescent="0.35">
      <c r="A90" t="s">
        <v>1646</v>
      </c>
      <c r="B90" t="s">
        <v>163</v>
      </c>
      <c r="C90" t="s">
        <v>162</v>
      </c>
      <c r="D90">
        <v>46</v>
      </c>
      <c r="E90" t="s">
        <v>13</v>
      </c>
      <c r="F90" s="1">
        <v>44498</v>
      </c>
      <c r="G90" s="1">
        <v>46058</v>
      </c>
      <c r="H90" t="s">
        <v>14</v>
      </c>
      <c r="I90" s="2">
        <v>17680729</v>
      </c>
      <c r="J90">
        <v>262375</v>
      </c>
      <c r="K90" t="s">
        <v>15</v>
      </c>
      <c r="L90" t="str">
        <f t="shared" si="3"/>
        <v>Available</v>
      </c>
      <c r="M90">
        <f t="shared" si="4"/>
        <v>1</v>
      </c>
      <c r="N90">
        <f t="shared" si="5"/>
        <v>1</v>
      </c>
    </row>
    <row r="91" spans="1:14" x14ac:dyDescent="0.35">
      <c r="A91" t="s">
        <v>1647</v>
      </c>
      <c r="B91" t="s">
        <v>2811</v>
      </c>
      <c r="C91" t="s">
        <v>164</v>
      </c>
      <c r="D91">
        <v>25</v>
      </c>
      <c r="E91" t="s">
        <v>13</v>
      </c>
      <c r="F91" s="1">
        <v>44498</v>
      </c>
      <c r="G91" s="1">
        <v>46059</v>
      </c>
      <c r="H91" t="s">
        <v>14</v>
      </c>
      <c r="I91" t="s">
        <v>2778</v>
      </c>
      <c r="J91">
        <v>264030</v>
      </c>
      <c r="K91" t="s">
        <v>30</v>
      </c>
      <c r="L91" t="str">
        <f t="shared" si="3"/>
        <v>Available</v>
      </c>
      <c r="M91">
        <f t="shared" si="4"/>
        <v>0</v>
      </c>
      <c r="N91">
        <f t="shared" si="5"/>
        <v>1</v>
      </c>
    </row>
    <row r="92" spans="1:14" x14ac:dyDescent="0.35">
      <c r="A92" t="s">
        <v>1648</v>
      </c>
      <c r="B92" t="s">
        <v>152</v>
      </c>
      <c r="C92" t="s">
        <v>166</v>
      </c>
      <c r="D92">
        <v>24</v>
      </c>
      <c r="E92" t="s">
        <v>13</v>
      </c>
      <c r="F92" s="1">
        <v>45358</v>
      </c>
      <c r="G92" s="1">
        <v>46057</v>
      </c>
      <c r="H92" t="s">
        <v>14</v>
      </c>
      <c r="I92" t="s">
        <v>2778</v>
      </c>
      <c r="J92">
        <v>264582</v>
      </c>
      <c r="K92" t="s">
        <v>30</v>
      </c>
      <c r="L92" t="str">
        <f t="shared" si="3"/>
        <v>Available</v>
      </c>
      <c r="M92">
        <f t="shared" si="4"/>
        <v>0</v>
      </c>
      <c r="N92">
        <f t="shared" si="5"/>
        <v>1</v>
      </c>
    </row>
    <row r="93" spans="1:14" x14ac:dyDescent="0.35">
      <c r="A93" t="s">
        <v>1649</v>
      </c>
      <c r="B93" t="s">
        <v>168</v>
      </c>
      <c r="C93" t="s">
        <v>167</v>
      </c>
      <c r="D93">
        <v>19.399999999999999</v>
      </c>
      <c r="E93" t="s">
        <v>13</v>
      </c>
      <c r="F93" s="1">
        <v>44497</v>
      </c>
      <c r="G93" s="1">
        <v>46059</v>
      </c>
      <c r="H93" t="s">
        <v>14</v>
      </c>
      <c r="I93" s="2">
        <v>20111494</v>
      </c>
      <c r="J93">
        <v>264139</v>
      </c>
      <c r="K93" t="s">
        <v>30</v>
      </c>
      <c r="L93" t="str">
        <f t="shared" si="3"/>
        <v>Available</v>
      </c>
      <c r="M93">
        <f t="shared" si="4"/>
        <v>0</v>
      </c>
      <c r="N93">
        <f t="shared" si="5"/>
        <v>1</v>
      </c>
    </row>
    <row r="94" spans="1:14" x14ac:dyDescent="0.35">
      <c r="A94" t="s">
        <v>1650</v>
      </c>
      <c r="B94" t="s">
        <v>12</v>
      </c>
      <c r="C94" t="s">
        <v>169</v>
      </c>
      <c r="D94">
        <v>24</v>
      </c>
      <c r="E94" t="s">
        <v>13</v>
      </c>
      <c r="F94" s="1">
        <v>44497</v>
      </c>
      <c r="G94" s="1">
        <v>46059</v>
      </c>
      <c r="H94" t="s">
        <v>14</v>
      </c>
      <c r="I94" s="2">
        <v>39371</v>
      </c>
      <c r="J94">
        <v>266385</v>
      </c>
      <c r="K94" t="s">
        <v>30</v>
      </c>
      <c r="L94" t="str">
        <f t="shared" si="3"/>
        <v>Available</v>
      </c>
      <c r="M94">
        <f t="shared" si="4"/>
        <v>0</v>
      </c>
      <c r="N94">
        <f t="shared" si="5"/>
        <v>1</v>
      </c>
    </row>
    <row r="95" spans="1:14" x14ac:dyDescent="0.35">
      <c r="A95" t="s">
        <v>1651</v>
      </c>
      <c r="B95" t="s">
        <v>2812</v>
      </c>
      <c r="C95" t="s">
        <v>170</v>
      </c>
      <c r="D95">
        <v>26</v>
      </c>
      <c r="E95" t="s">
        <v>13</v>
      </c>
      <c r="F95" s="1">
        <v>44497</v>
      </c>
      <c r="G95" s="1">
        <v>46056</v>
      </c>
      <c r="H95" t="s">
        <v>14</v>
      </c>
      <c r="I95" s="2">
        <v>17616707</v>
      </c>
      <c r="J95">
        <v>261824</v>
      </c>
      <c r="K95" t="s">
        <v>15</v>
      </c>
      <c r="L95" t="str">
        <f t="shared" si="3"/>
        <v>Available</v>
      </c>
      <c r="M95">
        <f t="shared" si="4"/>
        <v>1</v>
      </c>
      <c r="N95">
        <f t="shared" si="5"/>
        <v>1</v>
      </c>
    </row>
    <row r="96" spans="1:14" x14ac:dyDescent="0.35">
      <c r="A96" t="s">
        <v>1652</v>
      </c>
      <c r="B96" t="s">
        <v>2813</v>
      </c>
      <c r="C96" t="s">
        <v>172</v>
      </c>
      <c r="D96">
        <v>26</v>
      </c>
      <c r="E96" t="s">
        <v>13</v>
      </c>
      <c r="F96" s="1">
        <v>44901</v>
      </c>
      <c r="G96" s="1">
        <v>46055</v>
      </c>
      <c r="H96" t="s">
        <v>14</v>
      </c>
      <c r="I96" t="s">
        <v>2778</v>
      </c>
      <c r="J96">
        <v>261513</v>
      </c>
      <c r="K96" t="s">
        <v>30</v>
      </c>
      <c r="L96" t="str">
        <f t="shared" si="3"/>
        <v>Available</v>
      </c>
      <c r="M96">
        <f t="shared" si="4"/>
        <v>0</v>
      </c>
      <c r="N96">
        <f t="shared" si="5"/>
        <v>1</v>
      </c>
    </row>
    <row r="97" spans="1:14" x14ac:dyDescent="0.35">
      <c r="A97" t="s">
        <v>1653</v>
      </c>
      <c r="B97" t="s">
        <v>2814</v>
      </c>
      <c r="C97" t="s">
        <v>174</v>
      </c>
      <c r="D97">
        <v>7.1</v>
      </c>
      <c r="E97" t="s">
        <v>13</v>
      </c>
      <c r="F97" s="1">
        <v>44509</v>
      </c>
      <c r="G97" s="1">
        <v>46059</v>
      </c>
      <c r="H97" t="s">
        <v>14</v>
      </c>
      <c r="I97" s="2">
        <v>25372760</v>
      </c>
      <c r="J97">
        <v>264591</v>
      </c>
      <c r="K97" t="s">
        <v>30</v>
      </c>
      <c r="L97" t="str">
        <f t="shared" si="3"/>
        <v>Available</v>
      </c>
      <c r="M97">
        <f t="shared" si="4"/>
        <v>0</v>
      </c>
      <c r="N97">
        <f t="shared" si="5"/>
        <v>1</v>
      </c>
    </row>
    <row r="98" spans="1:14" x14ac:dyDescent="0.35">
      <c r="A98" t="s">
        <v>1654</v>
      </c>
      <c r="B98" t="s">
        <v>2806</v>
      </c>
      <c r="C98" t="s">
        <v>176</v>
      </c>
      <c r="D98">
        <v>22.3169</v>
      </c>
      <c r="E98" t="s">
        <v>35</v>
      </c>
      <c r="F98" s="1">
        <v>45757</v>
      </c>
      <c r="G98" s="1">
        <v>46058</v>
      </c>
      <c r="H98" t="s">
        <v>14</v>
      </c>
      <c r="I98" t="s">
        <v>2778</v>
      </c>
      <c r="J98">
        <v>266289</v>
      </c>
      <c r="K98" t="s">
        <v>30</v>
      </c>
      <c r="L98" t="str">
        <f t="shared" si="3"/>
        <v>Available</v>
      </c>
      <c r="M98">
        <f t="shared" si="4"/>
        <v>0</v>
      </c>
      <c r="N98">
        <f t="shared" si="5"/>
        <v>1</v>
      </c>
    </row>
    <row r="99" spans="1:14" x14ac:dyDescent="0.35">
      <c r="A99" t="s">
        <v>1655</v>
      </c>
      <c r="B99" t="s">
        <v>2778</v>
      </c>
      <c r="C99" t="s">
        <v>177</v>
      </c>
      <c r="D99">
        <v>32</v>
      </c>
      <c r="E99" t="s">
        <v>35</v>
      </c>
      <c r="F99" s="1">
        <v>44503</v>
      </c>
      <c r="G99" s="1">
        <v>46058</v>
      </c>
      <c r="H99" t="s">
        <v>14</v>
      </c>
      <c r="I99" s="2">
        <v>17183494</v>
      </c>
      <c r="J99">
        <v>261584</v>
      </c>
      <c r="K99" t="s">
        <v>30</v>
      </c>
      <c r="L99" t="str">
        <f t="shared" si="3"/>
        <v>Missing</v>
      </c>
      <c r="M99">
        <f t="shared" si="4"/>
        <v>0</v>
      </c>
      <c r="N99">
        <f t="shared" si="5"/>
        <v>0</v>
      </c>
    </row>
    <row r="100" spans="1:14" x14ac:dyDescent="0.35">
      <c r="A100" t="s">
        <v>1656</v>
      </c>
      <c r="B100" t="s">
        <v>2778</v>
      </c>
      <c r="C100" t="s">
        <v>178</v>
      </c>
      <c r="D100">
        <v>32</v>
      </c>
      <c r="E100" t="s">
        <v>35</v>
      </c>
      <c r="F100" s="1">
        <v>44503</v>
      </c>
      <c r="G100" s="1">
        <v>46058</v>
      </c>
      <c r="H100" t="s">
        <v>14</v>
      </c>
      <c r="I100" s="2">
        <v>17183461</v>
      </c>
      <c r="J100">
        <v>262233</v>
      </c>
      <c r="K100" t="s">
        <v>15</v>
      </c>
      <c r="L100" t="str">
        <f t="shared" si="3"/>
        <v>Missing</v>
      </c>
      <c r="M100">
        <f t="shared" si="4"/>
        <v>1</v>
      </c>
      <c r="N100">
        <f t="shared" si="5"/>
        <v>0</v>
      </c>
    </row>
    <row r="101" spans="1:14" x14ac:dyDescent="0.35">
      <c r="A101" t="s">
        <v>1657</v>
      </c>
      <c r="B101" t="s">
        <v>58</v>
      </c>
      <c r="C101" t="s">
        <v>179</v>
      </c>
      <c r="D101">
        <v>24</v>
      </c>
      <c r="E101" t="s">
        <v>13</v>
      </c>
      <c r="F101" s="1">
        <v>44497</v>
      </c>
      <c r="G101" s="1">
        <v>46060</v>
      </c>
      <c r="H101" t="s">
        <v>14</v>
      </c>
      <c r="I101" s="2">
        <v>73903</v>
      </c>
      <c r="J101">
        <v>261748</v>
      </c>
      <c r="K101" t="s">
        <v>30</v>
      </c>
      <c r="L101" t="str">
        <f t="shared" si="3"/>
        <v>Available</v>
      </c>
      <c r="M101">
        <f t="shared" si="4"/>
        <v>0</v>
      </c>
      <c r="N101">
        <f t="shared" si="5"/>
        <v>1</v>
      </c>
    </row>
    <row r="102" spans="1:14" x14ac:dyDescent="0.35">
      <c r="A102" t="s">
        <v>1658</v>
      </c>
      <c r="B102" t="s">
        <v>2778</v>
      </c>
      <c r="C102" t="s">
        <v>180</v>
      </c>
      <c r="D102">
        <v>16</v>
      </c>
      <c r="E102" t="s">
        <v>13</v>
      </c>
      <c r="F102" s="1">
        <v>45198</v>
      </c>
      <c r="G102" s="1">
        <v>45987</v>
      </c>
      <c r="H102" t="s">
        <v>14</v>
      </c>
      <c r="I102" t="s">
        <v>2778</v>
      </c>
      <c r="J102">
        <v>264213</v>
      </c>
      <c r="K102" t="s">
        <v>15</v>
      </c>
      <c r="L102" t="str">
        <f t="shared" si="3"/>
        <v>Missing</v>
      </c>
      <c r="M102">
        <f t="shared" si="4"/>
        <v>1</v>
      </c>
      <c r="N102">
        <f t="shared" si="5"/>
        <v>0</v>
      </c>
    </row>
    <row r="103" spans="1:14" x14ac:dyDescent="0.35">
      <c r="A103" t="s">
        <v>1659</v>
      </c>
      <c r="B103" t="s">
        <v>2808</v>
      </c>
      <c r="C103" t="s">
        <v>181</v>
      </c>
      <c r="D103">
        <v>24</v>
      </c>
      <c r="E103" t="s">
        <v>13</v>
      </c>
      <c r="F103" s="1">
        <v>44497</v>
      </c>
      <c r="G103" s="1">
        <v>46059</v>
      </c>
      <c r="H103" t="s">
        <v>14</v>
      </c>
      <c r="I103" s="2">
        <v>21836235</v>
      </c>
      <c r="J103">
        <v>264473</v>
      </c>
      <c r="K103" t="s">
        <v>15</v>
      </c>
      <c r="L103" t="str">
        <f t="shared" si="3"/>
        <v>Available</v>
      </c>
      <c r="M103">
        <f t="shared" si="4"/>
        <v>1</v>
      </c>
      <c r="N103">
        <f t="shared" si="5"/>
        <v>1</v>
      </c>
    </row>
    <row r="104" spans="1:14" x14ac:dyDescent="0.35">
      <c r="A104" t="s">
        <v>1660</v>
      </c>
      <c r="B104" t="s">
        <v>183</v>
      </c>
      <c r="C104" t="s">
        <v>182</v>
      </c>
      <c r="D104">
        <v>26</v>
      </c>
      <c r="E104" t="s">
        <v>13</v>
      </c>
      <c r="F104" s="1">
        <v>44499</v>
      </c>
      <c r="G104" s="1">
        <v>46058</v>
      </c>
      <c r="H104" t="s">
        <v>14</v>
      </c>
      <c r="I104" s="2">
        <v>212233</v>
      </c>
      <c r="J104">
        <v>262542</v>
      </c>
      <c r="K104" t="s">
        <v>30</v>
      </c>
      <c r="L104" t="str">
        <f t="shared" si="3"/>
        <v>Available</v>
      </c>
      <c r="M104">
        <f t="shared" si="4"/>
        <v>0</v>
      </c>
      <c r="N104">
        <f t="shared" si="5"/>
        <v>1</v>
      </c>
    </row>
    <row r="105" spans="1:14" x14ac:dyDescent="0.35">
      <c r="A105" t="s">
        <v>1661</v>
      </c>
      <c r="B105" t="s">
        <v>147</v>
      </c>
      <c r="C105" t="s">
        <v>184</v>
      </c>
      <c r="D105">
        <v>25</v>
      </c>
      <c r="E105" t="s">
        <v>13</v>
      </c>
      <c r="F105" s="1">
        <v>44497</v>
      </c>
      <c r="G105" s="1">
        <v>46059</v>
      </c>
      <c r="H105" t="s">
        <v>14</v>
      </c>
      <c r="I105" s="2">
        <v>211562</v>
      </c>
      <c r="J105">
        <v>266830</v>
      </c>
      <c r="K105" t="s">
        <v>30</v>
      </c>
      <c r="L105" t="str">
        <f t="shared" si="3"/>
        <v>Available</v>
      </c>
      <c r="M105">
        <f t="shared" si="4"/>
        <v>0</v>
      </c>
      <c r="N105">
        <f t="shared" si="5"/>
        <v>1</v>
      </c>
    </row>
    <row r="106" spans="1:14" x14ac:dyDescent="0.35">
      <c r="A106" t="s">
        <v>1662</v>
      </c>
      <c r="B106" t="s">
        <v>186</v>
      </c>
      <c r="C106" t="s">
        <v>185</v>
      </c>
      <c r="D106">
        <v>24</v>
      </c>
      <c r="E106" t="s">
        <v>13</v>
      </c>
      <c r="F106" s="1">
        <v>44497</v>
      </c>
      <c r="G106" s="1">
        <v>46059</v>
      </c>
      <c r="H106" t="s">
        <v>14</v>
      </c>
      <c r="I106" s="2">
        <v>91462</v>
      </c>
      <c r="J106">
        <v>264132</v>
      </c>
      <c r="K106" t="s">
        <v>15</v>
      </c>
      <c r="L106" t="str">
        <f t="shared" si="3"/>
        <v>Available</v>
      </c>
      <c r="M106">
        <f t="shared" si="4"/>
        <v>1</v>
      </c>
      <c r="N106">
        <f t="shared" si="5"/>
        <v>1</v>
      </c>
    </row>
    <row r="107" spans="1:14" x14ac:dyDescent="0.35">
      <c r="A107" t="s">
        <v>1663</v>
      </c>
      <c r="B107" t="s">
        <v>2778</v>
      </c>
      <c r="C107" t="s">
        <v>187</v>
      </c>
      <c r="D107">
        <v>24</v>
      </c>
      <c r="E107" t="s">
        <v>13</v>
      </c>
      <c r="F107" s="1">
        <v>45084</v>
      </c>
      <c r="G107" s="1">
        <v>45735</v>
      </c>
      <c r="H107" t="s">
        <v>14</v>
      </c>
      <c r="I107" t="s">
        <v>2778</v>
      </c>
      <c r="J107">
        <v>266439</v>
      </c>
      <c r="K107" t="s">
        <v>15</v>
      </c>
      <c r="L107" t="str">
        <f t="shared" si="3"/>
        <v>Missing</v>
      </c>
      <c r="M107">
        <f t="shared" si="4"/>
        <v>1</v>
      </c>
      <c r="N107">
        <f t="shared" si="5"/>
        <v>0</v>
      </c>
    </row>
    <row r="108" spans="1:14" x14ac:dyDescent="0.35">
      <c r="A108" t="s">
        <v>1664</v>
      </c>
      <c r="B108" t="s">
        <v>2815</v>
      </c>
      <c r="C108" t="s">
        <v>188</v>
      </c>
      <c r="D108">
        <v>26</v>
      </c>
      <c r="E108" t="s">
        <v>13</v>
      </c>
      <c r="F108" s="1">
        <v>44497</v>
      </c>
      <c r="G108" s="1">
        <v>46056</v>
      </c>
      <c r="H108" t="s">
        <v>14</v>
      </c>
      <c r="I108" s="2">
        <v>17616183</v>
      </c>
      <c r="J108">
        <v>266383</v>
      </c>
      <c r="K108" t="s">
        <v>30</v>
      </c>
      <c r="L108" t="str">
        <f t="shared" si="3"/>
        <v>Available</v>
      </c>
      <c r="M108">
        <f t="shared" si="4"/>
        <v>0</v>
      </c>
      <c r="N108">
        <f t="shared" si="5"/>
        <v>1</v>
      </c>
    </row>
    <row r="109" spans="1:14" x14ac:dyDescent="0.35">
      <c r="A109" t="s">
        <v>1665</v>
      </c>
      <c r="B109" t="s">
        <v>2809</v>
      </c>
      <c r="C109" t="s">
        <v>190</v>
      </c>
      <c r="D109">
        <v>22</v>
      </c>
      <c r="E109" t="s">
        <v>13</v>
      </c>
      <c r="F109" s="1">
        <v>44497</v>
      </c>
      <c r="G109" s="1">
        <v>46059</v>
      </c>
      <c r="H109" t="s">
        <v>14</v>
      </c>
      <c r="I109" s="2">
        <v>20753442</v>
      </c>
      <c r="J109">
        <v>262367</v>
      </c>
      <c r="K109" t="s">
        <v>15</v>
      </c>
      <c r="L109" t="str">
        <f t="shared" si="3"/>
        <v>Available</v>
      </c>
      <c r="M109">
        <f t="shared" si="4"/>
        <v>1</v>
      </c>
      <c r="N109">
        <f t="shared" si="5"/>
        <v>1</v>
      </c>
    </row>
    <row r="110" spans="1:14" x14ac:dyDescent="0.35">
      <c r="A110" t="s">
        <v>1666</v>
      </c>
      <c r="B110" t="s">
        <v>192</v>
      </c>
      <c r="C110" t="s">
        <v>191</v>
      </c>
      <c r="D110">
        <v>32</v>
      </c>
      <c r="E110" t="s">
        <v>13</v>
      </c>
      <c r="F110" s="1">
        <v>44498</v>
      </c>
      <c r="G110" s="1">
        <v>45952</v>
      </c>
      <c r="H110" t="s">
        <v>14</v>
      </c>
      <c r="I110" t="s">
        <v>2778</v>
      </c>
      <c r="J110">
        <v>264246</v>
      </c>
      <c r="K110" t="s">
        <v>15</v>
      </c>
      <c r="L110" t="str">
        <f t="shared" si="3"/>
        <v>Available</v>
      </c>
      <c r="M110">
        <f t="shared" si="4"/>
        <v>1</v>
      </c>
      <c r="N110">
        <f t="shared" si="5"/>
        <v>1</v>
      </c>
    </row>
    <row r="111" spans="1:14" x14ac:dyDescent="0.35">
      <c r="A111" t="s">
        <v>1667</v>
      </c>
      <c r="B111" t="s">
        <v>2816</v>
      </c>
      <c r="C111" t="s">
        <v>193</v>
      </c>
      <c r="D111">
        <v>26</v>
      </c>
      <c r="E111" t="s">
        <v>13</v>
      </c>
      <c r="F111" s="1">
        <v>44500</v>
      </c>
      <c r="G111" s="1">
        <v>45740</v>
      </c>
      <c r="H111" t="s">
        <v>14</v>
      </c>
      <c r="I111" t="s">
        <v>2778</v>
      </c>
      <c r="J111">
        <v>264707</v>
      </c>
      <c r="K111" t="s">
        <v>15</v>
      </c>
      <c r="L111" t="str">
        <f t="shared" si="3"/>
        <v>Available</v>
      </c>
      <c r="M111">
        <f t="shared" si="4"/>
        <v>1</v>
      </c>
      <c r="N111">
        <f t="shared" si="5"/>
        <v>1</v>
      </c>
    </row>
    <row r="112" spans="1:14" x14ac:dyDescent="0.35">
      <c r="A112" t="s">
        <v>1668</v>
      </c>
      <c r="B112" t="s">
        <v>196</v>
      </c>
      <c r="C112" t="s">
        <v>195</v>
      </c>
      <c r="D112">
        <v>25</v>
      </c>
      <c r="E112" t="s">
        <v>13</v>
      </c>
      <c r="F112" s="1">
        <v>44497</v>
      </c>
      <c r="G112" s="1">
        <v>46058</v>
      </c>
      <c r="H112" t="s">
        <v>14</v>
      </c>
      <c r="I112" s="2">
        <v>73917</v>
      </c>
      <c r="J112">
        <v>261567</v>
      </c>
      <c r="K112" t="s">
        <v>15</v>
      </c>
      <c r="L112" t="str">
        <f t="shared" si="3"/>
        <v>Available</v>
      </c>
      <c r="M112">
        <f t="shared" si="4"/>
        <v>1</v>
      </c>
      <c r="N112">
        <f t="shared" si="5"/>
        <v>1</v>
      </c>
    </row>
    <row r="113" spans="1:14" x14ac:dyDescent="0.35">
      <c r="A113" t="s">
        <v>1669</v>
      </c>
      <c r="B113" t="s">
        <v>47</v>
      </c>
      <c r="C113" t="s">
        <v>197</v>
      </c>
      <c r="D113">
        <v>24</v>
      </c>
      <c r="E113" t="s">
        <v>13</v>
      </c>
      <c r="F113" s="1">
        <v>44497</v>
      </c>
      <c r="G113" s="1">
        <v>46059</v>
      </c>
      <c r="H113" t="s">
        <v>14</v>
      </c>
      <c r="I113" s="2">
        <v>19618069</v>
      </c>
      <c r="J113">
        <v>262185</v>
      </c>
      <c r="K113" t="s">
        <v>30</v>
      </c>
      <c r="L113" t="str">
        <f t="shared" si="3"/>
        <v>Available</v>
      </c>
      <c r="M113">
        <f t="shared" si="4"/>
        <v>0</v>
      </c>
      <c r="N113">
        <f t="shared" si="5"/>
        <v>1</v>
      </c>
    </row>
    <row r="114" spans="1:14" x14ac:dyDescent="0.35">
      <c r="A114" t="s">
        <v>1670</v>
      </c>
      <c r="B114" t="s">
        <v>199</v>
      </c>
      <c r="C114" t="s">
        <v>198</v>
      </c>
      <c r="D114">
        <v>15</v>
      </c>
      <c r="E114" t="s">
        <v>13</v>
      </c>
      <c r="F114" s="1">
        <v>44497</v>
      </c>
      <c r="G114" s="1">
        <v>45981</v>
      </c>
      <c r="H114" t="s">
        <v>14</v>
      </c>
      <c r="I114" s="2">
        <v>25372704</v>
      </c>
      <c r="J114">
        <v>266367</v>
      </c>
      <c r="K114" t="s">
        <v>30</v>
      </c>
      <c r="L114" t="str">
        <f t="shared" si="3"/>
        <v>Available</v>
      </c>
      <c r="M114">
        <f t="shared" si="4"/>
        <v>0</v>
      </c>
      <c r="N114">
        <f t="shared" si="5"/>
        <v>1</v>
      </c>
    </row>
    <row r="115" spans="1:14" x14ac:dyDescent="0.35">
      <c r="A115" t="s">
        <v>1671</v>
      </c>
      <c r="B115" t="s">
        <v>200</v>
      </c>
      <c r="C115" t="s">
        <v>2788</v>
      </c>
      <c r="D115">
        <v>26</v>
      </c>
      <c r="E115" t="s">
        <v>13</v>
      </c>
      <c r="F115" s="1">
        <v>44497</v>
      </c>
      <c r="G115" s="1">
        <v>46059</v>
      </c>
      <c r="H115" t="s">
        <v>14</v>
      </c>
      <c r="I115" s="2">
        <v>190698</v>
      </c>
      <c r="J115">
        <v>264449</v>
      </c>
      <c r="K115" t="s">
        <v>30</v>
      </c>
      <c r="L115" t="str">
        <f t="shared" si="3"/>
        <v>Available</v>
      </c>
      <c r="M115">
        <f t="shared" si="4"/>
        <v>0</v>
      </c>
      <c r="N115">
        <f t="shared" si="5"/>
        <v>1</v>
      </c>
    </row>
    <row r="116" spans="1:14" x14ac:dyDescent="0.35">
      <c r="A116" t="s">
        <v>1672</v>
      </c>
      <c r="B116" t="s">
        <v>43</v>
      </c>
      <c r="C116" t="s">
        <v>201</v>
      </c>
      <c r="D116">
        <v>25</v>
      </c>
      <c r="E116" t="s">
        <v>13</v>
      </c>
      <c r="F116" s="1">
        <v>44497</v>
      </c>
      <c r="G116" s="1">
        <v>45961</v>
      </c>
      <c r="H116" t="s">
        <v>14</v>
      </c>
      <c r="I116" t="s">
        <v>2778</v>
      </c>
      <c r="J116">
        <v>262173</v>
      </c>
      <c r="K116" t="s">
        <v>30</v>
      </c>
      <c r="L116" t="str">
        <f t="shared" si="3"/>
        <v>Available</v>
      </c>
      <c r="M116">
        <f t="shared" si="4"/>
        <v>0</v>
      </c>
      <c r="N116">
        <f t="shared" si="5"/>
        <v>1</v>
      </c>
    </row>
    <row r="117" spans="1:14" x14ac:dyDescent="0.35">
      <c r="A117" t="s">
        <v>1673</v>
      </c>
      <c r="B117" t="s">
        <v>203</v>
      </c>
      <c r="C117" t="s">
        <v>202</v>
      </c>
      <c r="D117">
        <v>16</v>
      </c>
      <c r="E117" t="s">
        <v>13</v>
      </c>
      <c r="F117" s="1">
        <v>44937</v>
      </c>
      <c r="G117" s="1">
        <v>46059</v>
      </c>
      <c r="H117" t="s">
        <v>14</v>
      </c>
      <c r="I117" s="2">
        <v>27261156</v>
      </c>
      <c r="J117">
        <v>264347</v>
      </c>
      <c r="K117" t="s">
        <v>30</v>
      </c>
      <c r="L117" t="str">
        <f t="shared" si="3"/>
        <v>Available</v>
      </c>
      <c r="M117">
        <f t="shared" si="4"/>
        <v>0</v>
      </c>
      <c r="N117">
        <f t="shared" si="5"/>
        <v>1</v>
      </c>
    </row>
    <row r="118" spans="1:14" x14ac:dyDescent="0.35">
      <c r="A118" t="s">
        <v>1674</v>
      </c>
      <c r="B118" t="s">
        <v>205</v>
      </c>
      <c r="C118" t="s">
        <v>204</v>
      </c>
      <c r="D118">
        <v>24</v>
      </c>
      <c r="E118" t="s">
        <v>13</v>
      </c>
      <c r="F118" s="1">
        <v>44744</v>
      </c>
      <c r="G118" s="1">
        <v>45477</v>
      </c>
      <c r="H118" t="s">
        <v>14</v>
      </c>
      <c r="I118" t="s">
        <v>2778</v>
      </c>
      <c r="J118">
        <v>264041</v>
      </c>
      <c r="K118" t="s">
        <v>15</v>
      </c>
      <c r="L118" t="str">
        <f t="shared" si="3"/>
        <v>Available</v>
      </c>
      <c r="M118">
        <f t="shared" si="4"/>
        <v>1</v>
      </c>
      <c r="N118">
        <f t="shared" si="5"/>
        <v>1</v>
      </c>
    </row>
    <row r="119" spans="1:14" x14ac:dyDescent="0.35">
      <c r="A119" t="s">
        <v>1675</v>
      </c>
      <c r="B119" t="s">
        <v>152</v>
      </c>
      <c r="C119" t="s">
        <v>206</v>
      </c>
      <c r="D119">
        <v>25</v>
      </c>
      <c r="E119" t="s">
        <v>13</v>
      </c>
      <c r="F119" s="1">
        <v>45442</v>
      </c>
      <c r="G119" s="1">
        <v>46057</v>
      </c>
      <c r="H119" t="s">
        <v>14</v>
      </c>
      <c r="I119" t="s">
        <v>2778</v>
      </c>
      <c r="J119">
        <v>261802</v>
      </c>
      <c r="K119" t="s">
        <v>15</v>
      </c>
      <c r="L119" t="str">
        <f t="shared" si="3"/>
        <v>Available</v>
      </c>
      <c r="M119">
        <f t="shared" si="4"/>
        <v>1</v>
      </c>
      <c r="N119">
        <f t="shared" si="5"/>
        <v>1</v>
      </c>
    </row>
    <row r="120" spans="1:14" x14ac:dyDescent="0.35">
      <c r="A120" t="s">
        <v>1676</v>
      </c>
      <c r="B120" t="s">
        <v>208</v>
      </c>
      <c r="C120" t="s">
        <v>207</v>
      </c>
      <c r="D120">
        <v>19.8</v>
      </c>
      <c r="E120" t="s">
        <v>13</v>
      </c>
      <c r="F120" s="1">
        <v>44497</v>
      </c>
      <c r="G120" s="1">
        <v>46034</v>
      </c>
      <c r="H120" t="s">
        <v>14</v>
      </c>
      <c r="I120" t="s">
        <v>2778</v>
      </c>
      <c r="J120">
        <v>264027</v>
      </c>
      <c r="K120" t="s">
        <v>30</v>
      </c>
      <c r="L120" t="str">
        <f t="shared" si="3"/>
        <v>Available</v>
      </c>
      <c r="M120">
        <f t="shared" si="4"/>
        <v>0</v>
      </c>
      <c r="N120">
        <f t="shared" si="5"/>
        <v>1</v>
      </c>
    </row>
    <row r="121" spans="1:14" x14ac:dyDescent="0.35">
      <c r="A121" t="s">
        <v>1677</v>
      </c>
      <c r="B121" t="s">
        <v>105</v>
      </c>
      <c r="C121" t="s">
        <v>209</v>
      </c>
      <c r="D121">
        <v>24</v>
      </c>
      <c r="E121" t="s">
        <v>13</v>
      </c>
      <c r="F121" s="1">
        <v>44497</v>
      </c>
      <c r="G121" s="1">
        <v>46059</v>
      </c>
      <c r="H121" t="s">
        <v>14</v>
      </c>
      <c r="I121" s="2">
        <v>20218167</v>
      </c>
      <c r="J121">
        <v>262281</v>
      </c>
      <c r="K121" t="s">
        <v>15</v>
      </c>
      <c r="L121" t="str">
        <f t="shared" si="3"/>
        <v>Available</v>
      </c>
      <c r="M121">
        <f t="shared" si="4"/>
        <v>1</v>
      </c>
      <c r="N121">
        <f t="shared" si="5"/>
        <v>1</v>
      </c>
    </row>
    <row r="122" spans="1:14" x14ac:dyDescent="0.35">
      <c r="A122" t="s">
        <v>1678</v>
      </c>
      <c r="B122" t="s">
        <v>58</v>
      </c>
      <c r="C122" t="s">
        <v>211</v>
      </c>
      <c r="D122">
        <v>21.978764999999999</v>
      </c>
      <c r="E122" t="s">
        <v>35</v>
      </c>
      <c r="F122" s="1">
        <v>44497</v>
      </c>
      <c r="G122" s="1">
        <v>45827</v>
      </c>
      <c r="H122" t="s">
        <v>14</v>
      </c>
      <c r="I122" t="s">
        <v>2778</v>
      </c>
      <c r="J122">
        <v>261486</v>
      </c>
      <c r="K122" t="s">
        <v>15</v>
      </c>
      <c r="L122" t="str">
        <f t="shared" si="3"/>
        <v>Available</v>
      </c>
      <c r="M122">
        <f t="shared" si="4"/>
        <v>1</v>
      </c>
      <c r="N122">
        <f t="shared" si="5"/>
        <v>1</v>
      </c>
    </row>
    <row r="123" spans="1:14" x14ac:dyDescent="0.35">
      <c r="A123" t="s">
        <v>1679</v>
      </c>
      <c r="B123" t="s">
        <v>2797</v>
      </c>
      <c r="C123" t="s">
        <v>212</v>
      </c>
      <c r="D123">
        <v>24</v>
      </c>
      <c r="E123" t="s">
        <v>13</v>
      </c>
      <c r="F123" s="1">
        <v>44497</v>
      </c>
      <c r="G123" s="1">
        <v>46060</v>
      </c>
      <c r="H123" t="s">
        <v>14</v>
      </c>
      <c r="I123" s="2">
        <v>39387</v>
      </c>
      <c r="J123">
        <v>261805</v>
      </c>
      <c r="K123" t="s">
        <v>15</v>
      </c>
      <c r="L123" t="str">
        <f t="shared" si="3"/>
        <v>Available</v>
      </c>
      <c r="M123">
        <f t="shared" si="4"/>
        <v>1</v>
      </c>
      <c r="N123">
        <f t="shared" si="5"/>
        <v>1</v>
      </c>
    </row>
    <row r="124" spans="1:14" x14ac:dyDescent="0.35">
      <c r="A124" t="s">
        <v>1680</v>
      </c>
      <c r="B124" t="s">
        <v>147</v>
      </c>
      <c r="C124" t="s">
        <v>213</v>
      </c>
      <c r="D124">
        <v>24.5</v>
      </c>
      <c r="E124" t="s">
        <v>13</v>
      </c>
      <c r="F124" s="1">
        <v>45137</v>
      </c>
      <c r="G124" s="1">
        <v>46058</v>
      </c>
      <c r="H124" t="s">
        <v>14</v>
      </c>
      <c r="I124" s="2">
        <v>31575554</v>
      </c>
      <c r="J124">
        <v>264023</v>
      </c>
      <c r="K124" t="s">
        <v>15</v>
      </c>
      <c r="L124" t="str">
        <f t="shared" si="3"/>
        <v>Available</v>
      </c>
      <c r="M124">
        <f t="shared" si="4"/>
        <v>1</v>
      </c>
      <c r="N124">
        <f t="shared" si="5"/>
        <v>1</v>
      </c>
    </row>
    <row r="125" spans="1:14" x14ac:dyDescent="0.35">
      <c r="A125" t="s">
        <v>1681</v>
      </c>
      <c r="B125" t="s">
        <v>2817</v>
      </c>
      <c r="C125" t="s">
        <v>214</v>
      </c>
      <c r="D125">
        <v>25</v>
      </c>
      <c r="E125" t="s">
        <v>13</v>
      </c>
      <c r="F125" s="1">
        <v>44497</v>
      </c>
      <c r="G125" s="1">
        <v>46059</v>
      </c>
      <c r="H125" t="s">
        <v>14</v>
      </c>
      <c r="I125" s="2">
        <v>16270693</v>
      </c>
      <c r="J125">
        <v>264174</v>
      </c>
      <c r="K125" t="s">
        <v>30</v>
      </c>
      <c r="L125" t="str">
        <f t="shared" si="3"/>
        <v>Available</v>
      </c>
      <c r="M125">
        <f t="shared" si="4"/>
        <v>0</v>
      </c>
      <c r="N125">
        <f t="shared" si="5"/>
        <v>1</v>
      </c>
    </row>
    <row r="126" spans="1:14" x14ac:dyDescent="0.35">
      <c r="A126" t="s">
        <v>1682</v>
      </c>
      <c r="B126" t="s">
        <v>2778</v>
      </c>
      <c r="C126" t="s">
        <v>216</v>
      </c>
      <c r="D126">
        <v>20</v>
      </c>
      <c r="E126" t="s">
        <v>13</v>
      </c>
      <c r="F126" s="1">
        <v>44497</v>
      </c>
      <c r="G126" s="1">
        <v>46059</v>
      </c>
      <c r="H126" t="s">
        <v>14</v>
      </c>
      <c r="I126" s="2">
        <v>19831654</v>
      </c>
      <c r="J126">
        <v>264084</v>
      </c>
      <c r="K126" t="s">
        <v>30</v>
      </c>
      <c r="L126" t="str">
        <f t="shared" si="3"/>
        <v>Missing</v>
      </c>
      <c r="M126">
        <f t="shared" si="4"/>
        <v>0</v>
      </c>
      <c r="N126">
        <f t="shared" si="5"/>
        <v>0</v>
      </c>
    </row>
    <row r="127" spans="1:14" x14ac:dyDescent="0.35">
      <c r="A127" t="s">
        <v>1683</v>
      </c>
      <c r="B127" t="s">
        <v>186</v>
      </c>
      <c r="C127" t="s">
        <v>217</v>
      </c>
      <c r="D127">
        <v>32</v>
      </c>
      <c r="E127" t="s">
        <v>13</v>
      </c>
      <c r="F127" s="1">
        <v>44497</v>
      </c>
      <c r="G127" s="1">
        <v>45859</v>
      </c>
      <c r="H127" t="s">
        <v>14</v>
      </c>
      <c r="I127" t="s">
        <v>2778</v>
      </c>
      <c r="J127">
        <v>264424</v>
      </c>
      <c r="K127" t="s">
        <v>30</v>
      </c>
      <c r="L127" t="str">
        <f t="shared" si="3"/>
        <v>Available</v>
      </c>
      <c r="M127">
        <f t="shared" si="4"/>
        <v>0</v>
      </c>
      <c r="N127">
        <f t="shared" si="5"/>
        <v>1</v>
      </c>
    </row>
    <row r="128" spans="1:14" x14ac:dyDescent="0.35">
      <c r="A128" t="s">
        <v>1684</v>
      </c>
      <c r="B128" t="s">
        <v>2804</v>
      </c>
      <c r="C128" t="s">
        <v>218</v>
      </c>
      <c r="D128">
        <v>23.5</v>
      </c>
      <c r="E128" t="s">
        <v>13</v>
      </c>
      <c r="F128" s="1">
        <v>44497</v>
      </c>
      <c r="G128" s="1">
        <v>46058</v>
      </c>
      <c r="H128" t="s">
        <v>14</v>
      </c>
      <c r="I128" s="2">
        <v>19645610</v>
      </c>
      <c r="J128">
        <v>261781</v>
      </c>
      <c r="K128" t="s">
        <v>15</v>
      </c>
      <c r="L128" t="str">
        <f t="shared" si="3"/>
        <v>Available</v>
      </c>
      <c r="M128">
        <f t="shared" si="4"/>
        <v>1</v>
      </c>
      <c r="N128">
        <f t="shared" si="5"/>
        <v>1</v>
      </c>
    </row>
    <row r="129" spans="1:14" x14ac:dyDescent="0.35">
      <c r="A129" t="s">
        <v>1685</v>
      </c>
      <c r="B129" t="s">
        <v>220</v>
      </c>
      <c r="C129" t="s">
        <v>219</v>
      </c>
      <c r="D129">
        <v>24</v>
      </c>
      <c r="E129" t="s">
        <v>13</v>
      </c>
      <c r="F129" s="1">
        <v>44500</v>
      </c>
      <c r="G129" s="1">
        <v>46057</v>
      </c>
      <c r="H129" t="s">
        <v>14</v>
      </c>
      <c r="I129" s="2">
        <v>110844</v>
      </c>
      <c r="J129">
        <v>267035</v>
      </c>
      <c r="K129" t="s">
        <v>15</v>
      </c>
      <c r="L129" t="str">
        <f t="shared" si="3"/>
        <v>Available</v>
      </c>
      <c r="M129">
        <f t="shared" si="4"/>
        <v>1</v>
      </c>
      <c r="N129">
        <f t="shared" si="5"/>
        <v>1</v>
      </c>
    </row>
    <row r="130" spans="1:14" x14ac:dyDescent="0.35">
      <c r="A130" t="s">
        <v>1686</v>
      </c>
      <c r="B130" t="s">
        <v>2809</v>
      </c>
      <c r="C130" t="s">
        <v>221</v>
      </c>
      <c r="D130">
        <v>24</v>
      </c>
      <c r="E130" t="s">
        <v>13</v>
      </c>
      <c r="F130" s="1">
        <v>45084</v>
      </c>
      <c r="G130" s="1">
        <v>46060</v>
      </c>
      <c r="H130" t="s">
        <v>14</v>
      </c>
      <c r="I130" s="2">
        <v>30364098</v>
      </c>
      <c r="J130">
        <v>261495</v>
      </c>
      <c r="K130" t="s">
        <v>30</v>
      </c>
      <c r="L130" t="str">
        <f t="shared" si="3"/>
        <v>Available</v>
      </c>
      <c r="M130">
        <f t="shared" si="4"/>
        <v>0</v>
      </c>
      <c r="N130">
        <f t="shared" si="5"/>
        <v>1</v>
      </c>
    </row>
    <row r="131" spans="1:14" x14ac:dyDescent="0.35">
      <c r="A131" t="s">
        <v>1687</v>
      </c>
      <c r="B131" t="s">
        <v>2809</v>
      </c>
      <c r="C131" t="s">
        <v>222</v>
      </c>
      <c r="D131">
        <v>44</v>
      </c>
      <c r="E131" t="s">
        <v>13</v>
      </c>
      <c r="F131" s="1">
        <v>45477</v>
      </c>
      <c r="G131" s="1">
        <v>46058</v>
      </c>
      <c r="H131" t="s">
        <v>14</v>
      </c>
      <c r="I131" t="s">
        <v>2778</v>
      </c>
      <c r="J131">
        <v>266867</v>
      </c>
      <c r="K131" t="s">
        <v>30</v>
      </c>
      <c r="L131" t="str">
        <f t="shared" ref="L131:L194" si="6">IF(OR(B131="",ISBLANK(B131)),"Missing","Available")</f>
        <v>Available</v>
      </c>
      <c r="M131">
        <f t="shared" ref="M131:M194" si="7">IF(K131="Mapped",1,0)</f>
        <v>0</v>
      </c>
      <c r="N131">
        <f t="shared" ref="N131:N194" si="8">IF(AND(B131&lt;&gt;"",A131&lt;&gt;""),1,0)</f>
        <v>1</v>
      </c>
    </row>
    <row r="132" spans="1:14" x14ac:dyDescent="0.35">
      <c r="A132" t="s">
        <v>1688</v>
      </c>
      <c r="B132" t="s">
        <v>2808</v>
      </c>
      <c r="C132" t="s">
        <v>223</v>
      </c>
      <c r="D132">
        <v>45</v>
      </c>
      <c r="E132" t="s">
        <v>13</v>
      </c>
      <c r="F132" s="1">
        <v>44497</v>
      </c>
      <c r="G132" s="1">
        <v>46060</v>
      </c>
      <c r="H132" t="s">
        <v>14</v>
      </c>
      <c r="I132" s="2">
        <v>24680112</v>
      </c>
      <c r="J132">
        <v>266368</v>
      </c>
      <c r="K132" t="s">
        <v>15</v>
      </c>
      <c r="L132" t="str">
        <f t="shared" si="6"/>
        <v>Available</v>
      </c>
      <c r="M132">
        <f t="shared" si="7"/>
        <v>1</v>
      </c>
      <c r="N132">
        <f t="shared" si="8"/>
        <v>1</v>
      </c>
    </row>
    <row r="133" spans="1:14" x14ac:dyDescent="0.35">
      <c r="A133" t="s">
        <v>1689</v>
      </c>
      <c r="B133" t="s">
        <v>208</v>
      </c>
      <c r="C133" t="s">
        <v>224</v>
      </c>
      <c r="F133" s="1">
        <v>44497</v>
      </c>
      <c r="G133" s="1">
        <v>45468</v>
      </c>
      <c r="H133" t="s">
        <v>14</v>
      </c>
      <c r="I133" t="s">
        <v>2778</v>
      </c>
      <c r="J133">
        <v>266441</v>
      </c>
      <c r="K133" t="s">
        <v>15</v>
      </c>
      <c r="L133" t="str">
        <f t="shared" si="6"/>
        <v>Available</v>
      </c>
      <c r="M133">
        <f t="shared" si="7"/>
        <v>1</v>
      </c>
      <c r="N133">
        <f t="shared" si="8"/>
        <v>1</v>
      </c>
    </row>
    <row r="134" spans="1:14" x14ac:dyDescent="0.35">
      <c r="A134" t="s">
        <v>1690</v>
      </c>
      <c r="B134" t="s">
        <v>58</v>
      </c>
      <c r="C134" t="s">
        <v>225</v>
      </c>
      <c r="D134">
        <v>24</v>
      </c>
      <c r="E134" t="s">
        <v>13</v>
      </c>
      <c r="F134" s="1">
        <v>45431</v>
      </c>
      <c r="G134" s="1">
        <v>46059</v>
      </c>
      <c r="H134" t="s">
        <v>14</v>
      </c>
      <c r="I134" s="2">
        <v>43579806</v>
      </c>
      <c r="J134">
        <v>264075</v>
      </c>
      <c r="K134" t="s">
        <v>30</v>
      </c>
      <c r="L134" t="str">
        <f t="shared" si="6"/>
        <v>Available</v>
      </c>
      <c r="M134">
        <f t="shared" si="7"/>
        <v>0</v>
      </c>
      <c r="N134">
        <f t="shared" si="8"/>
        <v>1</v>
      </c>
    </row>
    <row r="135" spans="1:14" x14ac:dyDescent="0.35">
      <c r="A135" t="s">
        <v>1691</v>
      </c>
      <c r="B135" t="s">
        <v>47</v>
      </c>
      <c r="C135" t="s">
        <v>226</v>
      </c>
      <c r="D135">
        <v>24</v>
      </c>
      <c r="E135" t="s">
        <v>13</v>
      </c>
      <c r="F135" s="1">
        <v>44497</v>
      </c>
      <c r="G135" s="1">
        <v>46059</v>
      </c>
      <c r="H135" t="s">
        <v>14</v>
      </c>
      <c r="I135" s="2">
        <v>77091</v>
      </c>
      <c r="J135">
        <v>264133</v>
      </c>
      <c r="K135" t="s">
        <v>15</v>
      </c>
      <c r="L135" t="str">
        <f t="shared" si="6"/>
        <v>Available</v>
      </c>
      <c r="M135">
        <f t="shared" si="7"/>
        <v>1</v>
      </c>
      <c r="N135">
        <f t="shared" si="8"/>
        <v>1</v>
      </c>
    </row>
    <row r="136" spans="1:14" x14ac:dyDescent="0.35">
      <c r="A136" t="s">
        <v>1692</v>
      </c>
      <c r="B136" t="s">
        <v>2805</v>
      </c>
      <c r="C136" t="s">
        <v>227</v>
      </c>
      <c r="D136">
        <v>24</v>
      </c>
      <c r="E136" t="s">
        <v>13</v>
      </c>
      <c r="F136" s="1">
        <v>44497</v>
      </c>
      <c r="G136" s="1">
        <v>46058</v>
      </c>
      <c r="H136" t="s">
        <v>14</v>
      </c>
      <c r="I136" s="2">
        <v>24834</v>
      </c>
      <c r="J136">
        <v>264108</v>
      </c>
      <c r="K136" t="s">
        <v>15</v>
      </c>
      <c r="L136" t="str">
        <f t="shared" si="6"/>
        <v>Available</v>
      </c>
      <c r="M136">
        <f t="shared" si="7"/>
        <v>1</v>
      </c>
      <c r="N136">
        <f t="shared" si="8"/>
        <v>1</v>
      </c>
    </row>
    <row r="137" spans="1:14" x14ac:dyDescent="0.35">
      <c r="A137" t="s">
        <v>1693</v>
      </c>
      <c r="B137" t="s">
        <v>2803</v>
      </c>
      <c r="C137" t="s">
        <v>229</v>
      </c>
      <c r="D137">
        <v>28</v>
      </c>
      <c r="E137" t="s">
        <v>13</v>
      </c>
      <c r="F137" s="1">
        <v>44497</v>
      </c>
      <c r="G137" s="1">
        <v>46059</v>
      </c>
      <c r="H137" t="s">
        <v>14</v>
      </c>
      <c r="I137" s="2">
        <v>29624508</v>
      </c>
      <c r="J137">
        <v>266536</v>
      </c>
      <c r="K137" t="s">
        <v>30</v>
      </c>
      <c r="L137" t="str">
        <f t="shared" si="6"/>
        <v>Available</v>
      </c>
      <c r="M137">
        <f t="shared" si="7"/>
        <v>0</v>
      </c>
      <c r="N137">
        <f t="shared" si="8"/>
        <v>1</v>
      </c>
    </row>
    <row r="138" spans="1:14" x14ac:dyDescent="0.35">
      <c r="A138" t="s">
        <v>1694</v>
      </c>
      <c r="B138" t="s">
        <v>12</v>
      </c>
      <c r="C138" t="s">
        <v>230</v>
      </c>
      <c r="D138">
        <v>24</v>
      </c>
      <c r="E138" t="s">
        <v>13</v>
      </c>
      <c r="F138" s="1">
        <v>44497</v>
      </c>
      <c r="G138" s="1">
        <v>46059</v>
      </c>
      <c r="H138" t="s">
        <v>14</v>
      </c>
      <c r="I138" s="2">
        <v>91503</v>
      </c>
      <c r="J138">
        <v>264282</v>
      </c>
      <c r="K138" t="s">
        <v>15</v>
      </c>
      <c r="L138" t="str">
        <f t="shared" si="6"/>
        <v>Available</v>
      </c>
      <c r="M138">
        <f t="shared" si="7"/>
        <v>1</v>
      </c>
      <c r="N138">
        <f t="shared" si="8"/>
        <v>1</v>
      </c>
    </row>
    <row r="139" spans="1:14" x14ac:dyDescent="0.35">
      <c r="A139" t="s">
        <v>1695</v>
      </c>
      <c r="B139" t="s">
        <v>2798</v>
      </c>
      <c r="C139" t="s">
        <v>231</v>
      </c>
      <c r="D139">
        <v>17.600000000000001</v>
      </c>
      <c r="E139" t="s">
        <v>13</v>
      </c>
      <c r="F139" s="1">
        <v>44497</v>
      </c>
      <c r="G139" s="1">
        <v>46047</v>
      </c>
      <c r="H139" t="s">
        <v>14</v>
      </c>
      <c r="I139" t="s">
        <v>2778</v>
      </c>
      <c r="J139">
        <v>262237</v>
      </c>
      <c r="K139" t="s">
        <v>30</v>
      </c>
      <c r="L139" t="str">
        <f t="shared" si="6"/>
        <v>Available</v>
      </c>
      <c r="M139">
        <f t="shared" si="7"/>
        <v>0</v>
      </c>
      <c r="N139">
        <f t="shared" si="8"/>
        <v>1</v>
      </c>
    </row>
    <row r="140" spans="1:14" x14ac:dyDescent="0.35">
      <c r="A140" t="s">
        <v>1696</v>
      </c>
      <c r="B140" t="s">
        <v>121</v>
      </c>
      <c r="C140" t="s">
        <v>232</v>
      </c>
      <c r="D140">
        <v>24</v>
      </c>
      <c r="E140" t="s">
        <v>13</v>
      </c>
      <c r="F140" s="1">
        <v>45431</v>
      </c>
      <c r="G140" s="1">
        <v>46059</v>
      </c>
      <c r="H140" t="s">
        <v>14</v>
      </c>
      <c r="I140" s="2">
        <v>47565125</v>
      </c>
      <c r="J140">
        <v>262257</v>
      </c>
      <c r="K140" t="s">
        <v>15</v>
      </c>
      <c r="L140" t="str">
        <f t="shared" si="6"/>
        <v>Available</v>
      </c>
      <c r="M140">
        <f t="shared" si="7"/>
        <v>1</v>
      </c>
      <c r="N140">
        <f t="shared" si="8"/>
        <v>1</v>
      </c>
    </row>
    <row r="141" spans="1:14" x14ac:dyDescent="0.35">
      <c r="A141" t="s">
        <v>1697</v>
      </c>
      <c r="B141" t="s">
        <v>2778</v>
      </c>
      <c r="C141" t="s">
        <v>233</v>
      </c>
      <c r="D141">
        <v>16</v>
      </c>
      <c r="E141" t="s">
        <v>13</v>
      </c>
      <c r="F141" s="1">
        <v>44498</v>
      </c>
      <c r="G141" s="1">
        <v>45961</v>
      </c>
      <c r="H141" t="s">
        <v>14</v>
      </c>
      <c r="I141" t="s">
        <v>2778</v>
      </c>
      <c r="J141">
        <v>264238</v>
      </c>
      <c r="K141" t="s">
        <v>15</v>
      </c>
      <c r="L141" t="str">
        <f t="shared" si="6"/>
        <v>Missing</v>
      </c>
      <c r="M141">
        <f t="shared" si="7"/>
        <v>1</v>
      </c>
      <c r="N141">
        <f t="shared" si="8"/>
        <v>0</v>
      </c>
    </row>
    <row r="142" spans="1:14" x14ac:dyDescent="0.35">
      <c r="A142" t="s">
        <v>1698</v>
      </c>
      <c r="B142" t="s">
        <v>2778</v>
      </c>
      <c r="C142" t="s">
        <v>234</v>
      </c>
      <c r="D142">
        <v>24</v>
      </c>
      <c r="E142" t="s">
        <v>13</v>
      </c>
      <c r="F142" s="1">
        <v>44497</v>
      </c>
      <c r="G142" s="1">
        <v>46059</v>
      </c>
      <c r="H142" t="s">
        <v>14</v>
      </c>
      <c r="I142" s="2">
        <v>17727700</v>
      </c>
      <c r="J142">
        <v>264042</v>
      </c>
      <c r="K142" t="s">
        <v>30</v>
      </c>
      <c r="L142" t="str">
        <f t="shared" si="6"/>
        <v>Missing</v>
      </c>
      <c r="M142">
        <f t="shared" si="7"/>
        <v>0</v>
      </c>
      <c r="N142">
        <f t="shared" si="8"/>
        <v>0</v>
      </c>
    </row>
    <row r="143" spans="1:14" x14ac:dyDescent="0.35">
      <c r="A143" t="s">
        <v>1699</v>
      </c>
      <c r="B143" t="s">
        <v>58</v>
      </c>
      <c r="C143" t="s">
        <v>235</v>
      </c>
      <c r="D143">
        <v>21.978764999999999</v>
      </c>
      <c r="E143" t="s">
        <v>35</v>
      </c>
      <c r="F143" s="1">
        <v>44497</v>
      </c>
      <c r="G143" s="1">
        <v>45638</v>
      </c>
      <c r="H143" t="s">
        <v>14</v>
      </c>
      <c r="I143" t="s">
        <v>2778</v>
      </c>
      <c r="J143">
        <v>261812</v>
      </c>
      <c r="K143" t="s">
        <v>30</v>
      </c>
      <c r="L143" t="str">
        <f t="shared" si="6"/>
        <v>Available</v>
      </c>
      <c r="M143">
        <f t="shared" si="7"/>
        <v>0</v>
      </c>
      <c r="N143">
        <f t="shared" si="8"/>
        <v>1</v>
      </c>
    </row>
    <row r="144" spans="1:14" x14ac:dyDescent="0.35">
      <c r="A144" t="s">
        <v>1700</v>
      </c>
      <c r="B144" t="s">
        <v>2778</v>
      </c>
      <c r="C144" t="s">
        <v>236</v>
      </c>
      <c r="D144">
        <v>24</v>
      </c>
      <c r="E144" t="s">
        <v>13</v>
      </c>
      <c r="F144" s="1">
        <v>44898</v>
      </c>
      <c r="G144" s="1">
        <v>46059</v>
      </c>
      <c r="H144" t="s">
        <v>14</v>
      </c>
      <c r="I144" s="2">
        <v>19870427</v>
      </c>
      <c r="J144">
        <v>262606</v>
      </c>
      <c r="K144" t="s">
        <v>30</v>
      </c>
      <c r="L144" t="str">
        <f t="shared" si="6"/>
        <v>Missing</v>
      </c>
      <c r="M144">
        <f t="shared" si="7"/>
        <v>0</v>
      </c>
      <c r="N144">
        <f t="shared" si="8"/>
        <v>0</v>
      </c>
    </row>
    <row r="145" spans="1:14" x14ac:dyDescent="0.35">
      <c r="A145" t="s">
        <v>1701</v>
      </c>
      <c r="B145" t="s">
        <v>439</v>
      </c>
      <c r="C145" t="s">
        <v>237</v>
      </c>
      <c r="D145">
        <v>26</v>
      </c>
      <c r="E145" t="s">
        <v>13</v>
      </c>
      <c r="F145" s="1">
        <v>44497</v>
      </c>
      <c r="G145" s="1">
        <v>46059</v>
      </c>
      <c r="H145" t="s">
        <v>14</v>
      </c>
      <c r="I145" s="2">
        <v>123505</v>
      </c>
      <c r="J145">
        <v>264274</v>
      </c>
      <c r="K145" t="s">
        <v>30</v>
      </c>
      <c r="L145" t="str">
        <f t="shared" si="6"/>
        <v>Available</v>
      </c>
      <c r="M145">
        <f t="shared" si="7"/>
        <v>0</v>
      </c>
      <c r="N145">
        <f t="shared" si="8"/>
        <v>1</v>
      </c>
    </row>
    <row r="146" spans="1:14" x14ac:dyDescent="0.35">
      <c r="A146" t="s">
        <v>1702</v>
      </c>
      <c r="B146" t="s">
        <v>240</v>
      </c>
      <c r="C146" t="s">
        <v>239</v>
      </c>
      <c r="D146">
        <v>15</v>
      </c>
      <c r="E146" t="s">
        <v>13</v>
      </c>
      <c r="F146" s="1">
        <v>44499</v>
      </c>
      <c r="G146" s="1">
        <v>46059</v>
      </c>
      <c r="H146" t="s">
        <v>14</v>
      </c>
      <c r="I146" s="2">
        <v>3262026</v>
      </c>
      <c r="J146">
        <v>261899</v>
      </c>
      <c r="K146" t="s">
        <v>15</v>
      </c>
      <c r="L146" t="str">
        <f t="shared" si="6"/>
        <v>Available</v>
      </c>
      <c r="M146">
        <f t="shared" si="7"/>
        <v>1</v>
      </c>
      <c r="N146">
        <f t="shared" si="8"/>
        <v>1</v>
      </c>
    </row>
    <row r="147" spans="1:14" x14ac:dyDescent="0.35">
      <c r="A147" t="s">
        <v>1703</v>
      </c>
      <c r="B147" t="s">
        <v>242</v>
      </c>
      <c r="C147" t="s">
        <v>241</v>
      </c>
      <c r="D147">
        <v>16</v>
      </c>
      <c r="E147" t="s">
        <v>13</v>
      </c>
      <c r="F147" s="1">
        <v>44500</v>
      </c>
      <c r="G147" s="1">
        <v>46059</v>
      </c>
      <c r="H147" t="s">
        <v>14</v>
      </c>
      <c r="I147" s="2">
        <v>228203</v>
      </c>
      <c r="J147">
        <v>264371</v>
      </c>
      <c r="K147" t="s">
        <v>30</v>
      </c>
      <c r="L147" t="str">
        <f t="shared" si="6"/>
        <v>Available</v>
      </c>
      <c r="M147">
        <f t="shared" si="7"/>
        <v>0</v>
      </c>
      <c r="N147">
        <f t="shared" si="8"/>
        <v>1</v>
      </c>
    </row>
    <row r="148" spans="1:14" x14ac:dyDescent="0.35">
      <c r="A148" t="s">
        <v>1704</v>
      </c>
      <c r="B148" t="s">
        <v>25</v>
      </c>
      <c r="C148" t="s">
        <v>243</v>
      </c>
      <c r="F148" s="1">
        <v>44497</v>
      </c>
      <c r="G148" s="1">
        <v>45085</v>
      </c>
      <c r="H148" t="s">
        <v>14</v>
      </c>
      <c r="I148" t="s">
        <v>2778</v>
      </c>
      <c r="J148">
        <v>264099</v>
      </c>
      <c r="K148" t="s">
        <v>15</v>
      </c>
      <c r="L148" t="str">
        <f t="shared" si="6"/>
        <v>Available</v>
      </c>
      <c r="M148">
        <f t="shared" si="7"/>
        <v>1</v>
      </c>
      <c r="N148">
        <f t="shared" si="8"/>
        <v>1</v>
      </c>
    </row>
    <row r="149" spans="1:14" x14ac:dyDescent="0.35">
      <c r="A149" t="s">
        <v>1705</v>
      </c>
      <c r="B149" t="s">
        <v>205</v>
      </c>
      <c r="C149" t="s">
        <v>244</v>
      </c>
      <c r="D149">
        <v>24</v>
      </c>
      <c r="E149" t="s">
        <v>13</v>
      </c>
      <c r="F149" s="1">
        <v>44497</v>
      </c>
      <c r="G149" s="1">
        <v>46058</v>
      </c>
      <c r="H149" t="s">
        <v>14</v>
      </c>
      <c r="I149" s="2">
        <v>91496</v>
      </c>
      <c r="J149">
        <v>264230</v>
      </c>
      <c r="K149" t="s">
        <v>30</v>
      </c>
      <c r="L149" t="str">
        <f t="shared" si="6"/>
        <v>Available</v>
      </c>
      <c r="M149">
        <f t="shared" si="7"/>
        <v>0</v>
      </c>
      <c r="N149">
        <f t="shared" si="8"/>
        <v>1</v>
      </c>
    </row>
    <row r="150" spans="1:14" x14ac:dyDescent="0.35">
      <c r="A150" t="s">
        <v>1706</v>
      </c>
      <c r="B150" t="s">
        <v>105</v>
      </c>
      <c r="C150" t="s">
        <v>245</v>
      </c>
      <c r="D150">
        <v>23.5</v>
      </c>
      <c r="E150" t="s">
        <v>13</v>
      </c>
      <c r="F150" s="1">
        <v>44497</v>
      </c>
      <c r="G150" s="1">
        <v>46059</v>
      </c>
      <c r="H150" t="s">
        <v>14</v>
      </c>
      <c r="I150" s="2">
        <v>23129319</v>
      </c>
      <c r="J150">
        <v>261713</v>
      </c>
      <c r="K150" t="s">
        <v>30</v>
      </c>
      <c r="L150" t="str">
        <f t="shared" si="6"/>
        <v>Available</v>
      </c>
      <c r="M150">
        <f t="shared" si="7"/>
        <v>0</v>
      </c>
      <c r="N150">
        <f t="shared" si="8"/>
        <v>1</v>
      </c>
    </row>
    <row r="151" spans="1:14" x14ac:dyDescent="0.35">
      <c r="A151" t="s">
        <v>1707</v>
      </c>
      <c r="B151" t="s">
        <v>247</v>
      </c>
      <c r="C151" t="s">
        <v>246</v>
      </c>
      <c r="D151">
        <v>13</v>
      </c>
      <c r="E151" t="s">
        <v>13</v>
      </c>
      <c r="F151" s="1">
        <v>44497</v>
      </c>
      <c r="G151" s="1">
        <v>46059</v>
      </c>
      <c r="H151" t="s">
        <v>14</v>
      </c>
      <c r="I151" s="2">
        <v>17554800</v>
      </c>
      <c r="J151">
        <v>264655</v>
      </c>
      <c r="K151" t="s">
        <v>30</v>
      </c>
      <c r="L151" t="str">
        <f t="shared" si="6"/>
        <v>Available</v>
      </c>
      <c r="M151">
        <f t="shared" si="7"/>
        <v>0</v>
      </c>
      <c r="N151">
        <f t="shared" si="8"/>
        <v>1</v>
      </c>
    </row>
    <row r="152" spans="1:14" x14ac:dyDescent="0.35">
      <c r="A152" t="s">
        <v>1708</v>
      </c>
      <c r="B152" t="s">
        <v>2818</v>
      </c>
      <c r="C152" t="s">
        <v>248</v>
      </c>
      <c r="D152">
        <v>33</v>
      </c>
      <c r="E152" t="s">
        <v>13</v>
      </c>
      <c r="F152" s="1">
        <v>44901</v>
      </c>
      <c r="G152" s="1">
        <v>46055</v>
      </c>
      <c r="H152" t="s">
        <v>14</v>
      </c>
      <c r="I152" t="s">
        <v>2778</v>
      </c>
      <c r="J152">
        <v>261678</v>
      </c>
      <c r="K152" t="s">
        <v>15</v>
      </c>
      <c r="L152" t="str">
        <f t="shared" si="6"/>
        <v>Available</v>
      </c>
      <c r="M152">
        <f t="shared" si="7"/>
        <v>1</v>
      </c>
      <c r="N152">
        <f t="shared" si="8"/>
        <v>1</v>
      </c>
    </row>
    <row r="153" spans="1:14" x14ac:dyDescent="0.35">
      <c r="A153" t="s">
        <v>1709</v>
      </c>
      <c r="B153" t="s">
        <v>251</v>
      </c>
      <c r="C153" t="s">
        <v>250</v>
      </c>
      <c r="D153">
        <v>25.5</v>
      </c>
      <c r="E153" t="s">
        <v>13</v>
      </c>
      <c r="F153" s="1">
        <v>44497</v>
      </c>
      <c r="G153" s="1">
        <v>46059</v>
      </c>
      <c r="H153" t="s">
        <v>14</v>
      </c>
      <c r="I153" s="2">
        <v>16754516</v>
      </c>
      <c r="J153">
        <v>266644</v>
      </c>
      <c r="K153" t="s">
        <v>15</v>
      </c>
      <c r="L153" t="str">
        <f t="shared" si="6"/>
        <v>Available</v>
      </c>
      <c r="M153">
        <f t="shared" si="7"/>
        <v>1</v>
      </c>
      <c r="N153">
        <f t="shared" si="8"/>
        <v>1</v>
      </c>
    </row>
    <row r="154" spans="1:14" x14ac:dyDescent="0.35">
      <c r="A154" t="s">
        <v>1710</v>
      </c>
      <c r="B154" t="s">
        <v>2819</v>
      </c>
      <c r="C154" t="s">
        <v>252</v>
      </c>
      <c r="D154">
        <v>24</v>
      </c>
      <c r="E154" t="s">
        <v>13</v>
      </c>
      <c r="F154" s="1">
        <v>45805</v>
      </c>
      <c r="G154" s="1">
        <v>45952</v>
      </c>
      <c r="H154" t="s">
        <v>14</v>
      </c>
      <c r="I154" t="s">
        <v>2778</v>
      </c>
      <c r="J154">
        <v>262603</v>
      </c>
      <c r="K154" t="s">
        <v>15</v>
      </c>
      <c r="L154" t="str">
        <f t="shared" si="6"/>
        <v>Available</v>
      </c>
      <c r="M154">
        <f t="shared" si="7"/>
        <v>1</v>
      </c>
      <c r="N154">
        <f t="shared" si="8"/>
        <v>1</v>
      </c>
    </row>
    <row r="155" spans="1:14" x14ac:dyDescent="0.35">
      <c r="A155" t="s">
        <v>1711</v>
      </c>
      <c r="B155" t="s">
        <v>12</v>
      </c>
      <c r="C155" t="s">
        <v>254</v>
      </c>
      <c r="D155">
        <v>45</v>
      </c>
      <c r="E155" t="s">
        <v>13</v>
      </c>
      <c r="F155" s="1">
        <v>44497</v>
      </c>
      <c r="G155" s="1">
        <v>46058</v>
      </c>
      <c r="H155" t="s">
        <v>14</v>
      </c>
      <c r="I155" s="2">
        <v>143291</v>
      </c>
      <c r="J155">
        <v>264448</v>
      </c>
      <c r="K155" t="s">
        <v>30</v>
      </c>
      <c r="L155" t="str">
        <f t="shared" si="6"/>
        <v>Available</v>
      </c>
      <c r="M155">
        <f t="shared" si="7"/>
        <v>0</v>
      </c>
      <c r="N155">
        <f t="shared" si="8"/>
        <v>1</v>
      </c>
    </row>
    <row r="156" spans="1:14" x14ac:dyDescent="0.35">
      <c r="A156" t="s">
        <v>1712</v>
      </c>
      <c r="B156" t="s">
        <v>2792</v>
      </c>
      <c r="C156" t="s">
        <v>255</v>
      </c>
      <c r="D156">
        <v>32</v>
      </c>
      <c r="E156" t="s">
        <v>13</v>
      </c>
      <c r="F156" s="1">
        <v>44497</v>
      </c>
      <c r="G156" s="1">
        <v>46060</v>
      </c>
      <c r="H156" t="s">
        <v>14</v>
      </c>
      <c r="I156" t="s">
        <v>2780</v>
      </c>
      <c r="J156" t="s">
        <v>256</v>
      </c>
      <c r="K156" t="s">
        <v>30</v>
      </c>
      <c r="L156" t="str">
        <f t="shared" si="6"/>
        <v>Available</v>
      </c>
      <c r="M156">
        <f t="shared" si="7"/>
        <v>0</v>
      </c>
      <c r="N156">
        <f t="shared" si="8"/>
        <v>1</v>
      </c>
    </row>
    <row r="157" spans="1:14" x14ac:dyDescent="0.35">
      <c r="A157" t="s">
        <v>1713</v>
      </c>
      <c r="B157" t="s">
        <v>58</v>
      </c>
      <c r="C157" t="s">
        <v>257</v>
      </c>
      <c r="D157">
        <v>20.288091000000001</v>
      </c>
      <c r="E157" t="s">
        <v>35</v>
      </c>
      <c r="F157" s="1">
        <v>45562</v>
      </c>
      <c r="G157" s="1">
        <v>46058</v>
      </c>
      <c r="H157" t="s">
        <v>14</v>
      </c>
      <c r="I157" t="s">
        <v>2778</v>
      </c>
      <c r="J157">
        <v>261878</v>
      </c>
      <c r="K157" t="s">
        <v>30</v>
      </c>
      <c r="L157" t="str">
        <f t="shared" si="6"/>
        <v>Available</v>
      </c>
      <c r="M157">
        <f t="shared" si="7"/>
        <v>0</v>
      </c>
      <c r="N157">
        <f t="shared" si="8"/>
        <v>1</v>
      </c>
    </row>
    <row r="158" spans="1:14" x14ac:dyDescent="0.35">
      <c r="A158" t="s">
        <v>1714</v>
      </c>
      <c r="B158" t="s">
        <v>259</v>
      </c>
      <c r="C158" t="s">
        <v>258</v>
      </c>
      <c r="D158">
        <v>24</v>
      </c>
      <c r="E158" t="s">
        <v>13</v>
      </c>
      <c r="F158" s="1">
        <v>44497</v>
      </c>
      <c r="G158" s="1">
        <v>46059</v>
      </c>
      <c r="H158" t="s">
        <v>14</v>
      </c>
      <c r="I158" s="2">
        <v>98524</v>
      </c>
      <c r="J158">
        <v>264079</v>
      </c>
      <c r="K158" t="s">
        <v>15</v>
      </c>
      <c r="L158" t="str">
        <f t="shared" si="6"/>
        <v>Available</v>
      </c>
      <c r="M158">
        <f t="shared" si="7"/>
        <v>1</v>
      </c>
      <c r="N158">
        <f t="shared" si="8"/>
        <v>1</v>
      </c>
    </row>
    <row r="159" spans="1:14" x14ac:dyDescent="0.35">
      <c r="A159" t="s">
        <v>1715</v>
      </c>
      <c r="B159" t="s">
        <v>261</v>
      </c>
      <c r="C159" t="s">
        <v>260</v>
      </c>
      <c r="D159">
        <v>22.993169999999999</v>
      </c>
      <c r="E159" t="s">
        <v>35</v>
      </c>
      <c r="F159" s="1">
        <v>45233</v>
      </c>
      <c r="G159" s="1">
        <v>45995</v>
      </c>
      <c r="H159" t="s">
        <v>14</v>
      </c>
      <c r="I159" t="s">
        <v>2778</v>
      </c>
      <c r="J159">
        <v>264369</v>
      </c>
      <c r="K159" t="s">
        <v>30</v>
      </c>
      <c r="L159" t="str">
        <f t="shared" si="6"/>
        <v>Available</v>
      </c>
      <c r="M159">
        <f t="shared" si="7"/>
        <v>0</v>
      </c>
      <c r="N159">
        <f t="shared" si="8"/>
        <v>1</v>
      </c>
    </row>
    <row r="160" spans="1:14" x14ac:dyDescent="0.35">
      <c r="A160" t="s">
        <v>1716</v>
      </c>
      <c r="B160" t="s">
        <v>2778</v>
      </c>
      <c r="C160" t="s">
        <v>262</v>
      </c>
      <c r="D160">
        <v>24</v>
      </c>
      <c r="E160" t="s">
        <v>13</v>
      </c>
      <c r="F160" s="1">
        <v>44497</v>
      </c>
      <c r="G160" s="1">
        <v>46059</v>
      </c>
      <c r="H160" t="s">
        <v>14</v>
      </c>
      <c r="I160" t="s">
        <v>2778</v>
      </c>
      <c r="J160">
        <v>261508</v>
      </c>
      <c r="K160" t="s">
        <v>15</v>
      </c>
      <c r="L160" t="str">
        <f t="shared" si="6"/>
        <v>Missing</v>
      </c>
      <c r="M160">
        <f t="shared" si="7"/>
        <v>1</v>
      </c>
      <c r="N160">
        <f t="shared" si="8"/>
        <v>0</v>
      </c>
    </row>
    <row r="161" spans="1:14" x14ac:dyDescent="0.35">
      <c r="A161" t="s">
        <v>1717</v>
      </c>
      <c r="B161" t="s">
        <v>336</v>
      </c>
      <c r="C161" t="s">
        <v>263</v>
      </c>
      <c r="D161">
        <v>25</v>
      </c>
      <c r="E161" t="s">
        <v>13</v>
      </c>
      <c r="F161" s="1">
        <v>44497</v>
      </c>
      <c r="G161" s="1">
        <v>46059</v>
      </c>
      <c r="H161" t="s">
        <v>14</v>
      </c>
      <c r="I161" s="2">
        <v>91471</v>
      </c>
      <c r="J161">
        <v>264367</v>
      </c>
      <c r="K161" t="s">
        <v>15</v>
      </c>
      <c r="L161" t="str">
        <f t="shared" si="6"/>
        <v>Available</v>
      </c>
      <c r="M161">
        <f t="shared" si="7"/>
        <v>1</v>
      </c>
      <c r="N161">
        <f t="shared" si="8"/>
        <v>1</v>
      </c>
    </row>
    <row r="162" spans="1:14" x14ac:dyDescent="0.35">
      <c r="A162" t="s">
        <v>1718</v>
      </c>
      <c r="B162" t="s">
        <v>251</v>
      </c>
      <c r="C162" t="s">
        <v>265</v>
      </c>
      <c r="D162">
        <v>23.5</v>
      </c>
      <c r="E162" t="s">
        <v>13</v>
      </c>
      <c r="F162" s="1">
        <v>44612</v>
      </c>
      <c r="G162" s="1">
        <v>46059</v>
      </c>
      <c r="H162" t="s">
        <v>14</v>
      </c>
      <c r="I162" s="2">
        <v>27767012</v>
      </c>
      <c r="J162">
        <v>261607</v>
      </c>
      <c r="K162" t="s">
        <v>30</v>
      </c>
      <c r="L162" t="str">
        <f t="shared" si="6"/>
        <v>Available</v>
      </c>
      <c r="M162">
        <f t="shared" si="7"/>
        <v>0</v>
      </c>
      <c r="N162">
        <f t="shared" si="8"/>
        <v>1</v>
      </c>
    </row>
    <row r="163" spans="1:14" x14ac:dyDescent="0.35">
      <c r="A163" t="s">
        <v>1719</v>
      </c>
      <c r="B163" t="s">
        <v>2803</v>
      </c>
      <c r="C163" t="s">
        <v>266</v>
      </c>
      <c r="D163">
        <v>32</v>
      </c>
      <c r="E163" t="s">
        <v>13</v>
      </c>
      <c r="F163" s="1">
        <v>44497</v>
      </c>
      <c r="G163" s="1">
        <v>46058</v>
      </c>
      <c r="H163" t="s">
        <v>14</v>
      </c>
      <c r="I163" t="s">
        <v>2778</v>
      </c>
      <c r="J163">
        <v>264117</v>
      </c>
      <c r="K163" t="s">
        <v>30</v>
      </c>
      <c r="L163" t="str">
        <f t="shared" si="6"/>
        <v>Available</v>
      </c>
      <c r="M163">
        <f t="shared" si="7"/>
        <v>0</v>
      </c>
      <c r="N163">
        <f t="shared" si="8"/>
        <v>1</v>
      </c>
    </row>
    <row r="164" spans="1:14" x14ac:dyDescent="0.35">
      <c r="A164" t="s">
        <v>1720</v>
      </c>
      <c r="B164" t="s">
        <v>2797</v>
      </c>
      <c r="C164" t="s">
        <v>267</v>
      </c>
      <c r="D164">
        <v>24</v>
      </c>
      <c r="E164" t="s">
        <v>13</v>
      </c>
      <c r="F164" s="1">
        <v>44497</v>
      </c>
      <c r="G164" s="1">
        <v>46059</v>
      </c>
      <c r="H164" t="s">
        <v>14</v>
      </c>
      <c r="I164" s="2">
        <v>3168273</v>
      </c>
      <c r="J164">
        <v>266985</v>
      </c>
      <c r="K164" t="s">
        <v>15</v>
      </c>
      <c r="L164" t="str">
        <f t="shared" si="6"/>
        <v>Available</v>
      </c>
      <c r="M164">
        <f t="shared" si="7"/>
        <v>1</v>
      </c>
      <c r="N164">
        <f t="shared" si="8"/>
        <v>1</v>
      </c>
    </row>
    <row r="165" spans="1:14" x14ac:dyDescent="0.35">
      <c r="A165" t="s">
        <v>1721</v>
      </c>
      <c r="B165" t="s">
        <v>269</v>
      </c>
      <c r="C165" t="s">
        <v>268</v>
      </c>
      <c r="D165">
        <v>25</v>
      </c>
      <c r="E165" t="s">
        <v>13</v>
      </c>
      <c r="F165" s="1">
        <v>44497</v>
      </c>
      <c r="G165" s="1">
        <v>46059</v>
      </c>
      <c r="H165" t="s">
        <v>14</v>
      </c>
      <c r="I165" s="2">
        <v>53395</v>
      </c>
      <c r="J165">
        <v>261727</v>
      </c>
      <c r="K165" t="s">
        <v>15</v>
      </c>
      <c r="L165" t="str">
        <f t="shared" si="6"/>
        <v>Available</v>
      </c>
      <c r="M165">
        <f t="shared" si="7"/>
        <v>1</v>
      </c>
      <c r="N165">
        <f t="shared" si="8"/>
        <v>1</v>
      </c>
    </row>
    <row r="166" spans="1:14" x14ac:dyDescent="0.35">
      <c r="A166" t="s">
        <v>1722</v>
      </c>
      <c r="B166" t="s">
        <v>2820</v>
      </c>
      <c r="C166" t="s">
        <v>270</v>
      </c>
      <c r="D166">
        <v>25</v>
      </c>
      <c r="E166" t="s">
        <v>13</v>
      </c>
      <c r="F166" s="1">
        <v>44497</v>
      </c>
      <c r="G166" s="1">
        <v>45918</v>
      </c>
      <c r="H166" t="s">
        <v>14</v>
      </c>
      <c r="I166" t="s">
        <v>2778</v>
      </c>
      <c r="J166">
        <v>266845</v>
      </c>
      <c r="K166" t="s">
        <v>30</v>
      </c>
      <c r="L166" t="str">
        <f t="shared" si="6"/>
        <v>Available</v>
      </c>
      <c r="M166">
        <f t="shared" si="7"/>
        <v>0</v>
      </c>
      <c r="N166">
        <f t="shared" si="8"/>
        <v>1</v>
      </c>
    </row>
    <row r="167" spans="1:14" x14ac:dyDescent="0.35">
      <c r="A167" t="s">
        <v>1723</v>
      </c>
      <c r="B167" t="s">
        <v>273</v>
      </c>
      <c r="C167" t="s">
        <v>272</v>
      </c>
      <c r="D167">
        <v>25</v>
      </c>
      <c r="E167" t="s">
        <v>13</v>
      </c>
      <c r="F167" s="1">
        <v>44497</v>
      </c>
      <c r="G167" s="1">
        <v>46059</v>
      </c>
      <c r="H167" t="s">
        <v>14</v>
      </c>
      <c r="I167" s="2">
        <v>175472</v>
      </c>
      <c r="J167">
        <v>264047</v>
      </c>
      <c r="K167" t="s">
        <v>15</v>
      </c>
      <c r="L167" t="str">
        <f t="shared" si="6"/>
        <v>Available</v>
      </c>
      <c r="M167">
        <f t="shared" si="7"/>
        <v>1</v>
      </c>
      <c r="N167">
        <f t="shared" si="8"/>
        <v>1</v>
      </c>
    </row>
    <row r="168" spans="1:14" x14ac:dyDescent="0.35">
      <c r="A168" t="s">
        <v>1724</v>
      </c>
      <c r="B168" t="s">
        <v>27</v>
      </c>
      <c r="C168" t="s">
        <v>274</v>
      </c>
      <c r="D168">
        <v>72</v>
      </c>
      <c r="E168" t="s">
        <v>13</v>
      </c>
      <c r="F168" s="1">
        <v>44854</v>
      </c>
      <c r="G168" s="1">
        <v>46058</v>
      </c>
      <c r="H168" t="s">
        <v>14</v>
      </c>
      <c r="I168" t="s">
        <v>2778</v>
      </c>
      <c r="J168">
        <v>266298</v>
      </c>
      <c r="K168" t="s">
        <v>30</v>
      </c>
      <c r="L168" t="str">
        <f t="shared" si="6"/>
        <v>Available</v>
      </c>
      <c r="M168">
        <f t="shared" si="7"/>
        <v>0</v>
      </c>
      <c r="N168">
        <f t="shared" si="8"/>
        <v>1</v>
      </c>
    </row>
    <row r="169" spans="1:14" x14ac:dyDescent="0.35">
      <c r="A169" t="s">
        <v>1725</v>
      </c>
      <c r="B169" t="s">
        <v>43</v>
      </c>
      <c r="C169" t="s">
        <v>275</v>
      </c>
      <c r="D169">
        <v>25</v>
      </c>
      <c r="E169" t="s">
        <v>13</v>
      </c>
      <c r="F169" s="1">
        <v>44497</v>
      </c>
      <c r="G169" s="1">
        <v>46059</v>
      </c>
      <c r="H169" t="s">
        <v>14</v>
      </c>
      <c r="I169" s="2">
        <v>1918135</v>
      </c>
      <c r="J169">
        <v>261881</v>
      </c>
      <c r="K169" t="s">
        <v>30</v>
      </c>
      <c r="L169" t="str">
        <f t="shared" si="6"/>
        <v>Available</v>
      </c>
      <c r="M169">
        <f t="shared" si="7"/>
        <v>0</v>
      </c>
      <c r="N169">
        <f t="shared" si="8"/>
        <v>1</v>
      </c>
    </row>
    <row r="170" spans="1:14" x14ac:dyDescent="0.35">
      <c r="A170" t="s">
        <v>1726</v>
      </c>
      <c r="B170" t="s">
        <v>439</v>
      </c>
      <c r="C170" t="s">
        <v>276</v>
      </c>
      <c r="D170">
        <v>45</v>
      </c>
      <c r="E170" t="s">
        <v>13</v>
      </c>
      <c r="F170" s="1">
        <v>44497</v>
      </c>
      <c r="G170" s="1">
        <v>46059</v>
      </c>
      <c r="H170" t="s">
        <v>14</v>
      </c>
      <c r="I170" t="s">
        <v>2778</v>
      </c>
      <c r="J170">
        <v>261911</v>
      </c>
      <c r="K170" t="s">
        <v>30</v>
      </c>
      <c r="L170" t="str">
        <f t="shared" si="6"/>
        <v>Available</v>
      </c>
      <c r="M170">
        <f t="shared" si="7"/>
        <v>0</v>
      </c>
      <c r="N170">
        <f t="shared" si="8"/>
        <v>1</v>
      </c>
    </row>
    <row r="171" spans="1:14" x14ac:dyDescent="0.35">
      <c r="A171" t="s">
        <v>1727</v>
      </c>
      <c r="B171" t="s">
        <v>2817</v>
      </c>
      <c r="C171" t="s">
        <v>277</v>
      </c>
      <c r="D171">
        <v>24</v>
      </c>
      <c r="E171" t="s">
        <v>13</v>
      </c>
      <c r="F171" s="1">
        <v>44497</v>
      </c>
      <c r="G171" s="1">
        <v>46059</v>
      </c>
      <c r="H171" t="s">
        <v>14</v>
      </c>
      <c r="I171" s="2">
        <v>24828</v>
      </c>
      <c r="J171">
        <v>266322</v>
      </c>
      <c r="K171" t="s">
        <v>15</v>
      </c>
      <c r="L171" t="str">
        <f t="shared" si="6"/>
        <v>Available</v>
      </c>
      <c r="M171">
        <f t="shared" si="7"/>
        <v>1</v>
      </c>
      <c r="N171">
        <f t="shared" si="8"/>
        <v>1</v>
      </c>
    </row>
    <row r="172" spans="1:14" x14ac:dyDescent="0.35">
      <c r="A172" t="s">
        <v>1728</v>
      </c>
      <c r="B172" t="s">
        <v>152</v>
      </c>
      <c r="C172" t="s">
        <v>279</v>
      </c>
      <c r="D172">
        <v>24</v>
      </c>
      <c r="E172" t="s">
        <v>13</v>
      </c>
      <c r="F172" s="1">
        <v>44903</v>
      </c>
      <c r="G172" s="1">
        <v>45985</v>
      </c>
      <c r="H172" t="s">
        <v>14</v>
      </c>
      <c r="I172" t="s">
        <v>2778</v>
      </c>
      <c r="J172">
        <v>266914</v>
      </c>
      <c r="K172" t="s">
        <v>30</v>
      </c>
      <c r="L172" t="str">
        <f t="shared" si="6"/>
        <v>Available</v>
      </c>
      <c r="M172">
        <f t="shared" si="7"/>
        <v>0</v>
      </c>
      <c r="N172">
        <f t="shared" si="8"/>
        <v>1</v>
      </c>
    </row>
    <row r="173" spans="1:14" x14ac:dyDescent="0.35">
      <c r="A173" t="s">
        <v>1729</v>
      </c>
      <c r="B173" t="s">
        <v>2778</v>
      </c>
      <c r="C173" t="s">
        <v>280</v>
      </c>
      <c r="D173">
        <v>24</v>
      </c>
      <c r="E173" t="s">
        <v>13</v>
      </c>
      <c r="F173" s="1">
        <v>44497</v>
      </c>
      <c r="G173" s="1">
        <v>46058</v>
      </c>
      <c r="H173" t="s">
        <v>14</v>
      </c>
      <c r="I173" s="2">
        <v>19520086</v>
      </c>
      <c r="J173">
        <v>262168</v>
      </c>
      <c r="K173" t="s">
        <v>30</v>
      </c>
      <c r="L173" t="str">
        <f t="shared" si="6"/>
        <v>Missing</v>
      </c>
      <c r="M173">
        <f t="shared" si="7"/>
        <v>0</v>
      </c>
      <c r="N173">
        <f t="shared" si="8"/>
        <v>0</v>
      </c>
    </row>
    <row r="174" spans="1:14" x14ac:dyDescent="0.35">
      <c r="A174" t="s">
        <v>1730</v>
      </c>
      <c r="B174" t="s">
        <v>132</v>
      </c>
      <c r="C174" t="s">
        <v>281</v>
      </c>
      <c r="F174" s="1">
        <v>45009</v>
      </c>
      <c r="G174" s="1">
        <v>45099</v>
      </c>
      <c r="H174" t="s">
        <v>14</v>
      </c>
      <c r="I174" t="s">
        <v>2778</v>
      </c>
      <c r="J174">
        <v>262611</v>
      </c>
      <c r="K174" t="s">
        <v>30</v>
      </c>
      <c r="L174" t="str">
        <f t="shared" si="6"/>
        <v>Available</v>
      </c>
      <c r="M174">
        <f t="shared" si="7"/>
        <v>0</v>
      </c>
      <c r="N174">
        <f t="shared" si="8"/>
        <v>1</v>
      </c>
    </row>
    <row r="175" spans="1:14" x14ac:dyDescent="0.35">
      <c r="A175" t="s">
        <v>1731</v>
      </c>
      <c r="B175" t="s">
        <v>2821</v>
      </c>
      <c r="C175" t="s">
        <v>282</v>
      </c>
      <c r="D175">
        <v>24</v>
      </c>
      <c r="E175" t="s">
        <v>13</v>
      </c>
      <c r="F175" s="1">
        <v>44497</v>
      </c>
      <c r="G175" s="1">
        <v>46058</v>
      </c>
      <c r="H175" t="s">
        <v>14</v>
      </c>
      <c r="I175" s="2">
        <v>24496159</v>
      </c>
      <c r="J175">
        <v>261797</v>
      </c>
      <c r="K175" t="s">
        <v>30</v>
      </c>
      <c r="L175" t="str">
        <f t="shared" si="6"/>
        <v>Available</v>
      </c>
      <c r="M175">
        <f t="shared" si="7"/>
        <v>0</v>
      </c>
      <c r="N175">
        <f t="shared" si="8"/>
        <v>1</v>
      </c>
    </row>
    <row r="176" spans="1:14" x14ac:dyDescent="0.35">
      <c r="A176" t="s">
        <v>1732</v>
      </c>
      <c r="B176" t="s">
        <v>2822</v>
      </c>
      <c r="C176" t="s">
        <v>284</v>
      </c>
      <c r="D176">
        <v>12.172855</v>
      </c>
      <c r="E176" t="s">
        <v>35</v>
      </c>
      <c r="F176" s="1">
        <v>45797</v>
      </c>
      <c r="G176" s="1">
        <v>46058</v>
      </c>
      <c r="H176" t="s">
        <v>14</v>
      </c>
      <c r="I176" t="s">
        <v>2778</v>
      </c>
      <c r="J176">
        <v>266514</v>
      </c>
      <c r="K176" t="s">
        <v>30</v>
      </c>
      <c r="L176" t="str">
        <f t="shared" si="6"/>
        <v>Available</v>
      </c>
      <c r="M176">
        <f t="shared" si="7"/>
        <v>0</v>
      </c>
      <c r="N176">
        <f t="shared" si="8"/>
        <v>1</v>
      </c>
    </row>
    <row r="177" spans="1:14" x14ac:dyDescent="0.35">
      <c r="A177" t="s">
        <v>1733</v>
      </c>
      <c r="B177" t="s">
        <v>2797</v>
      </c>
      <c r="C177" t="s">
        <v>286</v>
      </c>
      <c r="D177">
        <v>26.5</v>
      </c>
      <c r="E177" t="s">
        <v>13</v>
      </c>
      <c r="F177" s="1">
        <v>44497</v>
      </c>
      <c r="G177" s="1">
        <v>46060</v>
      </c>
      <c r="H177" t="s">
        <v>14</v>
      </c>
      <c r="I177" t="s">
        <v>2778</v>
      </c>
      <c r="J177">
        <v>266970</v>
      </c>
      <c r="K177" t="s">
        <v>15</v>
      </c>
      <c r="L177" t="str">
        <f t="shared" si="6"/>
        <v>Available</v>
      </c>
      <c r="M177">
        <f t="shared" si="7"/>
        <v>1</v>
      </c>
      <c r="N177">
        <f t="shared" si="8"/>
        <v>1</v>
      </c>
    </row>
    <row r="178" spans="1:14" x14ac:dyDescent="0.35">
      <c r="A178" t="s">
        <v>1734</v>
      </c>
      <c r="B178" t="s">
        <v>2778</v>
      </c>
      <c r="C178" t="s">
        <v>287</v>
      </c>
      <c r="D178">
        <v>24</v>
      </c>
      <c r="E178" t="s">
        <v>13</v>
      </c>
      <c r="F178" s="1">
        <v>45084</v>
      </c>
      <c r="G178" s="1">
        <v>45721</v>
      </c>
      <c r="H178" t="s">
        <v>14</v>
      </c>
      <c r="I178" t="s">
        <v>2778</v>
      </c>
      <c r="J178">
        <v>262042</v>
      </c>
      <c r="K178" t="s">
        <v>30</v>
      </c>
      <c r="L178" t="str">
        <f t="shared" si="6"/>
        <v>Missing</v>
      </c>
      <c r="M178">
        <f t="shared" si="7"/>
        <v>0</v>
      </c>
      <c r="N178">
        <f t="shared" si="8"/>
        <v>0</v>
      </c>
    </row>
    <row r="179" spans="1:14" x14ac:dyDescent="0.35">
      <c r="A179" t="s">
        <v>1735</v>
      </c>
      <c r="B179" t="s">
        <v>2778</v>
      </c>
      <c r="C179" t="s">
        <v>288</v>
      </c>
      <c r="D179">
        <v>24</v>
      </c>
      <c r="E179" t="s">
        <v>13</v>
      </c>
      <c r="F179" s="1">
        <v>44497</v>
      </c>
      <c r="G179" s="1">
        <v>46059</v>
      </c>
      <c r="H179" t="s">
        <v>14</v>
      </c>
      <c r="I179" t="s">
        <v>2778</v>
      </c>
      <c r="J179">
        <v>261583</v>
      </c>
      <c r="K179" t="s">
        <v>30</v>
      </c>
      <c r="L179" t="str">
        <f t="shared" si="6"/>
        <v>Missing</v>
      </c>
      <c r="M179">
        <f t="shared" si="7"/>
        <v>0</v>
      </c>
      <c r="N179">
        <f t="shared" si="8"/>
        <v>0</v>
      </c>
    </row>
    <row r="180" spans="1:14" x14ac:dyDescent="0.35">
      <c r="A180" t="s">
        <v>1736</v>
      </c>
      <c r="B180" t="s">
        <v>58</v>
      </c>
      <c r="C180" t="s">
        <v>289</v>
      </c>
      <c r="D180">
        <v>44</v>
      </c>
      <c r="E180" t="s">
        <v>13</v>
      </c>
      <c r="F180" s="1">
        <v>44497</v>
      </c>
      <c r="G180" s="1">
        <v>46059</v>
      </c>
      <c r="H180" t="s">
        <v>14</v>
      </c>
      <c r="I180" s="2">
        <v>98536</v>
      </c>
      <c r="J180">
        <v>266353</v>
      </c>
      <c r="K180" t="s">
        <v>30</v>
      </c>
      <c r="L180" t="str">
        <f t="shared" si="6"/>
        <v>Available</v>
      </c>
      <c r="M180">
        <f t="shared" si="7"/>
        <v>0</v>
      </c>
      <c r="N180">
        <f t="shared" si="8"/>
        <v>1</v>
      </c>
    </row>
    <row r="181" spans="1:14" x14ac:dyDescent="0.35">
      <c r="A181" t="s">
        <v>1737</v>
      </c>
      <c r="B181" t="s">
        <v>291</v>
      </c>
      <c r="C181" t="s">
        <v>290</v>
      </c>
      <c r="D181">
        <v>24</v>
      </c>
      <c r="E181" t="s">
        <v>13</v>
      </c>
      <c r="F181" s="1">
        <v>44497</v>
      </c>
      <c r="G181" s="1">
        <v>46057</v>
      </c>
      <c r="H181" t="s">
        <v>14</v>
      </c>
      <c r="I181" t="s">
        <v>2778</v>
      </c>
      <c r="J181">
        <v>266304</v>
      </c>
      <c r="K181" t="s">
        <v>30</v>
      </c>
      <c r="L181" t="str">
        <f t="shared" si="6"/>
        <v>Available</v>
      </c>
      <c r="M181">
        <f t="shared" si="7"/>
        <v>0</v>
      </c>
      <c r="N181">
        <f t="shared" si="8"/>
        <v>1</v>
      </c>
    </row>
    <row r="182" spans="1:14" x14ac:dyDescent="0.35">
      <c r="A182" t="s">
        <v>1738</v>
      </c>
      <c r="B182" t="s">
        <v>293</v>
      </c>
      <c r="C182" t="s">
        <v>292</v>
      </c>
      <c r="D182">
        <v>20.5</v>
      </c>
      <c r="E182" t="s">
        <v>13</v>
      </c>
      <c r="F182" s="1">
        <v>44497</v>
      </c>
      <c r="G182" s="1">
        <v>46059</v>
      </c>
      <c r="H182" t="s">
        <v>14</v>
      </c>
      <c r="I182" s="2">
        <v>260901</v>
      </c>
      <c r="J182">
        <v>264439</v>
      </c>
      <c r="K182" t="s">
        <v>15</v>
      </c>
      <c r="L182" t="str">
        <f t="shared" si="6"/>
        <v>Available</v>
      </c>
      <c r="M182">
        <f t="shared" si="7"/>
        <v>1</v>
      </c>
      <c r="N182">
        <f t="shared" si="8"/>
        <v>1</v>
      </c>
    </row>
    <row r="183" spans="1:14" x14ac:dyDescent="0.35">
      <c r="A183" t="s">
        <v>1739</v>
      </c>
      <c r="B183" t="s">
        <v>2793</v>
      </c>
      <c r="C183" t="s">
        <v>294</v>
      </c>
      <c r="D183">
        <v>21.911138000000001</v>
      </c>
      <c r="E183" t="s">
        <v>35</v>
      </c>
      <c r="F183" s="1">
        <v>44497</v>
      </c>
      <c r="G183" s="1">
        <v>46058</v>
      </c>
      <c r="H183" t="s">
        <v>14</v>
      </c>
      <c r="I183" t="s">
        <v>2778</v>
      </c>
      <c r="J183">
        <v>261592</v>
      </c>
      <c r="K183" t="s">
        <v>15</v>
      </c>
      <c r="L183" t="str">
        <f t="shared" si="6"/>
        <v>Available</v>
      </c>
      <c r="M183">
        <f t="shared" si="7"/>
        <v>1</v>
      </c>
      <c r="N183">
        <f t="shared" si="8"/>
        <v>1</v>
      </c>
    </row>
    <row r="184" spans="1:14" x14ac:dyDescent="0.35">
      <c r="A184" t="s">
        <v>1740</v>
      </c>
      <c r="B184" t="s">
        <v>2823</v>
      </c>
      <c r="C184" t="s">
        <v>295</v>
      </c>
      <c r="D184">
        <v>24</v>
      </c>
      <c r="E184" t="s">
        <v>13</v>
      </c>
      <c r="F184" s="1">
        <v>44497</v>
      </c>
      <c r="G184" s="1">
        <v>46057</v>
      </c>
      <c r="H184" t="s">
        <v>14</v>
      </c>
      <c r="I184" s="2">
        <v>27976721</v>
      </c>
      <c r="J184">
        <v>264292</v>
      </c>
      <c r="K184" t="s">
        <v>15</v>
      </c>
      <c r="L184" t="str">
        <f t="shared" si="6"/>
        <v>Available</v>
      </c>
      <c r="M184">
        <f t="shared" si="7"/>
        <v>1</v>
      </c>
      <c r="N184">
        <f t="shared" si="8"/>
        <v>1</v>
      </c>
    </row>
    <row r="185" spans="1:14" x14ac:dyDescent="0.35">
      <c r="A185" t="s">
        <v>1741</v>
      </c>
      <c r="B185" t="s">
        <v>112</v>
      </c>
      <c r="C185" t="s">
        <v>297</v>
      </c>
      <c r="D185">
        <v>25.5</v>
      </c>
      <c r="E185" t="s">
        <v>13</v>
      </c>
      <c r="F185" s="1">
        <v>44497</v>
      </c>
      <c r="G185" s="1">
        <v>46059</v>
      </c>
      <c r="H185" t="s">
        <v>14</v>
      </c>
      <c r="I185" s="2">
        <v>24836</v>
      </c>
      <c r="J185">
        <v>264039</v>
      </c>
      <c r="K185" t="s">
        <v>15</v>
      </c>
      <c r="L185" t="str">
        <f t="shared" si="6"/>
        <v>Available</v>
      </c>
      <c r="M185">
        <f t="shared" si="7"/>
        <v>1</v>
      </c>
      <c r="N185">
        <f t="shared" si="8"/>
        <v>1</v>
      </c>
    </row>
    <row r="186" spans="1:14" x14ac:dyDescent="0.35">
      <c r="A186" t="s">
        <v>1742</v>
      </c>
      <c r="B186" t="s">
        <v>2824</v>
      </c>
      <c r="C186" t="s">
        <v>298</v>
      </c>
      <c r="D186">
        <v>16</v>
      </c>
      <c r="E186" t="s">
        <v>13</v>
      </c>
      <c r="F186" s="1">
        <v>44497</v>
      </c>
      <c r="G186" s="1">
        <v>46057</v>
      </c>
      <c r="H186" t="s">
        <v>14</v>
      </c>
      <c r="I186" s="2">
        <v>243574</v>
      </c>
      <c r="J186">
        <v>264451</v>
      </c>
      <c r="K186" t="s">
        <v>30</v>
      </c>
      <c r="L186" t="str">
        <f t="shared" si="6"/>
        <v>Available</v>
      </c>
      <c r="M186">
        <f t="shared" si="7"/>
        <v>0</v>
      </c>
      <c r="N186">
        <f t="shared" si="8"/>
        <v>1</v>
      </c>
    </row>
    <row r="187" spans="1:14" x14ac:dyDescent="0.35">
      <c r="A187" t="s">
        <v>1743</v>
      </c>
      <c r="B187" t="s">
        <v>152</v>
      </c>
      <c r="C187" t="s">
        <v>300</v>
      </c>
      <c r="D187">
        <v>24.3</v>
      </c>
      <c r="E187" t="s">
        <v>13</v>
      </c>
      <c r="F187" s="1">
        <v>44497</v>
      </c>
      <c r="G187" s="1">
        <v>46057</v>
      </c>
      <c r="H187" t="s">
        <v>14</v>
      </c>
      <c r="I187" t="s">
        <v>2778</v>
      </c>
      <c r="J187">
        <v>266333</v>
      </c>
      <c r="K187" t="s">
        <v>30</v>
      </c>
      <c r="L187" t="str">
        <f t="shared" si="6"/>
        <v>Available</v>
      </c>
      <c r="M187">
        <f t="shared" si="7"/>
        <v>0</v>
      </c>
      <c r="N187">
        <f t="shared" si="8"/>
        <v>1</v>
      </c>
    </row>
    <row r="188" spans="1:14" x14ac:dyDescent="0.35">
      <c r="A188" t="s">
        <v>1744</v>
      </c>
      <c r="B188" t="s">
        <v>302</v>
      </c>
      <c r="C188" t="s">
        <v>301</v>
      </c>
      <c r="D188">
        <v>24</v>
      </c>
      <c r="E188" t="s">
        <v>13</v>
      </c>
      <c r="F188" s="1">
        <v>44500</v>
      </c>
      <c r="G188" s="1">
        <v>46057</v>
      </c>
      <c r="H188" t="s">
        <v>14</v>
      </c>
      <c r="I188" s="2">
        <v>19953888</v>
      </c>
      <c r="J188">
        <v>261605</v>
      </c>
      <c r="K188" t="s">
        <v>30</v>
      </c>
      <c r="L188" t="str">
        <f t="shared" si="6"/>
        <v>Available</v>
      </c>
      <c r="M188">
        <f t="shared" si="7"/>
        <v>0</v>
      </c>
      <c r="N188">
        <f t="shared" si="8"/>
        <v>1</v>
      </c>
    </row>
    <row r="189" spans="1:14" x14ac:dyDescent="0.35">
      <c r="A189" t="s">
        <v>1745</v>
      </c>
      <c r="B189" t="s">
        <v>186</v>
      </c>
      <c r="C189" t="s">
        <v>303</v>
      </c>
      <c r="D189">
        <v>24</v>
      </c>
      <c r="E189" t="s">
        <v>13</v>
      </c>
      <c r="F189" s="1">
        <v>44497</v>
      </c>
      <c r="G189" s="1">
        <v>46059</v>
      </c>
      <c r="H189" t="s">
        <v>14</v>
      </c>
      <c r="I189" s="2">
        <v>3134590</v>
      </c>
      <c r="J189">
        <v>266316</v>
      </c>
      <c r="K189" t="s">
        <v>30</v>
      </c>
      <c r="L189" t="str">
        <f t="shared" si="6"/>
        <v>Available</v>
      </c>
      <c r="M189">
        <f t="shared" si="7"/>
        <v>0</v>
      </c>
      <c r="N189">
        <f t="shared" si="8"/>
        <v>1</v>
      </c>
    </row>
    <row r="190" spans="1:14" x14ac:dyDescent="0.35">
      <c r="A190" t="s">
        <v>1746</v>
      </c>
      <c r="B190" t="s">
        <v>242</v>
      </c>
      <c r="C190" t="s">
        <v>304</v>
      </c>
      <c r="D190">
        <v>16</v>
      </c>
      <c r="E190" t="s">
        <v>13</v>
      </c>
      <c r="F190" s="1">
        <v>44500</v>
      </c>
      <c r="G190" s="1">
        <v>46059</v>
      </c>
      <c r="H190" t="s">
        <v>14</v>
      </c>
      <c r="I190" s="2">
        <v>228597</v>
      </c>
      <c r="J190">
        <v>264278</v>
      </c>
      <c r="K190" t="s">
        <v>30</v>
      </c>
      <c r="L190" t="str">
        <f t="shared" si="6"/>
        <v>Available</v>
      </c>
      <c r="M190">
        <f t="shared" si="7"/>
        <v>0</v>
      </c>
      <c r="N190">
        <f t="shared" si="8"/>
        <v>1</v>
      </c>
    </row>
    <row r="191" spans="1:14" x14ac:dyDescent="0.35">
      <c r="A191" t="s">
        <v>1747</v>
      </c>
      <c r="B191" t="s">
        <v>2814</v>
      </c>
      <c r="C191" t="s">
        <v>305</v>
      </c>
      <c r="D191">
        <v>7.1</v>
      </c>
      <c r="E191" t="s">
        <v>13</v>
      </c>
      <c r="F191" s="1">
        <v>44502</v>
      </c>
      <c r="G191" s="1">
        <v>46059</v>
      </c>
      <c r="H191" t="s">
        <v>14</v>
      </c>
      <c r="I191" s="2">
        <v>25352145</v>
      </c>
      <c r="J191">
        <v>262547</v>
      </c>
      <c r="K191" t="s">
        <v>30</v>
      </c>
      <c r="L191" t="str">
        <f t="shared" si="6"/>
        <v>Available</v>
      </c>
      <c r="M191">
        <f t="shared" si="7"/>
        <v>0</v>
      </c>
      <c r="N191">
        <f t="shared" si="8"/>
        <v>1</v>
      </c>
    </row>
    <row r="192" spans="1:14" x14ac:dyDescent="0.35">
      <c r="A192" t="s">
        <v>1748</v>
      </c>
      <c r="B192" t="s">
        <v>58</v>
      </c>
      <c r="C192" t="s">
        <v>306</v>
      </c>
      <c r="D192">
        <v>21.978764999999999</v>
      </c>
      <c r="E192" t="s">
        <v>35</v>
      </c>
      <c r="F192" s="1">
        <v>44497</v>
      </c>
      <c r="G192" s="1">
        <v>45785</v>
      </c>
      <c r="H192" t="s">
        <v>14</v>
      </c>
      <c r="I192" t="s">
        <v>2778</v>
      </c>
      <c r="J192">
        <v>266345</v>
      </c>
      <c r="K192" t="s">
        <v>30</v>
      </c>
      <c r="L192" t="str">
        <f t="shared" si="6"/>
        <v>Available</v>
      </c>
      <c r="M192">
        <f t="shared" si="7"/>
        <v>0</v>
      </c>
      <c r="N192">
        <f t="shared" si="8"/>
        <v>1</v>
      </c>
    </row>
    <row r="193" spans="1:14" x14ac:dyDescent="0.35">
      <c r="A193" t="s">
        <v>1749</v>
      </c>
      <c r="B193" t="s">
        <v>439</v>
      </c>
      <c r="C193" t="s">
        <v>307</v>
      </c>
      <c r="D193">
        <v>26</v>
      </c>
      <c r="E193" t="s">
        <v>13</v>
      </c>
      <c r="F193" s="1">
        <v>44497</v>
      </c>
      <c r="G193" s="1">
        <v>46059</v>
      </c>
      <c r="H193" t="s">
        <v>14</v>
      </c>
      <c r="I193" s="2">
        <v>16991191</v>
      </c>
      <c r="J193">
        <v>261838</v>
      </c>
      <c r="K193" t="s">
        <v>30</v>
      </c>
      <c r="L193" t="str">
        <f t="shared" si="6"/>
        <v>Available</v>
      </c>
      <c r="M193">
        <f t="shared" si="7"/>
        <v>0</v>
      </c>
      <c r="N193">
        <f t="shared" si="8"/>
        <v>1</v>
      </c>
    </row>
    <row r="194" spans="1:14" x14ac:dyDescent="0.35">
      <c r="A194" t="s">
        <v>1750</v>
      </c>
      <c r="B194" t="s">
        <v>2808</v>
      </c>
      <c r="C194" t="s">
        <v>308</v>
      </c>
      <c r="D194">
        <v>24</v>
      </c>
      <c r="E194" t="s">
        <v>13</v>
      </c>
      <c r="F194" s="1">
        <v>44497</v>
      </c>
      <c r="G194" s="1">
        <v>46060</v>
      </c>
      <c r="H194" t="s">
        <v>14</v>
      </c>
      <c r="I194" s="2">
        <v>36251</v>
      </c>
      <c r="J194">
        <v>267008</v>
      </c>
      <c r="K194" t="s">
        <v>30</v>
      </c>
      <c r="L194" t="str">
        <f t="shared" si="6"/>
        <v>Available</v>
      </c>
      <c r="M194">
        <f t="shared" si="7"/>
        <v>0</v>
      </c>
      <c r="N194">
        <f t="shared" si="8"/>
        <v>1</v>
      </c>
    </row>
    <row r="195" spans="1:14" x14ac:dyDescent="0.35">
      <c r="A195" t="s">
        <v>1751</v>
      </c>
      <c r="B195" t="s">
        <v>2825</v>
      </c>
      <c r="C195" t="s">
        <v>309</v>
      </c>
      <c r="F195" s="1">
        <v>44501</v>
      </c>
      <c r="G195" s="1">
        <v>46059</v>
      </c>
      <c r="H195" t="s">
        <v>14</v>
      </c>
      <c r="I195" t="s">
        <v>2778</v>
      </c>
      <c r="J195">
        <v>264064</v>
      </c>
      <c r="K195" t="s">
        <v>15</v>
      </c>
      <c r="L195" t="str">
        <f t="shared" ref="L195:L258" si="9">IF(OR(B195="",ISBLANK(B195)),"Missing","Available")</f>
        <v>Available</v>
      </c>
      <c r="M195">
        <f t="shared" ref="M195:M258" si="10">IF(K195="Mapped",1,0)</f>
        <v>1</v>
      </c>
      <c r="N195">
        <f t="shared" ref="N195:N258" si="11">IF(AND(B195&lt;&gt;"",A195&lt;&gt;""),1,0)</f>
        <v>1</v>
      </c>
    </row>
    <row r="196" spans="1:14" x14ac:dyDescent="0.35">
      <c r="A196" t="s">
        <v>1752</v>
      </c>
      <c r="B196" t="s">
        <v>369</v>
      </c>
      <c r="C196" t="s">
        <v>311</v>
      </c>
      <c r="D196">
        <v>16</v>
      </c>
      <c r="E196" t="s">
        <v>13</v>
      </c>
      <c r="F196" s="1">
        <v>44497</v>
      </c>
      <c r="G196" s="1">
        <v>46059</v>
      </c>
      <c r="H196" t="s">
        <v>14</v>
      </c>
      <c r="I196" s="2">
        <v>1409099</v>
      </c>
      <c r="J196">
        <v>264475</v>
      </c>
      <c r="K196" t="s">
        <v>30</v>
      </c>
      <c r="L196" t="str">
        <f t="shared" si="9"/>
        <v>Available</v>
      </c>
      <c r="M196">
        <f t="shared" si="10"/>
        <v>0</v>
      </c>
      <c r="N196">
        <f t="shared" si="11"/>
        <v>1</v>
      </c>
    </row>
    <row r="197" spans="1:14" x14ac:dyDescent="0.35">
      <c r="A197" t="s">
        <v>1753</v>
      </c>
      <c r="B197" t="s">
        <v>314</v>
      </c>
      <c r="C197" t="s">
        <v>313</v>
      </c>
      <c r="D197">
        <v>24</v>
      </c>
      <c r="E197" t="s">
        <v>13</v>
      </c>
      <c r="F197" s="1">
        <v>45680</v>
      </c>
      <c r="G197" s="1">
        <v>46057</v>
      </c>
      <c r="H197" t="s">
        <v>14</v>
      </c>
      <c r="I197" s="2">
        <v>28235195</v>
      </c>
      <c r="J197">
        <v>266876</v>
      </c>
      <c r="K197" t="s">
        <v>15</v>
      </c>
      <c r="L197" t="str">
        <f t="shared" si="9"/>
        <v>Available</v>
      </c>
      <c r="M197">
        <f t="shared" si="10"/>
        <v>1</v>
      </c>
      <c r="N197">
        <f t="shared" si="11"/>
        <v>1</v>
      </c>
    </row>
    <row r="198" spans="1:14" x14ac:dyDescent="0.35">
      <c r="A198" t="s">
        <v>1754</v>
      </c>
      <c r="B198" t="s">
        <v>2826</v>
      </c>
      <c r="C198" t="s">
        <v>315</v>
      </c>
      <c r="D198">
        <v>16.5</v>
      </c>
      <c r="E198" t="s">
        <v>13</v>
      </c>
      <c r="F198" s="1">
        <v>45141</v>
      </c>
      <c r="G198" s="1">
        <v>46059</v>
      </c>
      <c r="H198" t="s">
        <v>14</v>
      </c>
      <c r="I198" t="s">
        <v>2778</v>
      </c>
      <c r="J198">
        <v>266423</v>
      </c>
      <c r="K198" t="s">
        <v>15</v>
      </c>
      <c r="L198" t="str">
        <f t="shared" si="9"/>
        <v>Available</v>
      </c>
      <c r="M198">
        <f t="shared" si="10"/>
        <v>1</v>
      </c>
      <c r="N198">
        <f t="shared" si="11"/>
        <v>1</v>
      </c>
    </row>
    <row r="199" spans="1:14" x14ac:dyDescent="0.35">
      <c r="A199" t="s">
        <v>1755</v>
      </c>
      <c r="B199" t="s">
        <v>318</v>
      </c>
      <c r="C199" t="s">
        <v>317</v>
      </c>
      <c r="D199">
        <v>24</v>
      </c>
      <c r="E199" t="s">
        <v>13</v>
      </c>
      <c r="F199" s="1">
        <v>44497</v>
      </c>
      <c r="G199" s="1">
        <v>46059</v>
      </c>
      <c r="H199" t="s">
        <v>14</v>
      </c>
      <c r="I199" t="s">
        <v>2778</v>
      </c>
      <c r="J199">
        <v>264419</v>
      </c>
      <c r="K199" t="s">
        <v>15</v>
      </c>
      <c r="L199" t="str">
        <f t="shared" si="9"/>
        <v>Available</v>
      </c>
      <c r="M199">
        <f t="shared" si="10"/>
        <v>1</v>
      </c>
      <c r="N199">
        <f t="shared" si="11"/>
        <v>1</v>
      </c>
    </row>
    <row r="200" spans="1:14" x14ac:dyDescent="0.35">
      <c r="A200" t="s">
        <v>1756</v>
      </c>
      <c r="B200" t="s">
        <v>27</v>
      </c>
      <c r="C200" t="s">
        <v>319</v>
      </c>
      <c r="D200">
        <v>24</v>
      </c>
      <c r="E200" t="s">
        <v>13</v>
      </c>
      <c r="F200" s="1">
        <v>44497</v>
      </c>
      <c r="G200" s="1">
        <v>46060</v>
      </c>
      <c r="H200" t="s">
        <v>14</v>
      </c>
      <c r="I200" s="2">
        <v>16409122</v>
      </c>
      <c r="J200">
        <v>264087</v>
      </c>
      <c r="K200" t="s">
        <v>30</v>
      </c>
      <c r="L200" t="str">
        <f t="shared" si="9"/>
        <v>Available</v>
      </c>
      <c r="M200">
        <f t="shared" si="10"/>
        <v>0</v>
      </c>
      <c r="N200">
        <f t="shared" si="11"/>
        <v>1</v>
      </c>
    </row>
    <row r="201" spans="1:14" x14ac:dyDescent="0.35">
      <c r="A201" t="s">
        <v>1757</v>
      </c>
      <c r="B201" t="s">
        <v>152</v>
      </c>
      <c r="C201" t="s">
        <v>320</v>
      </c>
      <c r="D201">
        <v>26</v>
      </c>
      <c r="E201" t="s">
        <v>13</v>
      </c>
      <c r="F201" s="1">
        <v>44497</v>
      </c>
      <c r="G201" s="1">
        <v>46057</v>
      </c>
      <c r="H201" t="s">
        <v>14</v>
      </c>
      <c r="I201" s="2">
        <v>17617978</v>
      </c>
      <c r="J201">
        <v>261840</v>
      </c>
      <c r="K201" t="s">
        <v>30</v>
      </c>
      <c r="L201" t="str">
        <f t="shared" si="9"/>
        <v>Available</v>
      </c>
      <c r="M201">
        <f t="shared" si="10"/>
        <v>0</v>
      </c>
      <c r="N201">
        <f t="shared" si="11"/>
        <v>1</v>
      </c>
    </row>
    <row r="202" spans="1:14" x14ac:dyDescent="0.35">
      <c r="A202" t="s">
        <v>1758</v>
      </c>
      <c r="B202" t="s">
        <v>58</v>
      </c>
      <c r="C202" t="s">
        <v>321</v>
      </c>
      <c r="D202">
        <v>21.978764999999999</v>
      </c>
      <c r="E202" t="s">
        <v>35</v>
      </c>
      <c r="F202" s="1">
        <v>44497</v>
      </c>
      <c r="G202" s="1">
        <v>45613</v>
      </c>
      <c r="H202" t="s">
        <v>14</v>
      </c>
      <c r="I202" t="s">
        <v>2778</v>
      </c>
      <c r="J202">
        <v>264703</v>
      </c>
      <c r="K202" t="s">
        <v>30</v>
      </c>
      <c r="L202" t="str">
        <f t="shared" si="9"/>
        <v>Available</v>
      </c>
      <c r="M202">
        <f t="shared" si="10"/>
        <v>0</v>
      </c>
      <c r="N202">
        <f t="shared" si="11"/>
        <v>1</v>
      </c>
    </row>
    <row r="203" spans="1:14" x14ac:dyDescent="0.35">
      <c r="A203" t="s">
        <v>1759</v>
      </c>
      <c r="B203" t="s">
        <v>220</v>
      </c>
      <c r="C203" t="s">
        <v>323</v>
      </c>
      <c r="D203">
        <v>24</v>
      </c>
      <c r="E203" t="s">
        <v>13</v>
      </c>
      <c r="F203" s="1">
        <v>44500</v>
      </c>
      <c r="G203" s="1">
        <v>46054</v>
      </c>
      <c r="H203" t="s">
        <v>14</v>
      </c>
      <c r="I203" s="2">
        <v>110845</v>
      </c>
      <c r="J203">
        <v>264336</v>
      </c>
      <c r="K203" t="s">
        <v>30</v>
      </c>
      <c r="L203" t="str">
        <f t="shared" si="9"/>
        <v>Available</v>
      </c>
      <c r="M203">
        <f t="shared" si="10"/>
        <v>0</v>
      </c>
      <c r="N203">
        <f t="shared" si="11"/>
        <v>1</v>
      </c>
    </row>
    <row r="204" spans="1:14" x14ac:dyDescent="0.35">
      <c r="A204" t="s">
        <v>1760</v>
      </c>
      <c r="B204" t="s">
        <v>147</v>
      </c>
      <c r="C204" t="s">
        <v>324</v>
      </c>
      <c r="D204">
        <v>32</v>
      </c>
      <c r="E204" t="s">
        <v>35</v>
      </c>
      <c r="F204" s="1">
        <v>45159</v>
      </c>
      <c r="G204" s="1">
        <v>46059</v>
      </c>
      <c r="H204" t="s">
        <v>14</v>
      </c>
      <c r="I204" s="2">
        <v>31577329</v>
      </c>
      <c r="J204">
        <v>266286</v>
      </c>
      <c r="K204" t="s">
        <v>15</v>
      </c>
      <c r="L204" t="str">
        <f t="shared" si="9"/>
        <v>Available</v>
      </c>
      <c r="M204">
        <f t="shared" si="10"/>
        <v>1</v>
      </c>
      <c r="N204">
        <f t="shared" si="11"/>
        <v>1</v>
      </c>
    </row>
    <row r="205" spans="1:14" x14ac:dyDescent="0.35">
      <c r="A205" t="s">
        <v>1761</v>
      </c>
      <c r="B205" t="s">
        <v>203</v>
      </c>
      <c r="C205" t="s">
        <v>325</v>
      </c>
      <c r="D205">
        <v>16</v>
      </c>
      <c r="E205" t="s">
        <v>13</v>
      </c>
      <c r="F205" s="1">
        <v>44944</v>
      </c>
      <c r="G205" s="1">
        <v>46059</v>
      </c>
      <c r="H205" t="s">
        <v>14</v>
      </c>
      <c r="I205" s="2">
        <v>26633780</v>
      </c>
      <c r="J205">
        <v>261734</v>
      </c>
      <c r="K205" t="s">
        <v>15</v>
      </c>
      <c r="L205" t="str">
        <f t="shared" si="9"/>
        <v>Available</v>
      </c>
      <c r="M205">
        <f t="shared" si="10"/>
        <v>1</v>
      </c>
      <c r="N205">
        <f t="shared" si="11"/>
        <v>1</v>
      </c>
    </row>
    <row r="206" spans="1:14" x14ac:dyDescent="0.35">
      <c r="A206" t="s">
        <v>1762</v>
      </c>
      <c r="B206" t="s">
        <v>86</v>
      </c>
      <c r="C206" t="s">
        <v>326</v>
      </c>
      <c r="D206">
        <v>28</v>
      </c>
      <c r="E206" t="s">
        <v>13</v>
      </c>
      <c r="F206" s="1">
        <v>44497</v>
      </c>
      <c r="G206" s="1">
        <v>46060</v>
      </c>
      <c r="H206" t="s">
        <v>14</v>
      </c>
      <c r="I206" s="2">
        <v>70095</v>
      </c>
      <c r="J206">
        <v>262642</v>
      </c>
      <c r="K206" t="s">
        <v>30</v>
      </c>
      <c r="L206" t="str">
        <f t="shared" si="9"/>
        <v>Available</v>
      </c>
      <c r="M206">
        <f t="shared" si="10"/>
        <v>0</v>
      </c>
      <c r="N206">
        <f t="shared" si="11"/>
        <v>1</v>
      </c>
    </row>
    <row r="207" spans="1:14" x14ac:dyDescent="0.35">
      <c r="A207" t="s">
        <v>1763</v>
      </c>
      <c r="B207" t="s">
        <v>2803</v>
      </c>
      <c r="C207" t="s">
        <v>327</v>
      </c>
      <c r="D207">
        <v>32</v>
      </c>
      <c r="E207" t="s">
        <v>13</v>
      </c>
      <c r="F207" s="1">
        <v>44497</v>
      </c>
      <c r="G207" s="1">
        <v>46057</v>
      </c>
      <c r="H207" t="s">
        <v>14</v>
      </c>
      <c r="I207" t="s">
        <v>2778</v>
      </c>
      <c r="J207">
        <v>264356</v>
      </c>
      <c r="K207" t="s">
        <v>15</v>
      </c>
      <c r="L207" t="str">
        <f t="shared" si="9"/>
        <v>Available</v>
      </c>
      <c r="M207">
        <f t="shared" si="10"/>
        <v>1</v>
      </c>
      <c r="N207">
        <f t="shared" si="11"/>
        <v>1</v>
      </c>
    </row>
    <row r="208" spans="1:14" x14ac:dyDescent="0.35">
      <c r="A208" t="s">
        <v>1764</v>
      </c>
      <c r="B208" t="s">
        <v>137</v>
      </c>
      <c r="C208" t="s">
        <v>328</v>
      </c>
      <c r="D208">
        <v>21.2</v>
      </c>
      <c r="E208" t="s">
        <v>13</v>
      </c>
      <c r="F208" s="1">
        <v>44538</v>
      </c>
      <c r="G208" s="1">
        <v>46058</v>
      </c>
      <c r="H208" t="s">
        <v>14</v>
      </c>
      <c r="I208" s="2">
        <v>26251381</v>
      </c>
      <c r="J208">
        <v>264129</v>
      </c>
      <c r="K208" t="s">
        <v>30</v>
      </c>
      <c r="L208" t="str">
        <f t="shared" si="9"/>
        <v>Available</v>
      </c>
      <c r="M208">
        <f t="shared" si="10"/>
        <v>0</v>
      </c>
      <c r="N208">
        <f t="shared" si="11"/>
        <v>1</v>
      </c>
    </row>
    <row r="209" spans="1:14" x14ac:dyDescent="0.35">
      <c r="A209" t="s">
        <v>1765</v>
      </c>
      <c r="B209" t="s">
        <v>2827</v>
      </c>
      <c r="C209" t="s">
        <v>329</v>
      </c>
      <c r="D209">
        <v>19.399999999999999</v>
      </c>
      <c r="E209" t="s">
        <v>13</v>
      </c>
      <c r="F209" s="1">
        <v>45679</v>
      </c>
      <c r="G209" s="1">
        <v>46059</v>
      </c>
      <c r="H209" t="s">
        <v>14</v>
      </c>
      <c r="I209" s="2">
        <v>59114020</v>
      </c>
      <c r="J209">
        <v>266931</v>
      </c>
      <c r="K209" t="s">
        <v>15</v>
      </c>
      <c r="L209" t="str">
        <f t="shared" si="9"/>
        <v>Available</v>
      </c>
      <c r="M209">
        <f t="shared" si="10"/>
        <v>1</v>
      </c>
      <c r="N209">
        <f t="shared" si="11"/>
        <v>1</v>
      </c>
    </row>
    <row r="210" spans="1:14" x14ac:dyDescent="0.35">
      <c r="A210" t="s">
        <v>1766</v>
      </c>
      <c r="B210" t="s">
        <v>121</v>
      </c>
      <c r="C210" t="s">
        <v>331</v>
      </c>
      <c r="D210">
        <v>24</v>
      </c>
      <c r="E210" t="s">
        <v>13</v>
      </c>
      <c r="F210" s="1">
        <v>44497</v>
      </c>
      <c r="G210" s="1">
        <v>46059</v>
      </c>
      <c r="H210" t="s">
        <v>14</v>
      </c>
      <c r="I210" s="2">
        <v>2003474</v>
      </c>
      <c r="J210">
        <v>267028</v>
      </c>
      <c r="K210" t="s">
        <v>30</v>
      </c>
      <c r="L210" t="str">
        <f t="shared" si="9"/>
        <v>Available</v>
      </c>
      <c r="M210">
        <f t="shared" si="10"/>
        <v>0</v>
      </c>
      <c r="N210">
        <f t="shared" si="11"/>
        <v>1</v>
      </c>
    </row>
    <row r="211" spans="1:14" x14ac:dyDescent="0.35">
      <c r="A211" t="s">
        <v>1767</v>
      </c>
      <c r="B211" t="s">
        <v>439</v>
      </c>
      <c r="C211" t="s">
        <v>332</v>
      </c>
      <c r="D211">
        <v>24</v>
      </c>
      <c r="E211" t="s">
        <v>13</v>
      </c>
      <c r="F211" s="1">
        <v>44497</v>
      </c>
      <c r="G211" s="1">
        <v>46059</v>
      </c>
      <c r="H211" t="s">
        <v>14</v>
      </c>
      <c r="I211" s="2">
        <v>16246254</v>
      </c>
      <c r="J211">
        <v>264225</v>
      </c>
      <c r="K211" t="s">
        <v>15</v>
      </c>
      <c r="L211" t="str">
        <f t="shared" si="9"/>
        <v>Available</v>
      </c>
      <c r="M211">
        <f t="shared" si="10"/>
        <v>1</v>
      </c>
      <c r="N211">
        <f t="shared" si="11"/>
        <v>1</v>
      </c>
    </row>
    <row r="212" spans="1:14" x14ac:dyDescent="0.35">
      <c r="A212" t="s">
        <v>1768</v>
      </c>
      <c r="B212" t="s">
        <v>334</v>
      </c>
      <c r="C212" t="s">
        <v>333</v>
      </c>
      <c r="D212">
        <v>16.8</v>
      </c>
      <c r="E212" t="s">
        <v>13</v>
      </c>
      <c r="F212" s="1">
        <v>44497</v>
      </c>
      <c r="G212" s="1">
        <v>46059</v>
      </c>
      <c r="H212" t="s">
        <v>14</v>
      </c>
      <c r="I212" s="2">
        <v>137063</v>
      </c>
      <c r="J212">
        <v>264690</v>
      </c>
      <c r="K212" t="s">
        <v>30</v>
      </c>
      <c r="L212" t="str">
        <f t="shared" si="9"/>
        <v>Available</v>
      </c>
      <c r="M212">
        <f t="shared" si="10"/>
        <v>0</v>
      </c>
      <c r="N212">
        <f t="shared" si="11"/>
        <v>1</v>
      </c>
    </row>
    <row r="213" spans="1:14" x14ac:dyDescent="0.35">
      <c r="A213" t="s">
        <v>1769</v>
      </c>
      <c r="B213" t="s">
        <v>336</v>
      </c>
      <c r="C213" t="s">
        <v>335</v>
      </c>
      <c r="D213">
        <v>25</v>
      </c>
      <c r="E213" t="s">
        <v>13</v>
      </c>
      <c r="F213" s="1">
        <v>44497</v>
      </c>
      <c r="G213" s="1">
        <v>46059</v>
      </c>
      <c r="H213" t="s">
        <v>14</v>
      </c>
      <c r="I213" s="2">
        <v>98545</v>
      </c>
      <c r="J213">
        <v>266380</v>
      </c>
      <c r="K213" t="s">
        <v>30</v>
      </c>
      <c r="L213" t="str">
        <f t="shared" si="9"/>
        <v>Available</v>
      </c>
      <c r="M213">
        <f t="shared" si="10"/>
        <v>0</v>
      </c>
      <c r="N213">
        <f t="shared" si="11"/>
        <v>1</v>
      </c>
    </row>
    <row r="214" spans="1:14" x14ac:dyDescent="0.35">
      <c r="A214" t="s">
        <v>1770</v>
      </c>
      <c r="B214" t="s">
        <v>338</v>
      </c>
      <c r="C214" t="s">
        <v>337</v>
      </c>
      <c r="D214">
        <v>20</v>
      </c>
      <c r="E214" t="s">
        <v>13</v>
      </c>
      <c r="F214" s="1">
        <v>45102</v>
      </c>
      <c r="G214" s="1">
        <v>46058</v>
      </c>
      <c r="H214" t="s">
        <v>14</v>
      </c>
      <c r="I214" s="2">
        <v>31998848</v>
      </c>
      <c r="J214">
        <v>261527</v>
      </c>
      <c r="K214" t="s">
        <v>30</v>
      </c>
      <c r="L214" t="str">
        <f t="shared" si="9"/>
        <v>Available</v>
      </c>
      <c r="M214">
        <f t="shared" si="10"/>
        <v>0</v>
      </c>
      <c r="N214">
        <f t="shared" si="11"/>
        <v>1</v>
      </c>
    </row>
    <row r="215" spans="1:14" x14ac:dyDescent="0.35">
      <c r="A215" t="s">
        <v>1771</v>
      </c>
      <c r="B215" t="s">
        <v>47</v>
      </c>
      <c r="C215" t="s">
        <v>339</v>
      </c>
      <c r="D215">
        <v>24</v>
      </c>
      <c r="E215" t="s">
        <v>13</v>
      </c>
      <c r="F215" s="1">
        <v>44497</v>
      </c>
      <c r="G215" s="1">
        <v>46060</v>
      </c>
      <c r="H215" t="s">
        <v>14</v>
      </c>
      <c r="I215" s="2">
        <v>123550</v>
      </c>
      <c r="J215">
        <v>266430</v>
      </c>
      <c r="K215" t="s">
        <v>30</v>
      </c>
      <c r="L215" t="str">
        <f t="shared" si="9"/>
        <v>Available</v>
      </c>
      <c r="M215">
        <f t="shared" si="10"/>
        <v>0</v>
      </c>
      <c r="N215">
        <f t="shared" si="11"/>
        <v>1</v>
      </c>
    </row>
    <row r="216" spans="1:14" x14ac:dyDescent="0.35">
      <c r="A216" t="s">
        <v>1772</v>
      </c>
      <c r="B216" t="s">
        <v>147</v>
      </c>
      <c r="C216" t="s">
        <v>340</v>
      </c>
      <c r="D216">
        <v>24</v>
      </c>
      <c r="E216" t="s">
        <v>13</v>
      </c>
      <c r="F216" s="1">
        <v>44497</v>
      </c>
      <c r="G216" s="1">
        <v>46059</v>
      </c>
      <c r="H216" t="s">
        <v>14</v>
      </c>
      <c r="I216" s="2">
        <v>23898034</v>
      </c>
      <c r="J216">
        <v>261888</v>
      </c>
      <c r="K216" t="s">
        <v>15</v>
      </c>
      <c r="L216" t="str">
        <f t="shared" si="9"/>
        <v>Available</v>
      </c>
      <c r="M216">
        <f t="shared" si="10"/>
        <v>1</v>
      </c>
      <c r="N216">
        <f t="shared" si="11"/>
        <v>1</v>
      </c>
    </row>
    <row r="217" spans="1:14" x14ac:dyDescent="0.35">
      <c r="A217" t="s">
        <v>1773</v>
      </c>
      <c r="B217" t="s">
        <v>291</v>
      </c>
      <c r="C217" t="s">
        <v>341</v>
      </c>
      <c r="D217">
        <v>24</v>
      </c>
      <c r="E217" t="s">
        <v>13</v>
      </c>
      <c r="F217" s="1">
        <v>44497</v>
      </c>
      <c r="G217" s="1">
        <v>46057</v>
      </c>
      <c r="H217" t="s">
        <v>14</v>
      </c>
      <c r="I217" t="s">
        <v>2778</v>
      </c>
      <c r="J217">
        <v>262032</v>
      </c>
      <c r="K217" t="s">
        <v>30</v>
      </c>
      <c r="L217" t="str">
        <f t="shared" si="9"/>
        <v>Available</v>
      </c>
      <c r="M217">
        <f t="shared" si="10"/>
        <v>0</v>
      </c>
      <c r="N217">
        <f t="shared" si="11"/>
        <v>1</v>
      </c>
    </row>
    <row r="218" spans="1:14" x14ac:dyDescent="0.35">
      <c r="A218" t="s">
        <v>1774</v>
      </c>
      <c r="B218" t="s">
        <v>2778</v>
      </c>
      <c r="C218" t="s">
        <v>342</v>
      </c>
      <c r="D218">
        <v>32</v>
      </c>
      <c r="E218" t="s">
        <v>13</v>
      </c>
      <c r="F218" s="1">
        <v>44500</v>
      </c>
      <c r="G218" s="1">
        <v>46057</v>
      </c>
      <c r="H218" t="s">
        <v>14</v>
      </c>
      <c r="I218" t="s">
        <v>2778</v>
      </c>
      <c r="J218">
        <v>266640</v>
      </c>
      <c r="K218" t="s">
        <v>30</v>
      </c>
      <c r="L218" t="str">
        <f t="shared" si="9"/>
        <v>Missing</v>
      </c>
      <c r="M218">
        <f t="shared" si="10"/>
        <v>0</v>
      </c>
      <c r="N218">
        <f t="shared" si="11"/>
        <v>0</v>
      </c>
    </row>
    <row r="219" spans="1:14" x14ac:dyDescent="0.35">
      <c r="A219" t="s">
        <v>1775</v>
      </c>
      <c r="B219" t="s">
        <v>37</v>
      </c>
      <c r="C219" t="s">
        <v>343</v>
      </c>
      <c r="D219">
        <v>26</v>
      </c>
      <c r="E219" t="s">
        <v>13</v>
      </c>
      <c r="F219" s="1">
        <v>44497</v>
      </c>
      <c r="G219" s="1">
        <v>46059</v>
      </c>
      <c r="H219" t="s">
        <v>14</v>
      </c>
      <c r="I219" s="2">
        <v>73868</v>
      </c>
      <c r="J219">
        <v>262213</v>
      </c>
      <c r="K219" t="s">
        <v>15</v>
      </c>
      <c r="L219" t="str">
        <f t="shared" si="9"/>
        <v>Available</v>
      </c>
      <c r="M219">
        <f t="shared" si="10"/>
        <v>1</v>
      </c>
      <c r="N219">
        <f t="shared" si="11"/>
        <v>1</v>
      </c>
    </row>
    <row r="220" spans="1:14" x14ac:dyDescent="0.35">
      <c r="A220" t="s">
        <v>1776</v>
      </c>
      <c r="B220" t="s">
        <v>2778</v>
      </c>
      <c r="C220" t="s">
        <v>344</v>
      </c>
      <c r="D220">
        <v>25</v>
      </c>
      <c r="E220" t="s">
        <v>13</v>
      </c>
      <c r="F220" s="1">
        <v>44500</v>
      </c>
      <c r="G220" s="1">
        <v>46056</v>
      </c>
      <c r="H220" t="s">
        <v>14</v>
      </c>
      <c r="I220" s="2">
        <v>2586915</v>
      </c>
      <c r="J220">
        <v>264049</v>
      </c>
      <c r="K220" t="s">
        <v>15</v>
      </c>
      <c r="L220" t="str">
        <f t="shared" si="9"/>
        <v>Missing</v>
      </c>
      <c r="M220">
        <f t="shared" si="10"/>
        <v>1</v>
      </c>
      <c r="N220">
        <f t="shared" si="11"/>
        <v>0</v>
      </c>
    </row>
    <row r="221" spans="1:14" x14ac:dyDescent="0.35">
      <c r="A221" t="s">
        <v>1777</v>
      </c>
      <c r="B221" t="s">
        <v>346</v>
      </c>
      <c r="C221" t="s">
        <v>345</v>
      </c>
      <c r="D221">
        <v>24.3</v>
      </c>
      <c r="E221" t="s">
        <v>13</v>
      </c>
      <c r="F221" s="1">
        <v>44497</v>
      </c>
      <c r="G221" s="1">
        <v>46059</v>
      </c>
      <c r="H221" t="s">
        <v>14</v>
      </c>
      <c r="I221" s="2">
        <v>80798</v>
      </c>
      <c r="J221">
        <v>266290</v>
      </c>
      <c r="K221" t="s">
        <v>15</v>
      </c>
      <c r="L221" t="str">
        <f t="shared" si="9"/>
        <v>Available</v>
      </c>
      <c r="M221">
        <f t="shared" si="10"/>
        <v>1</v>
      </c>
      <c r="N221">
        <f t="shared" si="11"/>
        <v>1</v>
      </c>
    </row>
    <row r="222" spans="1:14" x14ac:dyDescent="0.35">
      <c r="A222" t="s">
        <v>1778</v>
      </c>
      <c r="B222" t="s">
        <v>47</v>
      </c>
      <c r="C222" t="s">
        <v>347</v>
      </c>
      <c r="D222">
        <v>45</v>
      </c>
      <c r="E222" t="s">
        <v>13</v>
      </c>
      <c r="F222" s="1">
        <v>44497</v>
      </c>
      <c r="G222" s="1">
        <v>46060</v>
      </c>
      <c r="H222" t="s">
        <v>14</v>
      </c>
      <c r="I222" s="2">
        <v>16408773</v>
      </c>
      <c r="J222">
        <v>264045</v>
      </c>
      <c r="K222" t="s">
        <v>30</v>
      </c>
      <c r="L222" t="str">
        <f t="shared" si="9"/>
        <v>Available</v>
      </c>
      <c r="M222">
        <f t="shared" si="10"/>
        <v>0</v>
      </c>
      <c r="N222">
        <f t="shared" si="11"/>
        <v>1</v>
      </c>
    </row>
    <row r="223" spans="1:14" x14ac:dyDescent="0.35">
      <c r="A223" t="s">
        <v>1779</v>
      </c>
      <c r="B223" t="s">
        <v>2795</v>
      </c>
      <c r="C223" t="s">
        <v>349</v>
      </c>
      <c r="D223">
        <v>25</v>
      </c>
      <c r="E223" t="s">
        <v>13</v>
      </c>
      <c r="F223" s="1">
        <v>44497</v>
      </c>
      <c r="G223" s="1">
        <v>46059</v>
      </c>
      <c r="H223" t="s">
        <v>14</v>
      </c>
      <c r="I223" s="2">
        <v>18688750</v>
      </c>
      <c r="J223">
        <v>266317</v>
      </c>
      <c r="K223" t="s">
        <v>30</v>
      </c>
      <c r="L223" t="str">
        <f t="shared" si="9"/>
        <v>Available</v>
      </c>
      <c r="M223">
        <f t="shared" si="10"/>
        <v>0</v>
      </c>
      <c r="N223">
        <f t="shared" si="11"/>
        <v>1</v>
      </c>
    </row>
    <row r="224" spans="1:14" x14ac:dyDescent="0.35">
      <c r="A224" t="s">
        <v>1780</v>
      </c>
      <c r="B224" t="s">
        <v>58</v>
      </c>
      <c r="C224" t="s">
        <v>350</v>
      </c>
      <c r="D224">
        <v>21.978764999999999</v>
      </c>
      <c r="E224" t="s">
        <v>35</v>
      </c>
      <c r="F224" s="1">
        <v>44497</v>
      </c>
      <c r="G224" s="1">
        <v>45813</v>
      </c>
      <c r="H224" t="s">
        <v>14</v>
      </c>
      <c r="I224" t="s">
        <v>2778</v>
      </c>
      <c r="J224">
        <v>264436</v>
      </c>
      <c r="K224" t="s">
        <v>15</v>
      </c>
      <c r="L224" t="str">
        <f t="shared" si="9"/>
        <v>Available</v>
      </c>
      <c r="M224">
        <f t="shared" si="10"/>
        <v>1</v>
      </c>
      <c r="N224">
        <f t="shared" si="11"/>
        <v>1</v>
      </c>
    </row>
    <row r="225" spans="1:14" x14ac:dyDescent="0.35">
      <c r="A225" t="s">
        <v>1781</v>
      </c>
      <c r="B225" t="s">
        <v>58</v>
      </c>
      <c r="C225" t="s">
        <v>351</v>
      </c>
      <c r="D225">
        <v>24</v>
      </c>
      <c r="E225" t="s">
        <v>13</v>
      </c>
      <c r="F225" s="1">
        <v>44497</v>
      </c>
      <c r="G225" s="1">
        <v>46059</v>
      </c>
      <c r="H225" t="s">
        <v>14</v>
      </c>
      <c r="I225" s="2">
        <v>73915</v>
      </c>
      <c r="J225">
        <v>266356</v>
      </c>
      <c r="K225" t="s">
        <v>15</v>
      </c>
      <c r="L225" t="str">
        <f t="shared" si="9"/>
        <v>Available</v>
      </c>
      <c r="M225">
        <f t="shared" si="10"/>
        <v>1</v>
      </c>
      <c r="N225">
        <f t="shared" si="11"/>
        <v>1</v>
      </c>
    </row>
    <row r="226" spans="1:14" x14ac:dyDescent="0.35">
      <c r="A226" t="s">
        <v>1782</v>
      </c>
      <c r="B226" t="s">
        <v>152</v>
      </c>
      <c r="C226" t="s">
        <v>352</v>
      </c>
      <c r="D226">
        <v>25</v>
      </c>
      <c r="E226" t="s">
        <v>35</v>
      </c>
      <c r="F226" s="1">
        <v>44507</v>
      </c>
      <c r="G226" s="1">
        <v>46056</v>
      </c>
      <c r="H226" t="s">
        <v>14</v>
      </c>
      <c r="I226" s="2">
        <v>26025551</v>
      </c>
      <c r="J226">
        <v>267045</v>
      </c>
      <c r="K226" t="s">
        <v>15</v>
      </c>
      <c r="L226" t="str">
        <f t="shared" si="9"/>
        <v>Available</v>
      </c>
      <c r="M226">
        <f t="shared" si="10"/>
        <v>1</v>
      </c>
      <c r="N226">
        <f t="shared" si="11"/>
        <v>1</v>
      </c>
    </row>
    <row r="227" spans="1:14" x14ac:dyDescent="0.35">
      <c r="A227" t="s">
        <v>1783</v>
      </c>
      <c r="B227" t="s">
        <v>2790</v>
      </c>
      <c r="C227" t="s">
        <v>353</v>
      </c>
      <c r="D227">
        <v>9.0909000000000004E-2</v>
      </c>
      <c r="E227" t="s">
        <v>13</v>
      </c>
      <c r="F227" s="1">
        <v>45561</v>
      </c>
      <c r="G227" s="1">
        <v>46045</v>
      </c>
      <c r="H227" t="s">
        <v>14</v>
      </c>
      <c r="I227" t="s">
        <v>2778</v>
      </c>
      <c r="J227">
        <v>266801</v>
      </c>
      <c r="K227" t="s">
        <v>15</v>
      </c>
      <c r="L227" t="str">
        <f t="shared" si="9"/>
        <v>Available</v>
      </c>
      <c r="M227">
        <f t="shared" si="10"/>
        <v>1</v>
      </c>
      <c r="N227">
        <f t="shared" si="11"/>
        <v>1</v>
      </c>
    </row>
    <row r="228" spans="1:14" x14ac:dyDescent="0.35">
      <c r="A228" t="s">
        <v>1784</v>
      </c>
      <c r="B228" t="s">
        <v>2778</v>
      </c>
      <c r="C228" t="s">
        <v>354</v>
      </c>
      <c r="D228">
        <v>24</v>
      </c>
      <c r="E228" t="s">
        <v>13</v>
      </c>
      <c r="F228" s="1">
        <v>44892</v>
      </c>
      <c r="G228" s="1">
        <v>46058</v>
      </c>
      <c r="H228" t="s">
        <v>14</v>
      </c>
      <c r="I228" s="2">
        <v>19516364</v>
      </c>
      <c r="J228">
        <v>266417</v>
      </c>
      <c r="K228" t="s">
        <v>15</v>
      </c>
      <c r="L228" t="str">
        <f t="shared" si="9"/>
        <v>Missing</v>
      </c>
      <c r="M228">
        <f t="shared" si="10"/>
        <v>1</v>
      </c>
      <c r="N228">
        <f t="shared" si="11"/>
        <v>0</v>
      </c>
    </row>
    <row r="229" spans="1:14" x14ac:dyDescent="0.35">
      <c r="A229" t="s">
        <v>1785</v>
      </c>
      <c r="B229" t="s">
        <v>2809</v>
      </c>
      <c r="C229" t="s">
        <v>355</v>
      </c>
      <c r="D229">
        <v>24</v>
      </c>
      <c r="E229" t="s">
        <v>13</v>
      </c>
      <c r="F229" s="1">
        <v>45322</v>
      </c>
      <c r="G229" s="1">
        <v>46059</v>
      </c>
      <c r="H229" t="s">
        <v>14</v>
      </c>
      <c r="I229" s="2">
        <v>36930214</v>
      </c>
      <c r="J229">
        <v>266581</v>
      </c>
      <c r="K229" t="s">
        <v>15</v>
      </c>
      <c r="L229" t="str">
        <f t="shared" si="9"/>
        <v>Available</v>
      </c>
      <c r="M229">
        <f t="shared" si="10"/>
        <v>1</v>
      </c>
      <c r="N229">
        <f t="shared" si="11"/>
        <v>1</v>
      </c>
    </row>
    <row r="230" spans="1:14" x14ac:dyDescent="0.35">
      <c r="A230" t="s">
        <v>1786</v>
      </c>
      <c r="B230" t="s">
        <v>25</v>
      </c>
      <c r="C230" t="s">
        <v>356</v>
      </c>
      <c r="D230">
        <v>24</v>
      </c>
      <c r="E230" t="s">
        <v>13</v>
      </c>
      <c r="F230" s="1">
        <v>44497</v>
      </c>
      <c r="G230" s="1">
        <v>46060</v>
      </c>
      <c r="H230" t="s">
        <v>14</v>
      </c>
      <c r="I230" s="2">
        <v>39349</v>
      </c>
      <c r="J230">
        <v>266411</v>
      </c>
      <c r="K230" t="s">
        <v>15</v>
      </c>
      <c r="L230" t="str">
        <f t="shared" si="9"/>
        <v>Available</v>
      </c>
      <c r="M230">
        <f t="shared" si="10"/>
        <v>1</v>
      </c>
      <c r="N230">
        <f t="shared" si="11"/>
        <v>1</v>
      </c>
    </row>
    <row r="231" spans="1:14" x14ac:dyDescent="0.35">
      <c r="A231" t="s">
        <v>1787</v>
      </c>
      <c r="B231" t="s">
        <v>58</v>
      </c>
      <c r="C231" t="s">
        <v>357</v>
      </c>
      <c r="D231">
        <v>15</v>
      </c>
      <c r="E231" t="s">
        <v>13</v>
      </c>
      <c r="F231" s="1">
        <v>44497</v>
      </c>
      <c r="G231" s="1">
        <v>46059</v>
      </c>
      <c r="H231" t="s">
        <v>14</v>
      </c>
      <c r="I231" s="2">
        <v>143282</v>
      </c>
      <c r="J231">
        <v>262286</v>
      </c>
      <c r="K231" t="s">
        <v>15</v>
      </c>
      <c r="L231" t="str">
        <f t="shared" si="9"/>
        <v>Available</v>
      </c>
      <c r="M231">
        <f t="shared" si="10"/>
        <v>1</v>
      </c>
      <c r="N231">
        <f t="shared" si="11"/>
        <v>1</v>
      </c>
    </row>
    <row r="232" spans="1:14" x14ac:dyDescent="0.35">
      <c r="A232" t="s">
        <v>1788</v>
      </c>
      <c r="B232" t="s">
        <v>47</v>
      </c>
      <c r="C232" t="s">
        <v>358</v>
      </c>
      <c r="D232">
        <v>24</v>
      </c>
      <c r="E232" t="s">
        <v>13</v>
      </c>
      <c r="F232" s="1">
        <v>44497</v>
      </c>
      <c r="G232" s="1">
        <v>46059</v>
      </c>
      <c r="H232" t="s">
        <v>14</v>
      </c>
      <c r="I232" s="2">
        <v>18581123</v>
      </c>
      <c r="J232">
        <v>266915</v>
      </c>
      <c r="K232" t="s">
        <v>15</v>
      </c>
      <c r="L232" t="str">
        <f t="shared" si="9"/>
        <v>Available</v>
      </c>
      <c r="M232">
        <f t="shared" si="10"/>
        <v>1</v>
      </c>
      <c r="N232">
        <f t="shared" si="11"/>
        <v>1</v>
      </c>
    </row>
    <row r="233" spans="1:14" x14ac:dyDescent="0.35">
      <c r="A233" t="s">
        <v>1789</v>
      </c>
      <c r="B233" t="s">
        <v>47</v>
      </c>
      <c r="C233" t="s">
        <v>359</v>
      </c>
      <c r="D233">
        <v>24</v>
      </c>
      <c r="E233" t="s">
        <v>13</v>
      </c>
      <c r="F233" s="1">
        <v>44497</v>
      </c>
      <c r="G233" s="1">
        <v>46060</v>
      </c>
      <c r="H233" t="s">
        <v>14</v>
      </c>
      <c r="I233" s="2">
        <v>39214</v>
      </c>
      <c r="J233">
        <v>261680</v>
      </c>
      <c r="K233" t="s">
        <v>30</v>
      </c>
      <c r="L233" t="str">
        <f t="shared" si="9"/>
        <v>Available</v>
      </c>
      <c r="M233">
        <f t="shared" si="10"/>
        <v>0</v>
      </c>
      <c r="N233">
        <f t="shared" si="11"/>
        <v>1</v>
      </c>
    </row>
    <row r="234" spans="1:14" x14ac:dyDescent="0.35">
      <c r="A234" t="s">
        <v>1790</v>
      </c>
      <c r="B234" t="s">
        <v>25</v>
      </c>
      <c r="C234" t="s">
        <v>119</v>
      </c>
      <c r="D234">
        <v>23.5</v>
      </c>
      <c r="E234" t="s">
        <v>13</v>
      </c>
      <c r="F234" s="1">
        <v>44497</v>
      </c>
      <c r="G234" s="1">
        <v>46059</v>
      </c>
      <c r="H234" t="s">
        <v>14</v>
      </c>
      <c r="I234" s="2">
        <v>27126599</v>
      </c>
      <c r="J234">
        <v>261766</v>
      </c>
      <c r="K234" t="s">
        <v>30</v>
      </c>
      <c r="L234" t="str">
        <f t="shared" si="9"/>
        <v>Available</v>
      </c>
      <c r="M234">
        <f t="shared" si="10"/>
        <v>0</v>
      </c>
      <c r="N234">
        <f t="shared" si="11"/>
        <v>1</v>
      </c>
    </row>
    <row r="235" spans="1:14" x14ac:dyDescent="0.35">
      <c r="A235" t="s">
        <v>1791</v>
      </c>
      <c r="B235" t="s">
        <v>2828</v>
      </c>
      <c r="C235" t="s">
        <v>360</v>
      </c>
      <c r="D235">
        <v>24</v>
      </c>
      <c r="E235" t="s">
        <v>13</v>
      </c>
      <c r="F235" s="1">
        <v>45687</v>
      </c>
      <c r="G235" s="1">
        <v>46059</v>
      </c>
      <c r="H235" t="s">
        <v>14</v>
      </c>
      <c r="I235" s="2">
        <v>66368531</v>
      </c>
      <c r="J235">
        <v>267066</v>
      </c>
      <c r="K235" t="s">
        <v>30</v>
      </c>
      <c r="L235" t="str">
        <f t="shared" si="9"/>
        <v>Available</v>
      </c>
      <c r="M235">
        <f t="shared" si="10"/>
        <v>0</v>
      </c>
      <c r="N235">
        <f t="shared" si="11"/>
        <v>1</v>
      </c>
    </row>
    <row r="236" spans="1:14" x14ac:dyDescent="0.35">
      <c r="A236" t="s">
        <v>1792</v>
      </c>
      <c r="B236" t="s">
        <v>2829</v>
      </c>
      <c r="C236" t="s">
        <v>362</v>
      </c>
      <c r="D236">
        <v>13</v>
      </c>
      <c r="E236" t="s">
        <v>13</v>
      </c>
      <c r="F236" s="1">
        <v>44497</v>
      </c>
      <c r="G236" s="1">
        <v>46058</v>
      </c>
      <c r="H236" t="s">
        <v>14</v>
      </c>
      <c r="I236" s="2">
        <v>17554703</v>
      </c>
      <c r="J236">
        <v>266641</v>
      </c>
      <c r="K236" t="s">
        <v>15</v>
      </c>
      <c r="L236" t="str">
        <f t="shared" si="9"/>
        <v>Available</v>
      </c>
      <c r="M236">
        <f t="shared" si="10"/>
        <v>1</v>
      </c>
      <c r="N236">
        <f t="shared" si="11"/>
        <v>1</v>
      </c>
    </row>
    <row r="237" spans="1:14" x14ac:dyDescent="0.35">
      <c r="A237" t="s">
        <v>1793</v>
      </c>
      <c r="B237" t="s">
        <v>2830</v>
      </c>
      <c r="C237" t="s">
        <v>364</v>
      </c>
      <c r="D237">
        <v>15</v>
      </c>
      <c r="E237" t="s">
        <v>13</v>
      </c>
      <c r="F237" s="1">
        <v>45210</v>
      </c>
      <c r="G237" s="1">
        <v>45961</v>
      </c>
      <c r="H237" t="s">
        <v>14</v>
      </c>
      <c r="I237" t="s">
        <v>2778</v>
      </c>
      <c r="J237">
        <v>261758</v>
      </c>
      <c r="K237" t="s">
        <v>15</v>
      </c>
      <c r="L237" t="str">
        <f t="shared" si="9"/>
        <v>Available</v>
      </c>
      <c r="M237">
        <f t="shared" si="10"/>
        <v>1</v>
      </c>
      <c r="N237">
        <f t="shared" si="11"/>
        <v>1</v>
      </c>
    </row>
    <row r="238" spans="1:14" x14ac:dyDescent="0.35">
      <c r="A238" t="s">
        <v>1794</v>
      </c>
      <c r="B238" t="s">
        <v>47</v>
      </c>
      <c r="C238" t="s">
        <v>366</v>
      </c>
      <c r="D238">
        <v>24</v>
      </c>
      <c r="E238" t="s">
        <v>13</v>
      </c>
      <c r="F238" s="1">
        <v>44497</v>
      </c>
      <c r="G238" s="1">
        <v>46060</v>
      </c>
      <c r="H238" t="s">
        <v>14</v>
      </c>
      <c r="I238" s="2">
        <v>77103</v>
      </c>
      <c r="J238">
        <v>264273</v>
      </c>
      <c r="K238" t="s">
        <v>30</v>
      </c>
      <c r="L238" t="str">
        <f t="shared" si="9"/>
        <v>Available</v>
      </c>
      <c r="M238">
        <f t="shared" si="10"/>
        <v>0</v>
      </c>
      <c r="N238">
        <f t="shared" si="11"/>
        <v>1</v>
      </c>
    </row>
    <row r="239" spans="1:14" x14ac:dyDescent="0.35">
      <c r="A239" t="s">
        <v>1795</v>
      </c>
      <c r="B239" t="s">
        <v>2778</v>
      </c>
      <c r="C239" t="s">
        <v>367</v>
      </c>
      <c r="D239">
        <v>24</v>
      </c>
      <c r="E239" t="s">
        <v>13</v>
      </c>
      <c r="F239" s="1">
        <v>44497</v>
      </c>
      <c r="G239" s="1">
        <v>46058</v>
      </c>
      <c r="H239" t="s">
        <v>14</v>
      </c>
      <c r="I239" s="2">
        <v>16792964</v>
      </c>
      <c r="J239">
        <v>266431</v>
      </c>
      <c r="K239" t="s">
        <v>15</v>
      </c>
      <c r="L239" t="str">
        <f t="shared" si="9"/>
        <v>Missing</v>
      </c>
      <c r="M239">
        <f t="shared" si="10"/>
        <v>1</v>
      </c>
      <c r="N239">
        <f t="shared" si="11"/>
        <v>0</v>
      </c>
    </row>
    <row r="240" spans="1:14" x14ac:dyDescent="0.35">
      <c r="A240" t="s">
        <v>1796</v>
      </c>
      <c r="B240" t="s">
        <v>369</v>
      </c>
      <c r="C240" t="s">
        <v>368</v>
      </c>
      <c r="D240">
        <v>15</v>
      </c>
      <c r="E240" t="s">
        <v>13</v>
      </c>
      <c r="F240" s="1">
        <v>45238</v>
      </c>
      <c r="G240" s="1">
        <v>46059</v>
      </c>
      <c r="H240" t="s">
        <v>14</v>
      </c>
      <c r="I240" s="2">
        <v>33264218</v>
      </c>
      <c r="J240">
        <v>264109</v>
      </c>
      <c r="K240" t="s">
        <v>30</v>
      </c>
      <c r="L240" t="str">
        <f t="shared" si="9"/>
        <v>Available</v>
      </c>
      <c r="M240">
        <f t="shared" si="10"/>
        <v>0</v>
      </c>
      <c r="N240">
        <f t="shared" si="11"/>
        <v>1</v>
      </c>
    </row>
    <row r="241" spans="1:14" x14ac:dyDescent="0.35">
      <c r="A241" t="s">
        <v>1797</v>
      </c>
      <c r="B241" t="s">
        <v>2831</v>
      </c>
      <c r="C241" t="s">
        <v>370</v>
      </c>
      <c r="D241">
        <v>25</v>
      </c>
      <c r="E241" t="s">
        <v>13</v>
      </c>
      <c r="F241" s="1">
        <v>44969</v>
      </c>
      <c r="G241" s="1">
        <v>46056</v>
      </c>
      <c r="H241" t="s">
        <v>14</v>
      </c>
      <c r="I241" t="s">
        <v>2778</v>
      </c>
      <c r="J241">
        <v>267013</v>
      </c>
      <c r="K241" t="s">
        <v>30</v>
      </c>
      <c r="L241" t="str">
        <f t="shared" si="9"/>
        <v>Available</v>
      </c>
      <c r="M241">
        <f t="shared" si="10"/>
        <v>0</v>
      </c>
      <c r="N241">
        <f t="shared" si="11"/>
        <v>1</v>
      </c>
    </row>
    <row r="242" spans="1:14" x14ac:dyDescent="0.35">
      <c r="A242" t="s">
        <v>1798</v>
      </c>
      <c r="B242" t="s">
        <v>373</v>
      </c>
      <c r="C242" t="s">
        <v>372</v>
      </c>
      <c r="D242">
        <v>17.921147000000001</v>
      </c>
      <c r="E242" t="s">
        <v>35</v>
      </c>
      <c r="F242" s="1">
        <v>44497</v>
      </c>
      <c r="G242" s="1">
        <v>45830</v>
      </c>
      <c r="H242" t="s">
        <v>14</v>
      </c>
      <c r="I242" t="s">
        <v>2778</v>
      </c>
      <c r="J242">
        <v>266342</v>
      </c>
      <c r="K242" t="s">
        <v>15</v>
      </c>
      <c r="L242" t="str">
        <f t="shared" si="9"/>
        <v>Available</v>
      </c>
      <c r="M242">
        <f t="shared" si="10"/>
        <v>1</v>
      </c>
      <c r="N242">
        <f t="shared" si="11"/>
        <v>1</v>
      </c>
    </row>
    <row r="243" spans="1:14" x14ac:dyDescent="0.35">
      <c r="A243" t="s">
        <v>1799</v>
      </c>
      <c r="B243" t="s">
        <v>2821</v>
      </c>
      <c r="C243" t="s">
        <v>374</v>
      </c>
      <c r="D243">
        <v>25</v>
      </c>
      <c r="E243" t="s">
        <v>13</v>
      </c>
      <c r="F243" s="1">
        <v>44497</v>
      </c>
      <c r="G243" s="1">
        <v>46058</v>
      </c>
      <c r="H243" t="s">
        <v>14</v>
      </c>
      <c r="I243" t="s">
        <v>2778</v>
      </c>
      <c r="J243">
        <v>266293</v>
      </c>
      <c r="K243" t="s">
        <v>15</v>
      </c>
      <c r="L243" t="str">
        <f t="shared" si="9"/>
        <v>Available</v>
      </c>
      <c r="M243">
        <f t="shared" si="10"/>
        <v>1</v>
      </c>
      <c r="N243">
        <f t="shared" si="11"/>
        <v>1</v>
      </c>
    </row>
    <row r="244" spans="1:14" x14ac:dyDescent="0.35">
      <c r="A244" t="s">
        <v>1800</v>
      </c>
      <c r="B244" t="s">
        <v>2804</v>
      </c>
      <c r="C244" t="s">
        <v>375</v>
      </c>
      <c r="D244">
        <v>24</v>
      </c>
      <c r="E244" t="s">
        <v>13</v>
      </c>
      <c r="F244" s="1">
        <v>44497</v>
      </c>
      <c r="G244" s="1">
        <v>46060</v>
      </c>
      <c r="H244" t="s">
        <v>14</v>
      </c>
      <c r="I244" s="2">
        <v>19974011</v>
      </c>
      <c r="J244">
        <v>264558</v>
      </c>
      <c r="K244" t="s">
        <v>15</v>
      </c>
      <c r="L244" t="str">
        <f t="shared" si="9"/>
        <v>Available</v>
      </c>
      <c r="M244">
        <f t="shared" si="10"/>
        <v>1</v>
      </c>
      <c r="N244">
        <f t="shared" si="11"/>
        <v>1</v>
      </c>
    </row>
    <row r="245" spans="1:14" x14ac:dyDescent="0.35">
      <c r="A245" t="s">
        <v>1801</v>
      </c>
      <c r="B245" t="s">
        <v>2789</v>
      </c>
      <c r="C245" t="s">
        <v>376</v>
      </c>
      <c r="D245">
        <v>32</v>
      </c>
      <c r="E245" t="s">
        <v>13</v>
      </c>
      <c r="F245" s="1">
        <v>44497</v>
      </c>
      <c r="G245" s="1">
        <v>46059</v>
      </c>
      <c r="H245" t="s">
        <v>14</v>
      </c>
      <c r="I245" s="2">
        <v>16948718</v>
      </c>
      <c r="J245">
        <v>266362</v>
      </c>
      <c r="K245" t="s">
        <v>15</v>
      </c>
      <c r="L245" t="str">
        <f t="shared" si="9"/>
        <v>Available</v>
      </c>
      <c r="M245">
        <f t="shared" si="10"/>
        <v>1</v>
      </c>
      <c r="N245">
        <f t="shared" si="11"/>
        <v>1</v>
      </c>
    </row>
    <row r="246" spans="1:14" x14ac:dyDescent="0.35">
      <c r="A246" t="s">
        <v>1802</v>
      </c>
      <c r="B246" t="s">
        <v>200</v>
      </c>
      <c r="C246" t="s">
        <v>377</v>
      </c>
      <c r="D246">
        <v>26</v>
      </c>
      <c r="E246" t="s">
        <v>13</v>
      </c>
      <c r="F246" s="1">
        <v>44497</v>
      </c>
      <c r="G246" s="1">
        <v>46059</v>
      </c>
      <c r="H246" t="s">
        <v>14</v>
      </c>
      <c r="I246" s="2">
        <v>1389848</v>
      </c>
      <c r="J246">
        <v>262583</v>
      </c>
      <c r="K246" t="s">
        <v>15</v>
      </c>
      <c r="L246" t="str">
        <f t="shared" si="9"/>
        <v>Available</v>
      </c>
      <c r="M246">
        <f t="shared" si="10"/>
        <v>1</v>
      </c>
      <c r="N246">
        <f t="shared" si="11"/>
        <v>1</v>
      </c>
    </row>
    <row r="247" spans="1:14" x14ac:dyDescent="0.35">
      <c r="A247" t="s">
        <v>1803</v>
      </c>
      <c r="B247" t="s">
        <v>2832</v>
      </c>
      <c r="C247" t="s">
        <v>378</v>
      </c>
      <c r="D247">
        <v>26</v>
      </c>
      <c r="E247" t="s">
        <v>13</v>
      </c>
      <c r="F247" s="1">
        <v>44497</v>
      </c>
      <c r="G247" s="1">
        <v>46059</v>
      </c>
      <c r="H247" t="s">
        <v>14</v>
      </c>
      <c r="I247" s="2">
        <v>232483</v>
      </c>
      <c r="J247">
        <v>266828</v>
      </c>
      <c r="K247" t="s">
        <v>15</v>
      </c>
      <c r="L247" t="str">
        <f t="shared" si="9"/>
        <v>Available</v>
      </c>
      <c r="M247">
        <f t="shared" si="10"/>
        <v>1</v>
      </c>
      <c r="N247">
        <f t="shared" si="11"/>
        <v>1</v>
      </c>
    </row>
    <row r="248" spans="1:14" x14ac:dyDescent="0.35">
      <c r="A248" t="s">
        <v>1804</v>
      </c>
      <c r="B248" t="s">
        <v>381</v>
      </c>
      <c r="C248" t="s">
        <v>380</v>
      </c>
      <c r="D248">
        <v>24</v>
      </c>
      <c r="E248" t="s">
        <v>13</v>
      </c>
      <c r="F248" s="1">
        <v>44497</v>
      </c>
      <c r="G248" s="1">
        <v>46059</v>
      </c>
      <c r="H248" t="s">
        <v>14</v>
      </c>
      <c r="I248" s="2">
        <v>18283099</v>
      </c>
      <c r="J248">
        <v>264297</v>
      </c>
      <c r="K248" t="s">
        <v>15</v>
      </c>
      <c r="L248" t="str">
        <f t="shared" si="9"/>
        <v>Available</v>
      </c>
      <c r="M248">
        <f t="shared" si="10"/>
        <v>1</v>
      </c>
      <c r="N248">
        <f t="shared" si="11"/>
        <v>1</v>
      </c>
    </row>
    <row r="249" spans="1:14" x14ac:dyDescent="0.35">
      <c r="A249" t="s">
        <v>1805</v>
      </c>
      <c r="B249" t="s">
        <v>314</v>
      </c>
      <c r="C249" t="s">
        <v>382</v>
      </c>
      <c r="D249">
        <v>24</v>
      </c>
      <c r="E249" t="s">
        <v>13</v>
      </c>
      <c r="F249" s="1">
        <v>45680</v>
      </c>
      <c r="G249" s="1">
        <v>46057</v>
      </c>
      <c r="H249" t="s">
        <v>14</v>
      </c>
      <c r="I249" s="2">
        <v>64188277</v>
      </c>
      <c r="J249">
        <v>266305</v>
      </c>
      <c r="K249" t="s">
        <v>15</v>
      </c>
      <c r="L249" t="str">
        <f t="shared" si="9"/>
        <v>Available</v>
      </c>
      <c r="M249">
        <f t="shared" si="10"/>
        <v>1</v>
      </c>
      <c r="N249">
        <f t="shared" si="11"/>
        <v>1</v>
      </c>
    </row>
    <row r="250" spans="1:14" x14ac:dyDescent="0.35">
      <c r="A250" t="s">
        <v>1806</v>
      </c>
      <c r="B250" t="s">
        <v>384</v>
      </c>
      <c r="C250" t="s">
        <v>383</v>
      </c>
      <c r="D250">
        <v>16</v>
      </c>
      <c r="E250" t="s">
        <v>13</v>
      </c>
      <c r="F250" s="1">
        <v>44500</v>
      </c>
      <c r="G250" s="1">
        <v>46057</v>
      </c>
      <c r="H250" t="s">
        <v>14</v>
      </c>
      <c r="I250" t="s">
        <v>2778</v>
      </c>
      <c r="J250">
        <v>261736</v>
      </c>
      <c r="K250" t="s">
        <v>30</v>
      </c>
      <c r="L250" t="str">
        <f t="shared" si="9"/>
        <v>Available</v>
      </c>
      <c r="M250">
        <f t="shared" si="10"/>
        <v>0</v>
      </c>
      <c r="N250">
        <f t="shared" si="11"/>
        <v>1</v>
      </c>
    </row>
    <row r="251" spans="1:14" x14ac:dyDescent="0.35">
      <c r="A251" t="s">
        <v>1807</v>
      </c>
      <c r="B251" t="s">
        <v>137</v>
      </c>
      <c r="C251" t="s">
        <v>386</v>
      </c>
      <c r="D251">
        <v>21.2</v>
      </c>
      <c r="E251" t="s">
        <v>13</v>
      </c>
      <c r="F251" s="1">
        <v>44538</v>
      </c>
      <c r="G251" s="1">
        <v>46058</v>
      </c>
      <c r="H251" t="s">
        <v>14</v>
      </c>
      <c r="I251" s="2">
        <v>26251302</v>
      </c>
      <c r="J251">
        <v>264746</v>
      </c>
      <c r="K251" t="s">
        <v>15</v>
      </c>
      <c r="L251" t="str">
        <f t="shared" si="9"/>
        <v>Available</v>
      </c>
      <c r="M251">
        <f t="shared" si="10"/>
        <v>1</v>
      </c>
      <c r="N251">
        <f t="shared" si="11"/>
        <v>1</v>
      </c>
    </row>
    <row r="252" spans="1:14" x14ac:dyDescent="0.35">
      <c r="A252" t="s">
        <v>1808</v>
      </c>
      <c r="B252" t="s">
        <v>2833</v>
      </c>
      <c r="C252" t="s">
        <v>387</v>
      </c>
      <c r="D252">
        <v>24</v>
      </c>
      <c r="E252" t="s">
        <v>13</v>
      </c>
      <c r="F252" s="1">
        <v>44500</v>
      </c>
      <c r="G252" s="1">
        <v>46057</v>
      </c>
      <c r="H252" t="s">
        <v>14</v>
      </c>
      <c r="I252" t="s">
        <v>2778</v>
      </c>
      <c r="J252">
        <v>261531</v>
      </c>
      <c r="K252" t="s">
        <v>15</v>
      </c>
      <c r="L252" t="str">
        <f t="shared" si="9"/>
        <v>Available</v>
      </c>
      <c r="M252">
        <f t="shared" si="10"/>
        <v>1</v>
      </c>
      <c r="N252">
        <f t="shared" si="11"/>
        <v>1</v>
      </c>
    </row>
    <row r="253" spans="1:14" x14ac:dyDescent="0.35">
      <c r="A253" t="s">
        <v>1809</v>
      </c>
      <c r="B253" t="s">
        <v>485</v>
      </c>
      <c r="C253" t="s">
        <v>389</v>
      </c>
      <c r="D253">
        <v>16.5</v>
      </c>
      <c r="E253" t="s">
        <v>13</v>
      </c>
      <c r="F253" s="1">
        <v>45141</v>
      </c>
      <c r="G253" s="1">
        <v>46057</v>
      </c>
      <c r="H253" t="s">
        <v>14</v>
      </c>
      <c r="I253" t="s">
        <v>2778</v>
      </c>
      <c r="J253">
        <v>266564</v>
      </c>
      <c r="K253" t="s">
        <v>30</v>
      </c>
      <c r="L253" t="str">
        <f t="shared" si="9"/>
        <v>Available</v>
      </c>
      <c r="M253">
        <f t="shared" si="10"/>
        <v>0</v>
      </c>
      <c r="N253">
        <f t="shared" si="11"/>
        <v>1</v>
      </c>
    </row>
    <row r="254" spans="1:14" x14ac:dyDescent="0.35">
      <c r="A254" t="s">
        <v>1810</v>
      </c>
      <c r="B254" t="s">
        <v>392</v>
      </c>
      <c r="C254" t="s">
        <v>391</v>
      </c>
      <c r="D254">
        <v>25</v>
      </c>
      <c r="E254" t="s">
        <v>13</v>
      </c>
      <c r="F254" s="1">
        <v>44497</v>
      </c>
      <c r="G254" s="1">
        <v>46059</v>
      </c>
      <c r="H254" t="s">
        <v>14</v>
      </c>
      <c r="I254" s="2">
        <v>16400724</v>
      </c>
      <c r="J254">
        <v>264029</v>
      </c>
      <c r="K254" t="s">
        <v>15</v>
      </c>
      <c r="L254" t="str">
        <f t="shared" si="9"/>
        <v>Available</v>
      </c>
      <c r="M254">
        <f t="shared" si="10"/>
        <v>1</v>
      </c>
      <c r="N254">
        <f t="shared" si="11"/>
        <v>1</v>
      </c>
    </row>
    <row r="255" spans="1:14" x14ac:dyDescent="0.35">
      <c r="A255" t="s">
        <v>1811</v>
      </c>
      <c r="B255" t="s">
        <v>25</v>
      </c>
      <c r="C255" t="s">
        <v>393</v>
      </c>
      <c r="D255">
        <v>24</v>
      </c>
      <c r="E255" t="s">
        <v>13</v>
      </c>
      <c r="F255" s="1">
        <v>44727</v>
      </c>
      <c r="G255" s="1">
        <v>46059</v>
      </c>
      <c r="H255" t="s">
        <v>14</v>
      </c>
      <c r="I255" s="2">
        <v>27126675</v>
      </c>
      <c r="J255">
        <v>266409</v>
      </c>
      <c r="K255" t="s">
        <v>30</v>
      </c>
      <c r="L255" t="str">
        <f t="shared" si="9"/>
        <v>Available</v>
      </c>
      <c r="M255">
        <f t="shared" si="10"/>
        <v>0</v>
      </c>
      <c r="N255">
        <f t="shared" si="11"/>
        <v>1</v>
      </c>
    </row>
    <row r="256" spans="1:14" x14ac:dyDescent="0.35">
      <c r="A256" t="s">
        <v>1812</v>
      </c>
      <c r="B256" t="s">
        <v>2809</v>
      </c>
      <c r="C256" t="s">
        <v>394</v>
      </c>
      <c r="D256">
        <v>44</v>
      </c>
      <c r="E256" t="s">
        <v>13</v>
      </c>
      <c r="F256" s="1">
        <v>45526</v>
      </c>
      <c r="G256" s="1">
        <v>46058</v>
      </c>
      <c r="H256" t="s">
        <v>14</v>
      </c>
      <c r="I256" s="2">
        <v>56218215</v>
      </c>
      <c r="J256">
        <v>262647</v>
      </c>
      <c r="K256" t="s">
        <v>15</v>
      </c>
      <c r="L256" t="str">
        <f t="shared" si="9"/>
        <v>Available</v>
      </c>
      <c r="M256">
        <f t="shared" si="10"/>
        <v>1</v>
      </c>
      <c r="N256">
        <f t="shared" si="11"/>
        <v>1</v>
      </c>
    </row>
    <row r="257" spans="1:14" x14ac:dyDescent="0.35">
      <c r="A257" t="s">
        <v>1813</v>
      </c>
      <c r="B257" t="s">
        <v>2778</v>
      </c>
      <c r="C257" t="s">
        <v>395</v>
      </c>
      <c r="D257">
        <v>24</v>
      </c>
      <c r="E257" t="s">
        <v>13</v>
      </c>
      <c r="F257" s="1">
        <v>45277</v>
      </c>
      <c r="G257" s="1">
        <v>46054</v>
      </c>
      <c r="H257" t="s">
        <v>14</v>
      </c>
      <c r="I257" t="s">
        <v>2778</v>
      </c>
      <c r="J257">
        <v>266650</v>
      </c>
      <c r="K257" t="s">
        <v>30</v>
      </c>
      <c r="L257" t="str">
        <f t="shared" si="9"/>
        <v>Missing</v>
      </c>
      <c r="M257">
        <f t="shared" si="10"/>
        <v>0</v>
      </c>
      <c r="N257">
        <f t="shared" si="11"/>
        <v>0</v>
      </c>
    </row>
    <row r="258" spans="1:14" x14ac:dyDescent="0.35">
      <c r="A258" t="s">
        <v>1814</v>
      </c>
      <c r="B258" t="s">
        <v>439</v>
      </c>
      <c r="C258" t="s">
        <v>396</v>
      </c>
      <c r="D258">
        <v>26</v>
      </c>
      <c r="E258" t="s">
        <v>13</v>
      </c>
      <c r="F258" s="1">
        <v>44497</v>
      </c>
      <c r="G258" s="1">
        <v>46059</v>
      </c>
      <c r="H258" t="s">
        <v>14</v>
      </c>
      <c r="I258" s="2">
        <v>196353</v>
      </c>
      <c r="J258">
        <v>264190</v>
      </c>
      <c r="K258" t="s">
        <v>15</v>
      </c>
      <c r="L258" t="str">
        <f t="shared" si="9"/>
        <v>Available</v>
      </c>
      <c r="M258">
        <f t="shared" si="10"/>
        <v>1</v>
      </c>
      <c r="N258">
        <f t="shared" si="11"/>
        <v>1</v>
      </c>
    </row>
    <row r="259" spans="1:14" x14ac:dyDescent="0.35">
      <c r="A259" t="s">
        <v>1815</v>
      </c>
      <c r="B259" t="s">
        <v>2778</v>
      </c>
      <c r="C259" t="s">
        <v>397</v>
      </c>
      <c r="D259">
        <v>24</v>
      </c>
      <c r="E259" t="s">
        <v>13</v>
      </c>
      <c r="F259" s="1">
        <v>44497</v>
      </c>
      <c r="G259" s="1">
        <v>46058</v>
      </c>
      <c r="H259" t="s">
        <v>14</v>
      </c>
      <c r="I259" s="2">
        <v>19536888</v>
      </c>
      <c r="J259">
        <v>264227</v>
      </c>
      <c r="K259" t="s">
        <v>15</v>
      </c>
      <c r="L259" t="str">
        <f t="shared" ref="L259:L322" si="12">IF(OR(B259="",ISBLANK(B259)),"Missing","Available")</f>
        <v>Missing</v>
      </c>
      <c r="M259">
        <f t="shared" ref="M259:M322" si="13">IF(K259="Mapped",1,0)</f>
        <v>1</v>
      </c>
      <c r="N259">
        <f t="shared" ref="N259:N322" si="14">IF(AND(B259&lt;&gt;"",A259&lt;&gt;""),1,0)</f>
        <v>0</v>
      </c>
    </row>
    <row r="260" spans="1:14" x14ac:dyDescent="0.35">
      <c r="A260" t="s">
        <v>1816</v>
      </c>
      <c r="B260" t="s">
        <v>2831</v>
      </c>
      <c r="C260" t="s">
        <v>398</v>
      </c>
      <c r="D260">
        <v>25</v>
      </c>
      <c r="E260" t="s">
        <v>13</v>
      </c>
      <c r="F260" s="1">
        <v>44752</v>
      </c>
      <c r="G260" s="1">
        <v>46057</v>
      </c>
      <c r="H260" t="s">
        <v>14</v>
      </c>
      <c r="I260" s="2">
        <v>26604723</v>
      </c>
      <c r="J260">
        <v>264568</v>
      </c>
      <c r="K260" t="s">
        <v>30</v>
      </c>
      <c r="L260" t="str">
        <f t="shared" si="12"/>
        <v>Available</v>
      </c>
      <c r="M260">
        <f t="shared" si="13"/>
        <v>0</v>
      </c>
      <c r="N260">
        <f t="shared" si="14"/>
        <v>1</v>
      </c>
    </row>
    <row r="261" spans="1:14" x14ac:dyDescent="0.35">
      <c r="A261" t="s">
        <v>1817</v>
      </c>
      <c r="B261" t="s">
        <v>400</v>
      </c>
      <c r="C261" t="s">
        <v>399</v>
      </c>
      <c r="D261">
        <v>25</v>
      </c>
      <c r="E261" t="s">
        <v>13</v>
      </c>
      <c r="F261" s="1">
        <v>45435</v>
      </c>
      <c r="G261" s="1">
        <v>46059</v>
      </c>
      <c r="H261" t="s">
        <v>14</v>
      </c>
      <c r="I261" s="2">
        <v>41164273</v>
      </c>
      <c r="J261">
        <v>261599</v>
      </c>
      <c r="K261" t="s">
        <v>30</v>
      </c>
      <c r="L261" t="str">
        <f t="shared" si="12"/>
        <v>Available</v>
      </c>
      <c r="M261">
        <f t="shared" si="13"/>
        <v>0</v>
      </c>
      <c r="N261">
        <f t="shared" si="14"/>
        <v>1</v>
      </c>
    </row>
    <row r="262" spans="1:14" x14ac:dyDescent="0.35">
      <c r="A262" t="s">
        <v>1818</v>
      </c>
      <c r="B262" t="s">
        <v>402</v>
      </c>
      <c r="C262" t="s">
        <v>401</v>
      </c>
      <c r="D262">
        <v>24</v>
      </c>
      <c r="E262" t="s">
        <v>13</v>
      </c>
      <c r="F262" s="1">
        <v>44497</v>
      </c>
      <c r="G262" s="1">
        <v>46059</v>
      </c>
      <c r="H262" t="s">
        <v>14</v>
      </c>
      <c r="I262" s="2">
        <v>73928</v>
      </c>
      <c r="J262">
        <v>261519</v>
      </c>
      <c r="K262" t="s">
        <v>15</v>
      </c>
      <c r="L262" t="str">
        <f t="shared" si="12"/>
        <v>Available</v>
      </c>
      <c r="M262">
        <f t="shared" si="13"/>
        <v>1</v>
      </c>
      <c r="N262">
        <f t="shared" si="14"/>
        <v>1</v>
      </c>
    </row>
    <row r="263" spans="1:14" x14ac:dyDescent="0.35">
      <c r="A263" t="s">
        <v>1819</v>
      </c>
      <c r="B263" t="s">
        <v>47</v>
      </c>
      <c r="C263" t="s">
        <v>403</v>
      </c>
      <c r="D263">
        <v>24</v>
      </c>
      <c r="E263" t="s">
        <v>13</v>
      </c>
      <c r="F263" s="1">
        <v>44497</v>
      </c>
      <c r="G263" s="1">
        <v>46060</v>
      </c>
      <c r="H263" t="s">
        <v>14</v>
      </c>
      <c r="I263" s="2">
        <v>143265</v>
      </c>
      <c r="J263">
        <v>264159</v>
      </c>
      <c r="K263" t="s">
        <v>30</v>
      </c>
      <c r="L263" t="str">
        <f t="shared" si="12"/>
        <v>Available</v>
      </c>
      <c r="M263">
        <f t="shared" si="13"/>
        <v>0</v>
      </c>
      <c r="N263">
        <f t="shared" si="14"/>
        <v>1</v>
      </c>
    </row>
    <row r="264" spans="1:14" x14ac:dyDescent="0.35">
      <c r="A264" t="s">
        <v>1820</v>
      </c>
      <c r="B264" t="s">
        <v>405</v>
      </c>
      <c r="C264" t="s">
        <v>404</v>
      </c>
      <c r="D264">
        <v>26.46</v>
      </c>
      <c r="E264" t="s">
        <v>13</v>
      </c>
      <c r="F264" s="1">
        <v>44497</v>
      </c>
      <c r="G264" s="1">
        <v>46059</v>
      </c>
      <c r="H264" t="s">
        <v>14</v>
      </c>
      <c r="I264" s="2">
        <v>24802</v>
      </c>
      <c r="J264">
        <v>266977</v>
      </c>
      <c r="K264" t="s">
        <v>30</v>
      </c>
      <c r="L264" t="str">
        <f t="shared" si="12"/>
        <v>Available</v>
      </c>
      <c r="M264">
        <f t="shared" si="13"/>
        <v>0</v>
      </c>
      <c r="N264">
        <f t="shared" si="14"/>
        <v>1</v>
      </c>
    </row>
    <row r="265" spans="1:14" x14ac:dyDescent="0.35">
      <c r="A265" t="s">
        <v>1821</v>
      </c>
      <c r="B265" t="s">
        <v>2778</v>
      </c>
      <c r="C265" t="s">
        <v>406</v>
      </c>
      <c r="D265">
        <v>24</v>
      </c>
      <c r="E265" t="s">
        <v>13</v>
      </c>
      <c r="F265" s="1">
        <v>44898</v>
      </c>
      <c r="G265" s="1">
        <v>46059</v>
      </c>
      <c r="H265" t="s">
        <v>14</v>
      </c>
      <c r="I265" s="2">
        <v>19870284</v>
      </c>
      <c r="J265">
        <v>264734</v>
      </c>
      <c r="K265" t="s">
        <v>30</v>
      </c>
      <c r="L265" t="str">
        <f t="shared" si="12"/>
        <v>Missing</v>
      </c>
      <c r="M265">
        <f t="shared" si="13"/>
        <v>0</v>
      </c>
      <c r="N265">
        <f t="shared" si="14"/>
        <v>0</v>
      </c>
    </row>
    <row r="266" spans="1:14" x14ac:dyDescent="0.35">
      <c r="A266" t="s">
        <v>1822</v>
      </c>
      <c r="B266" t="s">
        <v>43</v>
      </c>
      <c r="C266" t="s">
        <v>407</v>
      </c>
      <c r="D266">
        <v>25</v>
      </c>
      <c r="E266" t="s">
        <v>13</v>
      </c>
      <c r="F266" s="1">
        <v>44497</v>
      </c>
      <c r="G266" s="1">
        <v>46059</v>
      </c>
      <c r="H266" t="s">
        <v>14</v>
      </c>
      <c r="I266" s="2">
        <v>17525660</v>
      </c>
      <c r="J266">
        <v>267014</v>
      </c>
      <c r="K266" t="s">
        <v>15</v>
      </c>
      <c r="L266" t="str">
        <f t="shared" si="12"/>
        <v>Available</v>
      </c>
      <c r="M266">
        <f t="shared" si="13"/>
        <v>1</v>
      </c>
      <c r="N266">
        <f t="shared" si="14"/>
        <v>1</v>
      </c>
    </row>
    <row r="267" spans="1:14" x14ac:dyDescent="0.35">
      <c r="A267" t="s">
        <v>1823</v>
      </c>
      <c r="B267" t="s">
        <v>205</v>
      </c>
      <c r="C267" t="s">
        <v>408</v>
      </c>
      <c r="D267">
        <v>24</v>
      </c>
      <c r="E267" t="s">
        <v>13</v>
      </c>
      <c r="F267" s="1">
        <v>44497</v>
      </c>
      <c r="G267" s="1">
        <v>45961</v>
      </c>
      <c r="H267" t="s">
        <v>14</v>
      </c>
      <c r="I267" s="2">
        <v>19764867</v>
      </c>
      <c r="J267">
        <v>264339</v>
      </c>
      <c r="K267" t="s">
        <v>30</v>
      </c>
      <c r="L267" t="str">
        <f t="shared" si="12"/>
        <v>Available</v>
      </c>
      <c r="M267">
        <f t="shared" si="13"/>
        <v>0</v>
      </c>
      <c r="N267">
        <f t="shared" si="14"/>
        <v>1</v>
      </c>
    </row>
    <row r="268" spans="1:14" x14ac:dyDescent="0.35">
      <c r="A268" t="s">
        <v>1824</v>
      </c>
      <c r="B268" t="s">
        <v>293</v>
      </c>
      <c r="C268" t="s">
        <v>409</v>
      </c>
      <c r="D268">
        <v>1</v>
      </c>
      <c r="E268" t="s">
        <v>13</v>
      </c>
      <c r="F268" s="1">
        <v>44498</v>
      </c>
      <c r="G268" s="1">
        <v>46059</v>
      </c>
      <c r="H268" t="s">
        <v>14</v>
      </c>
      <c r="I268" s="2">
        <v>2358220</v>
      </c>
      <c r="J268">
        <v>264043</v>
      </c>
      <c r="K268" t="s">
        <v>15</v>
      </c>
      <c r="L268" t="str">
        <f t="shared" si="12"/>
        <v>Available</v>
      </c>
      <c r="M268">
        <f t="shared" si="13"/>
        <v>1</v>
      </c>
      <c r="N268">
        <f t="shared" si="14"/>
        <v>1</v>
      </c>
    </row>
    <row r="269" spans="1:14" x14ac:dyDescent="0.35">
      <c r="A269" t="s">
        <v>1825</v>
      </c>
      <c r="B269" t="s">
        <v>2834</v>
      </c>
      <c r="C269" t="s">
        <v>410</v>
      </c>
      <c r="D269">
        <v>6.3</v>
      </c>
      <c r="E269" t="s">
        <v>13</v>
      </c>
      <c r="F269" s="1">
        <v>45207</v>
      </c>
      <c r="G269" s="1">
        <v>46059</v>
      </c>
      <c r="H269" t="s">
        <v>14</v>
      </c>
      <c r="I269" s="2">
        <v>34962112</v>
      </c>
      <c r="J269">
        <v>266370</v>
      </c>
      <c r="K269" t="s">
        <v>30</v>
      </c>
      <c r="L269" t="str">
        <f t="shared" si="12"/>
        <v>Available</v>
      </c>
      <c r="M269">
        <f t="shared" si="13"/>
        <v>0</v>
      </c>
      <c r="N269">
        <f t="shared" si="14"/>
        <v>1</v>
      </c>
    </row>
    <row r="270" spans="1:14" x14ac:dyDescent="0.35">
      <c r="A270" t="s">
        <v>1826</v>
      </c>
      <c r="B270" t="s">
        <v>2835</v>
      </c>
      <c r="C270" t="s">
        <v>412</v>
      </c>
      <c r="D270">
        <v>13.9</v>
      </c>
      <c r="E270" t="s">
        <v>13</v>
      </c>
      <c r="F270" s="1">
        <v>45798</v>
      </c>
      <c r="G270" s="1">
        <v>46059</v>
      </c>
      <c r="H270" t="s">
        <v>14</v>
      </c>
      <c r="I270" s="2">
        <v>80078914</v>
      </c>
      <c r="J270">
        <v>264026</v>
      </c>
      <c r="K270" t="s">
        <v>15</v>
      </c>
      <c r="L270" t="str">
        <f t="shared" si="12"/>
        <v>Available</v>
      </c>
      <c r="M270">
        <f t="shared" si="13"/>
        <v>1</v>
      </c>
      <c r="N270">
        <f t="shared" si="14"/>
        <v>1</v>
      </c>
    </row>
    <row r="271" spans="1:14" x14ac:dyDescent="0.35">
      <c r="A271" t="s">
        <v>1827</v>
      </c>
      <c r="B271" t="s">
        <v>152</v>
      </c>
      <c r="C271" t="s">
        <v>414</v>
      </c>
      <c r="D271">
        <v>26</v>
      </c>
      <c r="E271" t="s">
        <v>13</v>
      </c>
      <c r="F271" s="1">
        <v>44497</v>
      </c>
      <c r="G271" s="1">
        <v>46057</v>
      </c>
      <c r="H271" t="s">
        <v>14</v>
      </c>
      <c r="I271" s="2">
        <v>17617977</v>
      </c>
      <c r="J271">
        <v>262253</v>
      </c>
      <c r="K271" t="s">
        <v>15</v>
      </c>
      <c r="L271" t="str">
        <f t="shared" si="12"/>
        <v>Available</v>
      </c>
      <c r="M271">
        <f t="shared" si="13"/>
        <v>1</v>
      </c>
      <c r="N271">
        <f t="shared" si="14"/>
        <v>1</v>
      </c>
    </row>
    <row r="272" spans="1:14" x14ac:dyDescent="0.35">
      <c r="A272" t="s">
        <v>1828</v>
      </c>
      <c r="B272" t="s">
        <v>132</v>
      </c>
      <c r="C272" t="s">
        <v>415</v>
      </c>
      <c r="F272" s="1">
        <v>45009</v>
      </c>
      <c r="G272" s="1">
        <v>45099</v>
      </c>
      <c r="H272" t="s">
        <v>14</v>
      </c>
      <c r="I272" t="s">
        <v>2778</v>
      </c>
      <c r="J272">
        <v>266447</v>
      </c>
      <c r="K272" t="s">
        <v>30</v>
      </c>
      <c r="L272" t="str">
        <f t="shared" si="12"/>
        <v>Available</v>
      </c>
      <c r="M272">
        <f t="shared" si="13"/>
        <v>0</v>
      </c>
      <c r="N272">
        <f t="shared" si="14"/>
        <v>1</v>
      </c>
    </row>
    <row r="273" spans="1:14" x14ac:dyDescent="0.35">
      <c r="A273" t="s">
        <v>1829</v>
      </c>
      <c r="B273" t="s">
        <v>27</v>
      </c>
      <c r="C273" t="s">
        <v>416</v>
      </c>
      <c r="D273">
        <v>24</v>
      </c>
      <c r="E273" t="s">
        <v>13</v>
      </c>
      <c r="F273" s="1">
        <v>44497</v>
      </c>
      <c r="G273" s="1">
        <v>46060</v>
      </c>
      <c r="H273" t="s">
        <v>14</v>
      </c>
      <c r="I273" s="2">
        <v>123498</v>
      </c>
      <c r="J273">
        <v>267069</v>
      </c>
      <c r="K273" t="s">
        <v>30</v>
      </c>
      <c r="L273" t="str">
        <f t="shared" si="12"/>
        <v>Available</v>
      </c>
      <c r="M273">
        <f t="shared" si="13"/>
        <v>0</v>
      </c>
      <c r="N273">
        <f t="shared" si="14"/>
        <v>1</v>
      </c>
    </row>
    <row r="274" spans="1:14" x14ac:dyDescent="0.35">
      <c r="A274" t="s">
        <v>1830</v>
      </c>
      <c r="B274" t="s">
        <v>318</v>
      </c>
      <c r="C274" t="s">
        <v>417</v>
      </c>
      <c r="D274">
        <v>24</v>
      </c>
      <c r="E274" t="s">
        <v>13</v>
      </c>
      <c r="F274" s="1">
        <v>44497</v>
      </c>
      <c r="G274" s="1">
        <v>46059</v>
      </c>
      <c r="H274" t="s">
        <v>14</v>
      </c>
      <c r="I274" s="2">
        <v>2870612</v>
      </c>
      <c r="J274">
        <v>264755</v>
      </c>
      <c r="K274" t="s">
        <v>15</v>
      </c>
      <c r="L274" t="str">
        <f t="shared" si="12"/>
        <v>Available</v>
      </c>
      <c r="M274">
        <f t="shared" si="13"/>
        <v>1</v>
      </c>
      <c r="N274">
        <f t="shared" si="14"/>
        <v>1</v>
      </c>
    </row>
    <row r="275" spans="1:14" x14ac:dyDescent="0.35">
      <c r="A275" t="s">
        <v>1831</v>
      </c>
      <c r="B275" t="s">
        <v>2819</v>
      </c>
      <c r="C275" t="s">
        <v>418</v>
      </c>
      <c r="D275">
        <v>24</v>
      </c>
      <c r="E275" t="s">
        <v>13</v>
      </c>
      <c r="F275" s="1">
        <v>44497</v>
      </c>
      <c r="G275" s="1">
        <v>46059</v>
      </c>
      <c r="H275" t="s">
        <v>14</v>
      </c>
      <c r="I275" s="2">
        <v>53392</v>
      </c>
      <c r="J275">
        <v>266328</v>
      </c>
      <c r="K275" t="s">
        <v>30</v>
      </c>
      <c r="L275" t="str">
        <f t="shared" si="12"/>
        <v>Available</v>
      </c>
      <c r="M275">
        <f t="shared" si="13"/>
        <v>0</v>
      </c>
      <c r="N275">
        <f t="shared" si="14"/>
        <v>1</v>
      </c>
    </row>
    <row r="276" spans="1:14" x14ac:dyDescent="0.35">
      <c r="A276" t="s">
        <v>1832</v>
      </c>
      <c r="B276" t="s">
        <v>2836</v>
      </c>
      <c r="C276" t="s">
        <v>419</v>
      </c>
      <c r="F276" s="1">
        <v>44866</v>
      </c>
      <c r="G276" s="1">
        <v>45099</v>
      </c>
      <c r="H276" t="s">
        <v>14</v>
      </c>
      <c r="I276" t="s">
        <v>2778</v>
      </c>
      <c r="J276">
        <v>266446</v>
      </c>
      <c r="K276" t="s">
        <v>30</v>
      </c>
      <c r="L276" t="str">
        <f t="shared" si="12"/>
        <v>Available</v>
      </c>
      <c r="M276">
        <f t="shared" si="13"/>
        <v>0</v>
      </c>
      <c r="N276">
        <f t="shared" si="14"/>
        <v>1</v>
      </c>
    </row>
    <row r="277" spans="1:14" x14ac:dyDescent="0.35">
      <c r="A277" t="s">
        <v>1833</v>
      </c>
      <c r="B277" t="s">
        <v>2837</v>
      </c>
      <c r="C277" t="s">
        <v>421</v>
      </c>
      <c r="D277">
        <v>8.8000000000000007</v>
      </c>
      <c r="E277" t="s">
        <v>13</v>
      </c>
      <c r="F277" s="1">
        <v>45638</v>
      </c>
      <c r="G277" s="1">
        <v>46059</v>
      </c>
      <c r="H277" t="s">
        <v>14</v>
      </c>
      <c r="I277" s="2">
        <v>53639591</v>
      </c>
      <c r="J277">
        <v>264123</v>
      </c>
      <c r="K277" t="s">
        <v>30</v>
      </c>
      <c r="L277" t="str">
        <f t="shared" si="12"/>
        <v>Available</v>
      </c>
      <c r="M277">
        <f t="shared" si="13"/>
        <v>0</v>
      </c>
      <c r="N277">
        <f t="shared" si="14"/>
        <v>1</v>
      </c>
    </row>
    <row r="278" spans="1:14" x14ac:dyDescent="0.35">
      <c r="A278" t="s">
        <v>1834</v>
      </c>
      <c r="B278" t="s">
        <v>47</v>
      </c>
      <c r="C278" t="s">
        <v>423</v>
      </c>
      <c r="D278">
        <v>45</v>
      </c>
      <c r="E278" t="s">
        <v>13</v>
      </c>
      <c r="F278" s="1">
        <v>44501</v>
      </c>
      <c r="G278" s="1">
        <v>45744</v>
      </c>
      <c r="H278" t="s">
        <v>14</v>
      </c>
      <c r="I278" t="s">
        <v>2778</v>
      </c>
      <c r="J278">
        <v>261650</v>
      </c>
      <c r="K278" t="s">
        <v>15</v>
      </c>
      <c r="L278" t="str">
        <f t="shared" si="12"/>
        <v>Available</v>
      </c>
      <c r="M278">
        <f t="shared" si="13"/>
        <v>1</v>
      </c>
      <c r="N278">
        <f t="shared" si="14"/>
        <v>1</v>
      </c>
    </row>
    <row r="279" spans="1:14" x14ac:dyDescent="0.35">
      <c r="A279" t="s">
        <v>1835</v>
      </c>
      <c r="B279" t="s">
        <v>47</v>
      </c>
      <c r="C279" t="s">
        <v>425</v>
      </c>
      <c r="D279">
        <v>17.600000000000001</v>
      </c>
      <c r="E279" t="s">
        <v>13</v>
      </c>
      <c r="F279" s="1">
        <v>44497</v>
      </c>
      <c r="G279" s="1">
        <v>45900</v>
      </c>
      <c r="H279" t="s">
        <v>14</v>
      </c>
      <c r="I279" t="s">
        <v>2778</v>
      </c>
      <c r="J279">
        <v>266452</v>
      </c>
      <c r="K279" t="s">
        <v>30</v>
      </c>
      <c r="L279" t="str">
        <f t="shared" si="12"/>
        <v>Available</v>
      </c>
      <c r="M279">
        <f t="shared" si="13"/>
        <v>0</v>
      </c>
      <c r="N279">
        <f t="shared" si="14"/>
        <v>1</v>
      </c>
    </row>
    <row r="280" spans="1:14" x14ac:dyDescent="0.35">
      <c r="A280" t="s">
        <v>1836</v>
      </c>
      <c r="B280" t="s">
        <v>2792</v>
      </c>
      <c r="C280" t="s">
        <v>426</v>
      </c>
      <c r="D280">
        <v>19</v>
      </c>
      <c r="E280" t="s">
        <v>13</v>
      </c>
      <c r="F280" s="1">
        <v>45232</v>
      </c>
      <c r="G280" s="1">
        <v>46059</v>
      </c>
      <c r="H280" t="s">
        <v>14</v>
      </c>
      <c r="I280" s="2">
        <v>35599661</v>
      </c>
      <c r="J280">
        <v>261494</v>
      </c>
      <c r="K280" t="s">
        <v>30</v>
      </c>
      <c r="L280" t="str">
        <f t="shared" si="12"/>
        <v>Available</v>
      </c>
      <c r="M280">
        <f t="shared" si="13"/>
        <v>0</v>
      </c>
      <c r="N280">
        <f t="shared" si="14"/>
        <v>1</v>
      </c>
    </row>
    <row r="281" spans="1:14" x14ac:dyDescent="0.35">
      <c r="A281" t="s">
        <v>1837</v>
      </c>
      <c r="B281" t="s">
        <v>2838</v>
      </c>
      <c r="C281" t="s">
        <v>427</v>
      </c>
      <c r="D281">
        <v>32</v>
      </c>
      <c r="E281" t="s">
        <v>13</v>
      </c>
      <c r="F281" s="1">
        <v>44948</v>
      </c>
      <c r="G281" s="1">
        <v>46057</v>
      </c>
      <c r="H281" t="s">
        <v>14</v>
      </c>
      <c r="I281" s="2">
        <v>27721530</v>
      </c>
      <c r="J281">
        <v>267090</v>
      </c>
      <c r="K281" t="s">
        <v>30</v>
      </c>
      <c r="L281" t="str">
        <f t="shared" si="12"/>
        <v>Available</v>
      </c>
      <c r="M281">
        <f t="shared" si="13"/>
        <v>0</v>
      </c>
      <c r="N281">
        <f t="shared" si="14"/>
        <v>1</v>
      </c>
    </row>
    <row r="282" spans="1:14" x14ac:dyDescent="0.35">
      <c r="A282" t="s">
        <v>1838</v>
      </c>
      <c r="B282" t="s">
        <v>37</v>
      </c>
      <c r="C282" t="s">
        <v>429</v>
      </c>
      <c r="D282">
        <v>24</v>
      </c>
      <c r="E282" t="s">
        <v>13</v>
      </c>
      <c r="F282" s="1">
        <v>44500</v>
      </c>
      <c r="G282" s="1">
        <v>46059</v>
      </c>
      <c r="H282" t="s">
        <v>14</v>
      </c>
      <c r="I282" s="2">
        <v>73898</v>
      </c>
      <c r="J282">
        <v>261869</v>
      </c>
      <c r="K282" t="s">
        <v>30</v>
      </c>
      <c r="L282" t="str">
        <f t="shared" si="12"/>
        <v>Available</v>
      </c>
      <c r="M282">
        <f t="shared" si="13"/>
        <v>0</v>
      </c>
      <c r="N282">
        <f t="shared" si="14"/>
        <v>1</v>
      </c>
    </row>
    <row r="283" spans="1:14" x14ac:dyDescent="0.35">
      <c r="A283" t="s">
        <v>1839</v>
      </c>
      <c r="B283" t="s">
        <v>2797</v>
      </c>
      <c r="C283" t="s">
        <v>430</v>
      </c>
      <c r="D283">
        <v>24</v>
      </c>
      <c r="E283" t="s">
        <v>13</v>
      </c>
      <c r="F283" s="1">
        <v>44497</v>
      </c>
      <c r="G283" s="1">
        <v>46060</v>
      </c>
      <c r="H283" t="s">
        <v>14</v>
      </c>
      <c r="I283" s="2">
        <v>36101</v>
      </c>
      <c r="J283">
        <v>262290</v>
      </c>
      <c r="K283" t="s">
        <v>15</v>
      </c>
      <c r="L283" t="str">
        <f t="shared" si="12"/>
        <v>Available</v>
      </c>
      <c r="M283">
        <f t="shared" si="13"/>
        <v>1</v>
      </c>
      <c r="N283">
        <f t="shared" si="14"/>
        <v>1</v>
      </c>
    </row>
    <row r="284" spans="1:14" x14ac:dyDescent="0.35">
      <c r="A284" t="s">
        <v>1840</v>
      </c>
      <c r="B284" t="s">
        <v>2778</v>
      </c>
      <c r="C284" t="s">
        <v>431</v>
      </c>
      <c r="D284">
        <v>32</v>
      </c>
      <c r="E284" t="s">
        <v>35</v>
      </c>
      <c r="F284" s="1">
        <v>44503</v>
      </c>
      <c r="G284" s="1">
        <v>46058</v>
      </c>
      <c r="H284" t="s">
        <v>14</v>
      </c>
      <c r="I284" s="2">
        <v>17183054</v>
      </c>
      <c r="J284">
        <v>262622</v>
      </c>
      <c r="K284" t="s">
        <v>30</v>
      </c>
      <c r="L284" t="str">
        <f t="shared" si="12"/>
        <v>Missing</v>
      </c>
      <c r="M284">
        <f t="shared" si="13"/>
        <v>0</v>
      </c>
      <c r="N284">
        <f t="shared" si="14"/>
        <v>0</v>
      </c>
    </row>
    <row r="285" spans="1:14" x14ac:dyDescent="0.35">
      <c r="A285" t="s">
        <v>1841</v>
      </c>
      <c r="B285" t="s">
        <v>2836</v>
      </c>
      <c r="C285" t="s">
        <v>432</v>
      </c>
      <c r="F285" s="1">
        <v>44866</v>
      </c>
      <c r="G285" s="1">
        <v>45099</v>
      </c>
      <c r="H285" t="s">
        <v>14</v>
      </c>
      <c r="I285" t="s">
        <v>2778</v>
      </c>
      <c r="J285">
        <v>262602</v>
      </c>
      <c r="K285" t="s">
        <v>30</v>
      </c>
      <c r="L285" t="str">
        <f t="shared" si="12"/>
        <v>Available</v>
      </c>
      <c r="M285">
        <f t="shared" si="13"/>
        <v>0</v>
      </c>
      <c r="N285">
        <f t="shared" si="14"/>
        <v>1</v>
      </c>
    </row>
    <row r="286" spans="1:14" x14ac:dyDescent="0.35">
      <c r="A286" t="s">
        <v>1842</v>
      </c>
      <c r="B286" t="s">
        <v>2839</v>
      </c>
      <c r="C286" t="s">
        <v>433</v>
      </c>
      <c r="F286" s="1">
        <v>44769</v>
      </c>
      <c r="G286" s="1">
        <v>45182</v>
      </c>
      <c r="H286" t="s">
        <v>14</v>
      </c>
      <c r="I286" t="s">
        <v>2778</v>
      </c>
      <c r="J286">
        <v>262610</v>
      </c>
      <c r="K286" t="s">
        <v>30</v>
      </c>
      <c r="L286" t="str">
        <f t="shared" si="12"/>
        <v>Available</v>
      </c>
      <c r="M286">
        <f t="shared" si="13"/>
        <v>0</v>
      </c>
      <c r="N286">
        <f t="shared" si="14"/>
        <v>1</v>
      </c>
    </row>
    <row r="287" spans="1:14" x14ac:dyDescent="0.35">
      <c r="A287" t="s">
        <v>1843</v>
      </c>
      <c r="B287" t="s">
        <v>2837</v>
      </c>
      <c r="C287" t="s">
        <v>435</v>
      </c>
      <c r="D287">
        <v>8.8000000000000007</v>
      </c>
      <c r="E287" t="s">
        <v>13</v>
      </c>
      <c r="F287" s="1">
        <v>45823</v>
      </c>
      <c r="G287" s="1">
        <v>46056</v>
      </c>
      <c r="H287" t="s">
        <v>14</v>
      </c>
      <c r="I287" s="2">
        <v>53639549</v>
      </c>
      <c r="J287">
        <v>267074</v>
      </c>
      <c r="K287" t="s">
        <v>15</v>
      </c>
      <c r="L287" t="str">
        <f t="shared" si="12"/>
        <v>Available</v>
      </c>
      <c r="M287">
        <f t="shared" si="13"/>
        <v>1</v>
      </c>
      <c r="N287">
        <f t="shared" si="14"/>
        <v>1</v>
      </c>
    </row>
    <row r="288" spans="1:14" x14ac:dyDescent="0.35">
      <c r="A288" t="s">
        <v>1844</v>
      </c>
      <c r="B288" t="s">
        <v>58</v>
      </c>
      <c r="C288" t="s">
        <v>436</v>
      </c>
      <c r="D288">
        <v>21.978764999999999</v>
      </c>
      <c r="E288" t="s">
        <v>35</v>
      </c>
      <c r="F288" s="1">
        <v>44497</v>
      </c>
      <c r="G288" s="1">
        <v>45725</v>
      </c>
      <c r="H288" t="s">
        <v>14</v>
      </c>
      <c r="I288" t="s">
        <v>2778</v>
      </c>
      <c r="J288">
        <v>262609</v>
      </c>
      <c r="K288" t="s">
        <v>30</v>
      </c>
      <c r="L288" t="str">
        <f t="shared" si="12"/>
        <v>Available</v>
      </c>
      <c r="M288">
        <f t="shared" si="13"/>
        <v>0</v>
      </c>
      <c r="N288">
        <f t="shared" si="14"/>
        <v>1</v>
      </c>
    </row>
    <row r="289" spans="1:14" x14ac:dyDescent="0.35">
      <c r="A289" t="s">
        <v>1845</v>
      </c>
      <c r="B289" t="s">
        <v>2804</v>
      </c>
      <c r="C289" t="s">
        <v>437</v>
      </c>
      <c r="D289">
        <v>24</v>
      </c>
      <c r="E289" t="s">
        <v>13</v>
      </c>
      <c r="F289" s="1">
        <v>44497</v>
      </c>
      <c r="G289" s="1">
        <v>46060</v>
      </c>
      <c r="H289" t="s">
        <v>14</v>
      </c>
      <c r="I289" s="2">
        <v>77115</v>
      </c>
      <c r="J289">
        <v>264718</v>
      </c>
      <c r="K289" t="s">
        <v>30</v>
      </c>
      <c r="L289" t="str">
        <f t="shared" si="12"/>
        <v>Available</v>
      </c>
      <c r="M289">
        <f t="shared" si="13"/>
        <v>0</v>
      </c>
      <c r="N289">
        <f t="shared" si="14"/>
        <v>1</v>
      </c>
    </row>
    <row r="290" spans="1:14" x14ac:dyDescent="0.35">
      <c r="A290" t="s">
        <v>1846</v>
      </c>
      <c r="B290" t="s">
        <v>439</v>
      </c>
      <c r="C290" t="s">
        <v>438</v>
      </c>
      <c r="D290">
        <v>24</v>
      </c>
      <c r="E290" t="s">
        <v>13</v>
      </c>
      <c r="F290" s="1">
        <v>44497</v>
      </c>
      <c r="G290" s="1">
        <v>46059</v>
      </c>
      <c r="H290" t="s">
        <v>14</v>
      </c>
      <c r="I290" s="2">
        <v>3363864</v>
      </c>
      <c r="J290">
        <v>264745</v>
      </c>
      <c r="K290" t="s">
        <v>15</v>
      </c>
      <c r="L290" t="str">
        <f t="shared" si="12"/>
        <v>Available</v>
      </c>
      <c r="M290">
        <f t="shared" si="13"/>
        <v>1</v>
      </c>
      <c r="N290">
        <f t="shared" si="14"/>
        <v>1</v>
      </c>
    </row>
    <row r="291" spans="1:14" x14ac:dyDescent="0.35">
      <c r="A291" t="s">
        <v>1847</v>
      </c>
      <c r="B291" t="s">
        <v>2827</v>
      </c>
      <c r="C291" t="s">
        <v>440</v>
      </c>
      <c r="D291">
        <v>19.399999999999999</v>
      </c>
      <c r="E291" t="s">
        <v>13</v>
      </c>
      <c r="F291" s="1">
        <v>45679</v>
      </c>
      <c r="G291" s="1">
        <v>46059</v>
      </c>
      <c r="H291" t="s">
        <v>14</v>
      </c>
      <c r="I291" s="2">
        <v>58276339</v>
      </c>
      <c r="J291">
        <v>261502</v>
      </c>
      <c r="K291" t="s">
        <v>15</v>
      </c>
      <c r="L291" t="str">
        <f t="shared" si="12"/>
        <v>Available</v>
      </c>
      <c r="M291">
        <f t="shared" si="13"/>
        <v>1</v>
      </c>
      <c r="N291">
        <f t="shared" si="14"/>
        <v>1</v>
      </c>
    </row>
    <row r="292" spans="1:14" x14ac:dyDescent="0.35">
      <c r="A292" t="s">
        <v>1848</v>
      </c>
      <c r="B292" t="s">
        <v>58</v>
      </c>
      <c r="C292" t="s">
        <v>441</v>
      </c>
      <c r="D292">
        <v>20.288091000000001</v>
      </c>
      <c r="E292" t="s">
        <v>35</v>
      </c>
      <c r="F292" s="1">
        <v>45562</v>
      </c>
      <c r="G292" s="1">
        <v>46058</v>
      </c>
      <c r="H292" t="s">
        <v>14</v>
      </c>
      <c r="I292" t="s">
        <v>2778</v>
      </c>
      <c r="J292">
        <v>264214</v>
      </c>
      <c r="K292" t="s">
        <v>30</v>
      </c>
      <c r="L292" t="str">
        <f t="shared" si="12"/>
        <v>Available</v>
      </c>
      <c r="M292">
        <f t="shared" si="13"/>
        <v>0</v>
      </c>
      <c r="N292">
        <f t="shared" si="14"/>
        <v>1</v>
      </c>
    </row>
    <row r="293" spans="1:14" x14ac:dyDescent="0.35">
      <c r="A293" t="s">
        <v>1849</v>
      </c>
      <c r="B293" t="s">
        <v>2778</v>
      </c>
      <c r="C293" t="s">
        <v>442</v>
      </c>
      <c r="D293">
        <v>16</v>
      </c>
      <c r="E293" t="s">
        <v>13</v>
      </c>
      <c r="F293" s="1">
        <v>44497</v>
      </c>
      <c r="G293" s="1">
        <v>46059</v>
      </c>
      <c r="H293" t="s">
        <v>14</v>
      </c>
      <c r="I293" t="s">
        <v>2778</v>
      </c>
      <c r="J293">
        <v>261522</v>
      </c>
      <c r="K293" t="s">
        <v>30</v>
      </c>
      <c r="L293" t="str">
        <f t="shared" si="12"/>
        <v>Missing</v>
      </c>
      <c r="M293">
        <f t="shared" si="13"/>
        <v>0</v>
      </c>
      <c r="N293">
        <f t="shared" si="14"/>
        <v>0</v>
      </c>
    </row>
    <row r="294" spans="1:14" x14ac:dyDescent="0.35">
      <c r="A294" t="s">
        <v>1850</v>
      </c>
      <c r="B294" t="s">
        <v>2803</v>
      </c>
      <c r="C294" t="s">
        <v>443</v>
      </c>
      <c r="D294">
        <v>32</v>
      </c>
      <c r="E294" t="s">
        <v>13</v>
      </c>
      <c r="F294" s="1">
        <v>44497</v>
      </c>
      <c r="G294" s="1">
        <v>46057</v>
      </c>
      <c r="H294" t="s">
        <v>14</v>
      </c>
      <c r="I294" t="s">
        <v>2778</v>
      </c>
      <c r="J294">
        <v>266904</v>
      </c>
      <c r="K294" t="s">
        <v>30</v>
      </c>
      <c r="L294" t="str">
        <f t="shared" si="12"/>
        <v>Available</v>
      </c>
      <c r="M294">
        <f t="shared" si="13"/>
        <v>0</v>
      </c>
      <c r="N294">
        <f t="shared" si="14"/>
        <v>1</v>
      </c>
    </row>
    <row r="295" spans="1:14" x14ac:dyDescent="0.35">
      <c r="A295" t="s">
        <v>1851</v>
      </c>
      <c r="B295" t="s">
        <v>445</v>
      </c>
      <c r="C295" t="s">
        <v>444</v>
      </c>
      <c r="D295">
        <v>24</v>
      </c>
      <c r="E295" t="s">
        <v>13</v>
      </c>
      <c r="F295" s="1">
        <v>44497</v>
      </c>
      <c r="G295" s="1">
        <v>46059</v>
      </c>
      <c r="H295" t="s">
        <v>14</v>
      </c>
      <c r="I295" s="2">
        <v>3340288</v>
      </c>
      <c r="J295">
        <v>261789</v>
      </c>
      <c r="K295" t="s">
        <v>15</v>
      </c>
      <c r="L295" t="str">
        <f t="shared" si="12"/>
        <v>Available</v>
      </c>
      <c r="M295">
        <f t="shared" si="13"/>
        <v>1</v>
      </c>
      <c r="N295">
        <f t="shared" si="14"/>
        <v>1</v>
      </c>
    </row>
    <row r="296" spans="1:14" x14ac:dyDescent="0.35">
      <c r="A296" t="s">
        <v>1852</v>
      </c>
      <c r="B296" t="s">
        <v>2790</v>
      </c>
      <c r="C296" t="s">
        <v>446</v>
      </c>
      <c r="D296">
        <v>19</v>
      </c>
      <c r="E296" t="s">
        <v>13</v>
      </c>
      <c r="F296" s="1">
        <v>45536</v>
      </c>
      <c r="G296" s="1">
        <v>46059</v>
      </c>
      <c r="H296" t="s">
        <v>14</v>
      </c>
      <c r="I296" s="2">
        <v>33264269</v>
      </c>
      <c r="J296">
        <v>264135</v>
      </c>
      <c r="K296" t="s">
        <v>30</v>
      </c>
      <c r="L296" t="str">
        <f t="shared" si="12"/>
        <v>Available</v>
      </c>
      <c r="M296">
        <f t="shared" si="13"/>
        <v>0</v>
      </c>
      <c r="N296">
        <f t="shared" si="14"/>
        <v>1</v>
      </c>
    </row>
    <row r="297" spans="1:14" x14ac:dyDescent="0.35">
      <c r="A297" t="s">
        <v>1853</v>
      </c>
      <c r="B297" t="s">
        <v>449</v>
      </c>
      <c r="C297" t="s">
        <v>448</v>
      </c>
      <c r="D297">
        <v>24</v>
      </c>
      <c r="E297" t="s">
        <v>13</v>
      </c>
      <c r="F297" s="1">
        <v>45295</v>
      </c>
      <c r="G297" s="1">
        <v>46060</v>
      </c>
      <c r="H297" t="s">
        <v>14</v>
      </c>
      <c r="I297" s="2">
        <v>18649449</v>
      </c>
      <c r="J297">
        <v>261509</v>
      </c>
      <c r="K297" t="s">
        <v>30</v>
      </c>
      <c r="L297" t="str">
        <f t="shared" si="12"/>
        <v>Available</v>
      </c>
      <c r="M297">
        <f t="shared" si="13"/>
        <v>0</v>
      </c>
      <c r="N297">
        <f t="shared" si="14"/>
        <v>1</v>
      </c>
    </row>
    <row r="298" spans="1:14" x14ac:dyDescent="0.35">
      <c r="A298" t="s">
        <v>1854</v>
      </c>
      <c r="B298" t="s">
        <v>451</v>
      </c>
      <c r="C298" t="s">
        <v>450</v>
      </c>
      <c r="F298" s="1">
        <v>44866</v>
      </c>
      <c r="G298" s="1">
        <v>45099</v>
      </c>
      <c r="H298" t="s">
        <v>14</v>
      </c>
      <c r="I298" t="s">
        <v>2778</v>
      </c>
      <c r="J298">
        <v>266448</v>
      </c>
      <c r="K298" t="s">
        <v>30</v>
      </c>
      <c r="L298" t="str">
        <f t="shared" si="12"/>
        <v>Available</v>
      </c>
      <c r="M298">
        <f t="shared" si="13"/>
        <v>0</v>
      </c>
      <c r="N298">
        <f t="shared" si="14"/>
        <v>1</v>
      </c>
    </row>
    <row r="299" spans="1:14" x14ac:dyDescent="0.35">
      <c r="A299" t="s">
        <v>1855</v>
      </c>
      <c r="B299" t="s">
        <v>453</v>
      </c>
      <c r="C299" t="s">
        <v>452</v>
      </c>
      <c r="D299">
        <v>25</v>
      </c>
      <c r="E299" t="s">
        <v>13</v>
      </c>
      <c r="F299" s="1">
        <v>44497</v>
      </c>
      <c r="G299" s="1">
        <v>46059</v>
      </c>
      <c r="H299" t="s">
        <v>14</v>
      </c>
      <c r="I299" s="2">
        <v>77095</v>
      </c>
      <c r="J299">
        <v>264337</v>
      </c>
      <c r="K299" t="s">
        <v>15</v>
      </c>
      <c r="L299" t="str">
        <f t="shared" si="12"/>
        <v>Available</v>
      </c>
      <c r="M299">
        <f t="shared" si="13"/>
        <v>1</v>
      </c>
      <c r="N299">
        <f t="shared" si="14"/>
        <v>1</v>
      </c>
    </row>
    <row r="300" spans="1:14" x14ac:dyDescent="0.35">
      <c r="A300" t="s">
        <v>1856</v>
      </c>
      <c r="B300" t="s">
        <v>2840</v>
      </c>
      <c r="C300" t="s">
        <v>454</v>
      </c>
      <c r="D300">
        <v>24</v>
      </c>
      <c r="E300" t="s">
        <v>13</v>
      </c>
      <c r="F300" s="1">
        <v>44498</v>
      </c>
      <c r="G300" s="1">
        <v>46059</v>
      </c>
      <c r="H300" t="s">
        <v>14</v>
      </c>
      <c r="I300" t="s">
        <v>2778</v>
      </c>
      <c r="J300">
        <v>266541</v>
      </c>
      <c r="K300" t="s">
        <v>30</v>
      </c>
      <c r="L300" t="str">
        <f t="shared" si="12"/>
        <v>Available</v>
      </c>
      <c r="M300">
        <f t="shared" si="13"/>
        <v>0</v>
      </c>
      <c r="N300">
        <f t="shared" si="14"/>
        <v>1</v>
      </c>
    </row>
    <row r="301" spans="1:14" x14ac:dyDescent="0.35">
      <c r="A301" t="s">
        <v>1857</v>
      </c>
      <c r="B301" t="s">
        <v>445</v>
      </c>
      <c r="C301" t="s">
        <v>456</v>
      </c>
      <c r="D301">
        <v>16</v>
      </c>
      <c r="E301" t="s">
        <v>35</v>
      </c>
      <c r="F301" s="1">
        <v>45032</v>
      </c>
      <c r="G301" s="1">
        <v>46058</v>
      </c>
      <c r="H301" t="s">
        <v>14</v>
      </c>
      <c r="I301" s="2">
        <v>27878096</v>
      </c>
      <c r="J301">
        <v>266980</v>
      </c>
      <c r="K301" t="s">
        <v>30</v>
      </c>
      <c r="L301" t="str">
        <f t="shared" si="12"/>
        <v>Available</v>
      </c>
      <c r="M301">
        <f t="shared" si="13"/>
        <v>0</v>
      </c>
      <c r="N301">
        <f t="shared" si="14"/>
        <v>1</v>
      </c>
    </row>
    <row r="302" spans="1:14" x14ac:dyDescent="0.35">
      <c r="A302" t="s">
        <v>1858</v>
      </c>
      <c r="B302" t="s">
        <v>2841</v>
      </c>
      <c r="C302" t="s">
        <v>457</v>
      </c>
      <c r="D302">
        <v>24</v>
      </c>
      <c r="E302" t="s">
        <v>13</v>
      </c>
      <c r="F302" s="1">
        <v>44498</v>
      </c>
      <c r="G302" s="1">
        <v>46045</v>
      </c>
      <c r="H302" t="s">
        <v>14</v>
      </c>
      <c r="I302" s="2">
        <v>18628384</v>
      </c>
      <c r="J302">
        <v>266910</v>
      </c>
      <c r="K302" t="s">
        <v>15</v>
      </c>
      <c r="L302" t="str">
        <f t="shared" si="12"/>
        <v>Available</v>
      </c>
      <c r="M302">
        <f t="shared" si="13"/>
        <v>1</v>
      </c>
      <c r="N302">
        <f t="shared" si="14"/>
        <v>1</v>
      </c>
    </row>
    <row r="303" spans="1:14" x14ac:dyDescent="0.35">
      <c r="A303" t="s">
        <v>1859</v>
      </c>
      <c r="B303" t="s">
        <v>2804</v>
      </c>
      <c r="C303" t="s">
        <v>459</v>
      </c>
      <c r="D303">
        <v>24</v>
      </c>
      <c r="E303" t="s">
        <v>13</v>
      </c>
      <c r="F303" s="1">
        <v>44502</v>
      </c>
      <c r="G303" s="1">
        <v>45635</v>
      </c>
      <c r="H303" t="s">
        <v>14</v>
      </c>
      <c r="I303" t="s">
        <v>2778</v>
      </c>
      <c r="J303">
        <v>267057</v>
      </c>
      <c r="K303" t="s">
        <v>15</v>
      </c>
      <c r="L303" t="str">
        <f t="shared" si="12"/>
        <v>Available</v>
      </c>
      <c r="M303">
        <f t="shared" si="13"/>
        <v>1</v>
      </c>
      <c r="N303">
        <f t="shared" si="14"/>
        <v>1</v>
      </c>
    </row>
    <row r="304" spans="1:14" x14ac:dyDescent="0.35">
      <c r="A304" t="s">
        <v>1860</v>
      </c>
      <c r="B304" t="s">
        <v>461</v>
      </c>
      <c r="C304" t="s">
        <v>460</v>
      </c>
      <c r="F304" s="1">
        <v>44501</v>
      </c>
      <c r="G304" s="1">
        <v>45287</v>
      </c>
      <c r="H304" t="s">
        <v>14</v>
      </c>
      <c r="I304" t="s">
        <v>2778</v>
      </c>
      <c r="J304">
        <v>266340</v>
      </c>
      <c r="K304" t="s">
        <v>15</v>
      </c>
      <c r="L304" t="str">
        <f t="shared" si="12"/>
        <v>Available</v>
      </c>
      <c r="M304">
        <f t="shared" si="13"/>
        <v>1</v>
      </c>
      <c r="N304">
        <f t="shared" si="14"/>
        <v>1</v>
      </c>
    </row>
    <row r="305" spans="1:14" x14ac:dyDescent="0.35">
      <c r="A305" t="s">
        <v>1861</v>
      </c>
      <c r="B305" t="s">
        <v>483</v>
      </c>
      <c r="C305" t="s">
        <v>462</v>
      </c>
      <c r="D305">
        <v>16.906742000000001</v>
      </c>
      <c r="E305" t="s">
        <v>35</v>
      </c>
      <c r="F305" s="1">
        <v>45099</v>
      </c>
      <c r="G305" s="1">
        <v>46058</v>
      </c>
      <c r="H305" t="s">
        <v>14</v>
      </c>
      <c r="I305" t="s">
        <v>2778</v>
      </c>
      <c r="J305">
        <v>266408</v>
      </c>
      <c r="K305" t="s">
        <v>30</v>
      </c>
      <c r="L305" t="str">
        <f t="shared" si="12"/>
        <v>Available</v>
      </c>
      <c r="M305">
        <f t="shared" si="13"/>
        <v>0</v>
      </c>
      <c r="N305">
        <f t="shared" si="14"/>
        <v>1</v>
      </c>
    </row>
    <row r="306" spans="1:14" x14ac:dyDescent="0.35">
      <c r="A306" t="s">
        <v>1862</v>
      </c>
      <c r="B306" t="s">
        <v>2842</v>
      </c>
      <c r="C306" t="s">
        <v>464</v>
      </c>
      <c r="D306">
        <v>32.304347999999997</v>
      </c>
      <c r="E306" t="s">
        <v>13</v>
      </c>
      <c r="F306" s="1">
        <v>44507</v>
      </c>
      <c r="G306" s="1">
        <v>46056</v>
      </c>
      <c r="H306" t="s">
        <v>14</v>
      </c>
      <c r="I306" s="2">
        <v>110868</v>
      </c>
      <c r="J306">
        <v>262204</v>
      </c>
      <c r="K306" t="s">
        <v>15</v>
      </c>
      <c r="L306" t="str">
        <f t="shared" si="12"/>
        <v>Available</v>
      </c>
      <c r="M306">
        <f t="shared" si="13"/>
        <v>1</v>
      </c>
      <c r="N306">
        <f t="shared" si="14"/>
        <v>1</v>
      </c>
    </row>
    <row r="307" spans="1:14" x14ac:dyDescent="0.35">
      <c r="A307" t="s">
        <v>1863</v>
      </c>
      <c r="B307" t="s">
        <v>58</v>
      </c>
      <c r="C307" t="s">
        <v>466</v>
      </c>
      <c r="D307">
        <v>24</v>
      </c>
      <c r="E307" t="s">
        <v>13</v>
      </c>
      <c r="F307" s="1">
        <v>44497</v>
      </c>
      <c r="G307" s="1">
        <v>46060</v>
      </c>
      <c r="H307" t="s">
        <v>14</v>
      </c>
      <c r="I307" s="2">
        <v>39352</v>
      </c>
      <c r="J307">
        <v>262020</v>
      </c>
      <c r="K307" t="s">
        <v>30</v>
      </c>
      <c r="L307" t="str">
        <f t="shared" si="12"/>
        <v>Available</v>
      </c>
      <c r="M307">
        <f t="shared" si="13"/>
        <v>0</v>
      </c>
      <c r="N307">
        <f t="shared" si="14"/>
        <v>1</v>
      </c>
    </row>
    <row r="308" spans="1:14" x14ac:dyDescent="0.35">
      <c r="A308" t="s">
        <v>1864</v>
      </c>
      <c r="B308" t="s">
        <v>58</v>
      </c>
      <c r="C308" t="s">
        <v>467</v>
      </c>
      <c r="D308">
        <v>20.288091000000001</v>
      </c>
      <c r="E308" t="s">
        <v>35</v>
      </c>
      <c r="F308" s="1">
        <v>45949</v>
      </c>
      <c r="G308" s="1">
        <v>46058</v>
      </c>
      <c r="H308" t="s">
        <v>14</v>
      </c>
      <c r="I308" t="s">
        <v>2778</v>
      </c>
      <c r="J308">
        <v>261783</v>
      </c>
      <c r="K308" t="s">
        <v>15</v>
      </c>
      <c r="L308" t="str">
        <f t="shared" si="12"/>
        <v>Available</v>
      </c>
      <c r="M308">
        <f t="shared" si="13"/>
        <v>1</v>
      </c>
      <c r="N308">
        <f t="shared" si="14"/>
        <v>1</v>
      </c>
    </row>
    <row r="309" spans="1:14" x14ac:dyDescent="0.35">
      <c r="A309" t="s">
        <v>1865</v>
      </c>
      <c r="B309" t="s">
        <v>27</v>
      </c>
      <c r="C309" t="s">
        <v>468</v>
      </c>
      <c r="D309">
        <v>24</v>
      </c>
      <c r="E309" t="s">
        <v>13</v>
      </c>
      <c r="F309" s="1">
        <v>44497</v>
      </c>
      <c r="G309" s="1">
        <v>46060</v>
      </c>
      <c r="H309" t="s">
        <v>14</v>
      </c>
      <c r="I309" s="2">
        <v>91515</v>
      </c>
      <c r="J309">
        <v>261859</v>
      </c>
      <c r="K309" t="s">
        <v>15</v>
      </c>
      <c r="L309" t="str">
        <f t="shared" si="12"/>
        <v>Available</v>
      </c>
      <c r="M309">
        <f t="shared" si="13"/>
        <v>1</v>
      </c>
      <c r="N309">
        <f t="shared" si="14"/>
        <v>1</v>
      </c>
    </row>
    <row r="310" spans="1:14" x14ac:dyDescent="0.35">
      <c r="A310" t="s">
        <v>1866</v>
      </c>
      <c r="B310" t="s">
        <v>2843</v>
      </c>
      <c r="C310" t="s">
        <v>469</v>
      </c>
      <c r="D310">
        <v>24</v>
      </c>
      <c r="E310" t="s">
        <v>13</v>
      </c>
      <c r="F310" s="1">
        <v>45679</v>
      </c>
      <c r="G310" s="1">
        <v>46059</v>
      </c>
      <c r="H310" t="s">
        <v>14</v>
      </c>
      <c r="I310" s="2">
        <v>64419193</v>
      </c>
      <c r="J310">
        <v>261762</v>
      </c>
      <c r="K310" t="s">
        <v>30</v>
      </c>
      <c r="L310" t="str">
        <f t="shared" si="12"/>
        <v>Available</v>
      </c>
      <c r="M310">
        <f t="shared" si="13"/>
        <v>0</v>
      </c>
      <c r="N310">
        <f t="shared" si="14"/>
        <v>1</v>
      </c>
    </row>
    <row r="311" spans="1:14" x14ac:dyDescent="0.35">
      <c r="A311" t="s">
        <v>1867</v>
      </c>
      <c r="B311" t="s">
        <v>472</v>
      </c>
      <c r="C311" t="s">
        <v>471</v>
      </c>
      <c r="D311">
        <v>24</v>
      </c>
      <c r="E311" t="s">
        <v>13</v>
      </c>
      <c r="F311" s="1">
        <v>44497</v>
      </c>
      <c r="G311" s="1">
        <v>46059</v>
      </c>
      <c r="H311" t="s">
        <v>14</v>
      </c>
      <c r="I311" s="2">
        <v>252547</v>
      </c>
      <c r="J311">
        <v>266386</v>
      </c>
      <c r="K311" t="s">
        <v>30</v>
      </c>
      <c r="L311" t="str">
        <f t="shared" si="12"/>
        <v>Available</v>
      </c>
      <c r="M311">
        <f t="shared" si="13"/>
        <v>0</v>
      </c>
      <c r="N311">
        <f t="shared" si="14"/>
        <v>1</v>
      </c>
    </row>
    <row r="312" spans="1:14" x14ac:dyDescent="0.35">
      <c r="A312" t="s">
        <v>1868</v>
      </c>
      <c r="B312" t="s">
        <v>2844</v>
      </c>
      <c r="C312" t="s">
        <v>473</v>
      </c>
      <c r="D312">
        <v>28</v>
      </c>
      <c r="E312" t="s">
        <v>13</v>
      </c>
      <c r="F312" s="1">
        <v>44500</v>
      </c>
      <c r="G312" s="1">
        <v>46057</v>
      </c>
      <c r="H312" t="s">
        <v>14</v>
      </c>
      <c r="I312" t="s">
        <v>2778</v>
      </c>
      <c r="J312">
        <v>264068</v>
      </c>
      <c r="K312" t="s">
        <v>30</v>
      </c>
      <c r="L312" t="str">
        <f t="shared" si="12"/>
        <v>Available</v>
      </c>
      <c r="M312">
        <f t="shared" si="13"/>
        <v>0</v>
      </c>
      <c r="N312">
        <f t="shared" si="14"/>
        <v>1</v>
      </c>
    </row>
    <row r="313" spans="1:14" x14ac:dyDescent="0.35">
      <c r="A313" t="s">
        <v>1869</v>
      </c>
      <c r="B313" t="s">
        <v>2840</v>
      </c>
      <c r="C313" t="s">
        <v>475</v>
      </c>
      <c r="D313">
        <v>24</v>
      </c>
      <c r="E313" t="s">
        <v>13</v>
      </c>
      <c r="F313" s="1">
        <v>44498</v>
      </c>
      <c r="G313" s="1">
        <v>46059</v>
      </c>
      <c r="H313" t="s">
        <v>14</v>
      </c>
      <c r="I313" s="2">
        <v>19793112</v>
      </c>
      <c r="J313">
        <v>261880</v>
      </c>
      <c r="K313" t="s">
        <v>15</v>
      </c>
      <c r="L313" t="str">
        <f t="shared" si="12"/>
        <v>Available</v>
      </c>
      <c r="M313">
        <f t="shared" si="13"/>
        <v>1</v>
      </c>
      <c r="N313">
        <f t="shared" si="14"/>
        <v>1</v>
      </c>
    </row>
    <row r="314" spans="1:14" x14ac:dyDescent="0.35">
      <c r="A314" t="s">
        <v>1870</v>
      </c>
      <c r="B314" t="s">
        <v>47</v>
      </c>
      <c r="C314" t="s">
        <v>476</v>
      </c>
      <c r="D314">
        <v>135</v>
      </c>
      <c r="E314" t="s">
        <v>13</v>
      </c>
      <c r="F314" s="1">
        <v>44497</v>
      </c>
      <c r="G314" s="1">
        <v>46058</v>
      </c>
      <c r="H314" t="s">
        <v>14</v>
      </c>
      <c r="I314" t="s">
        <v>2778</v>
      </c>
      <c r="J314">
        <v>262051</v>
      </c>
      <c r="K314" t="s">
        <v>30</v>
      </c>
      <c r="L314" t="str">
        <f t="shared" si="12"/>
        <v>Available</v>
      </c>
      <c r="M314">
        <f t="shared" si="13"/>
        <v>0</v>
      </c>
      <c r="N314">
        <f t="shared" si="14"/>
        <v>1</v>
      </c>
    </row>
    <row r="315" spans="1:14" x14ac:dyDescent="0.35">
      <c r="A315" t="s">
        <v>1871</v>
      </c>
      <c r="B315" t="s">
        <v>2808</v>
      </c>
      <c r="C315" t="s">
        <v>477</v>
      </c>
      <c r="D315">
        <v>45</v>
      </c>
      <c r="E315" t="s">
        <v>13</v>
      </c>
      <c r="F315" s="1">
        <v>44497</v>
      </c>
      <c r="G315" s="1">
        <v>46060</v>
      </c>
      <c r="H315" t="s">
        <v>14</v>
      </c>
      <c r="I315" s="2">
        <v>36161</v>
      </c>
      <c r="J315">
        <v>264446</v>
      </c>
      <c r="K315" t="s">
        <v>15</v>
      </c>
      <c r="L315" t="str">
        <f t="shared" si="12"/>
        <v>Available</v>
      </c>
      <c r="M315">
        <f t="shared" si="13"/>
        <v>1</v>
      </c>
      <c r="N315">
        <f t="shared" si="14"/>
        <v>1</v>
      </c>
    </row>
    <row r="316" spans="1:14" x14ac:dyDescent="0.35">
      <c r="A316" t="s">
        <v>1872</v>
      </c>
      <c r="B316" t="s">
        <v>479</v>
      </c>
      <c r="C316" t="s">
        <v>478</v>
      </c>
      <c r="D316">
        <v>24</v>
      </c>
      <c r="E316" t="s">
        <v>13</v>
      </c>
      <c r="F316" s="1">
        <v>44665</v>
      </c>
      <c r="G316" s="1">
        <v>46059</v>
      </c>
      <c r="H316" t="s">
        <v>14</v>
      </c>
      <c r="I316" s="2">
        <v>26979968</v>
      </c>
      <c r="J316">
        <v>264312</v>
      </c>
      <c r="K316" t="s">
        <v>15</v>
      </c>
      <c r="L316" t="str">
        <f t="shared" si="12"/>
        <v>Available</v>
      </c>
      <c r="M316">
        <f t="shared" si="13"/>
        <v>1</v>
      </c>
      <c r="N316">
        <f t="shared" si="14"/>
        <v>1</v>
      </c>
    </row>
    <row r="317" spans="1:14" x14ac:dyDescent="0.35">
      <c r="A317" t="s">
        <v>1873</v>
      </c>
      <c r="B317" t="s">
        <v>481</v>
      </c>
      <c r="C317" t="s">
        <v>480</v>
      </c>
      <c r="D317">
        <v>25</v>
      </c>
      <c r="E317" t="s">
        <v>13</v>
      </c>
      <c r="F317" s="1">
        <v>44497</v>
      </c>
      <c r="G317" s="1">
        <v>46058</v>
      </c>
      <c r="H317" t="s">
        <v>14</v>
      </c>
      <c r="I317" s="2">
        <v>23525742</v>
      </c>
      <c r="J317">
        <v>266291</v>
      </c>
      <c r="K317" t="s">
        <v>30</v>
      </c>
      <c r="L317" t="str">
        <f t="shared" si="12"/>
        <v>Available</v>
      </c>
      <c r="M317">
        <f t="shared" si="13"/>
        <v>0</v>
      </c>
      <c r="N317">
        <f t="shared" si="14"/>
        <v>1</v>
      </c>
    </row>
    <row r="318" spans="1:14" x14ac:dyDescent="0.35">
      <c r="A318" t="s">
        <v>1874</v>
      </c>
      <c r="B318" t="s">
        <v>483</v>
      </c>
      <c r="C318" t="s">
        <v>482</v>
      </c>
      <c r="D318">
        <v>16.906742000000001</v>
      </c>
      <c r="E318" t="s">
        <v>35</v>
      </c>
      <c r="F318" s="1">
        <v>45099</v>
      </c>
      <c r="G318" s="1">
        <v>46058</v>
      </c>
      <c r="H318" t="s">
        <v>14</v>
      </c>
      <c r="I318" t="s">
        <v>2778</v>
      </c>
      <c r="J318">
        <v>266318</v>
      </c>
      <c r="K318" t="s">
        <v>30</v>
      </c>
      <c r="L318" t="str">
        <f t="shared" si="12"/>
        <v>Available</v>
      </c>
      <c r="M318">
        <f t="shared" si="13"/>
        <v>0</v>
      </c>
      <c r="N318">
        <f t="shared" si="14"/>
        <v>1</v>
      </c>
    </row>
    <row r="319" spans="1:14" x14ac:dyDescent="0.35">
      <c r="A319" t="s">
        <v>1875</v>
      </c>
      <c r="B319" t="s">
        <v>485</v>
      </c>
      <c r="C319" t="s">
        <v>484</v>
      </c>
      <c r="D319">
        <v>24</v>
      </c>
      <c r="E319" t="s">
        <v>13</v>
      </c>
      <c r="F319" s="1">
        <v>44500</v>
      </c>
      <c r="G319" s="1">
        <v>46059</v>
      </c>
      <c r="H319" t="s">
        <v>14</v>
      </c>
      <c r="I319" t="s">
        <v>2778</v>
      </c>
      <c r="J319">
        <v>262141</v>
      </c>
      <c r="K319" t="s">
        <v>30</v>
      </c>
      <c r="L319" t="str">
        <f t="shared" si="12"/>
        <v>Available</v>
      </c>
      <c r="M319">
        <f t="shared" si="13"/>
        <v>0</v>
      </c>
      <c r="N319">
        <f t="shared" si="14"/>
        <v>1</v>
      </c>
    </row>
    <row r="320" spans="1:14" x14ac:dyDescent="0.35">
      <c r="A320" t="s">
        <v>1876</v>
      </c>
      <c r="B320" t="s">
        <v>487</v>
      </c>
      <c r="C320" t="s">
        <v>486</v>
      </c>
      <c r="D320">
        <v>17</v>
      </c>
      <c r="E320" t="s">
        <v>13</v>
      </c>
      <c r="F320" s="1">
        <v>44738</v>
      </c>
      <c r="G320" s="1">
        <v>46058</v>
      </c>
      <c r="H320" t="s">
        <v>14</v>
      </c>
      <c r="I320" s="2">
        <v>26992768</v>
      </c>
      <c r="J320">
        <v>264143</v>
      </c>
      <c r="K320" t="s">
        <v>15</v>
      </c>
      <c r="L320" t="str">
        <f t="shared" si="12"/>
        <v>Available</v>
      </c>
      <c r="M320">
        <f t="shared" si="13"/>
        <v>1</v>
      </c>
      <c r="N320">
        <f t="shared" si="14"/>
        <v>1</v>
      </c>
    </row>
    <row r="321" spans="1:14" x14ac:dyDescent="0.35">
      <c r="A321" t="s">
        <v>1877</v>
      </c>
      <c r="B321" t="s">
        <v>489</v>
      </c>
      <c r="C321" t="s">
        <v>488</v>
      </c>
      <c r="D321">
        <v>8.8000000000000007</v>
      </c>
      <c r="E321" t="s">
        <v>13</v>
      </c>
      <c r="F321" s="1">
        <v>45524</v>
      </c>
      <c r="G321" s="1">
        <v>46058</v>
      </c>
      <c r="H321" t="s">
        <v>14</v>
      </c>
      <c r="I321" s="2">
        <v>53639591</v>
      </c>
      <c r="J321">
        <v>266810</v>
      </c>
      <c r="K321" t="s">
        <v>30</v>
      </c>
      <c r="L321" t="str">
        <f t="shared" si="12"/>
        <v>Available</v>
      </c>
      <c r="M321">
        <f t="shared" si="13"/>
        <v>0</v>
      </c>
      <c r="N321">
        <f t="shared" si="14"/>
        <v>1</v>
      </c>
    </row>
    <row r="322" spans="1:14" x14ac:dyDescent="0.35">
      <c r="A322" t="s">
        <v>1878</v>
      </c>
      <c r="B322" t="s">
        <v>491</v>
      </c>
      <c r="C322" t="s">
        <v>490</v>
      </c>
      <c r="F322" s="1">
        <v>44500</v>
      </c>
      <c r="G322" s="1">
        <v>45116</v>
      </c>
      <c r="H322" t="s">
        <v>14</v>
      </c>
      <c r="I322" t="s">
        <v>2778</v>
      </c>
      <c r="J322">
        <v>267058</v>
      </c>
      <c r="K322" t="s">
        <v>15</v>
      </c>
      <c r="L322" t="str">
        <f t="shared" si="12"/>
        <v>Available</v>
      </c>
      <c r="M322">
        <f t="shared" si="13"/>
        <v>1</v>
      </c>
      <c r="N322">
        <f t="shared" si="14"/>
        <v>1</v>
      </c>
    </row>
    <row r="323" spans="1:14" x14ac:dyDescent="0.35">
      <c r="A323" t="s">
        <v>1879</v>
      </c>
      <c r="B323" t="s">
        <v>2819</v>
      </c>
      <c r="C323" t="s">
        <v>492</v>
      </c>
      <c r="D323">
        <v>24</v>
      </c>
      <c r="E323" t="s">
        <v>13</v>
      </c>
      <c r="F323" s="1">
        <v>45833</v>
      </c>
      <c r="G323" s="1">
        <v>45952</v>
      </c>
      <c r="H323" t="s">
        <v>14</v>
      </c>
      <c r="I323" t="s">
        <v>2778</v>
      </c>
      <c r="J323">
        <v>264103</v>
      </c>
      <c r="K323" t="s">
        <v>30</v>
      </c>
      <c r="L323" t="str">
        <f t="shared" ref="L323:L386" si="15">IF(OR(B323="",ISBLANK(B323)),"Missing","Available")</f>
        <v>Available</v>
      </c>
      <c r="M323">
        <f t="shared" ref="M323:M386" si="16">IF(K323="Mapped",1,0)</f>
        <v>0</v>
      </c>
      <c r="N323">
        <f t="shared" ref="N323:N386" si="17">IF(AND(B323&lt;&gt;"",A323&lt;&gt;""),1,0)</f>
        <v>1</v>
      </c>
    </row>
    <row r="324" spans="1:14" x14ac:dyDescent="0.35">
      <c r="A324" t="s">
        <v>1880</v>
      </c>
      <c r="B324" t="s">
        <v>494</v>
      </c>
      <c r="C324" t="s">
        <v>493</v>
      </c>
      <c r="D324">
        <v>24</v>
      </c>
      <c r="E324" t="s">
        <v>13</v>
      </c>
      <c r="F324" s="1">
        <v>44500</v>
      </c>
      <c r="G324" s="1">
        <v>46059</v>
      </c>
      <c r="H324" t="s">
        <v>14</v>
      </c>
      <c r="I324" s="2">
        <v>577680</v>
      </c>
      <c r="J324">
        <v>266285</v>
      </c>
      <c r="K324" t="s">
        <v>30</v>
      </c>
      <c r="L324" t="str">
        <f t="shared" si="15"/>
        <v>Available</v>
      </c>
      <c r="M324">
        <f t="shared" si="16"/>
        <v>0</v>
      </c>
      <c r="N324">
        <f t="shared" si="17"/>
        <v>1</v>
      </c>
    </row>
    <row r="325" spans="1:14" x14ac:dyDescent="0.35">
      <c r="A325" t="s">
        <v>1881</v>
      </c>
      <c r="B325" t="s">
        <v>2778</v>
      </c>
      <c r="C325" t="s">
        <v>495</v>
      </c>
      <c r="D325">
        <v>24</v>
      </c>
      <c r="E325" t="s">
        <v>13</v>
      </c>
      <c r="F325" s="1">
        <v>44497</v>
      </c>
      <c r="G325" s="1">
        <v>46059</v>
      </c>
      <c r="H325" t="s">
        <v>14</v>
      </c>
      <c r="I325" s="2">
        <v>19624852</v>
      </c>
      <c r="J325">
        <v>264561</v>
      </c>
      <c r="K325" t="s">
        <v>30</v>
      </c>
      <c r="L325" t="str">
        <f t="shared" si="15"/>
        <v>Missing</v>
      </c>
      <c r="M325">
        <f t="shared" si="16"/>
        <v>0</v>
      </c>
      <c r="N325">
        <f t="shared" si="17"/>
        <v>0</v>
      </c>
    </row>
    <row r="326" spans="1:14" x14ac:dyDescent="0.35">
      <c r="A326" t="s">
        <v>1882</v>
      </c>
      <c r="B326" t="s">
        <v>2778</v>
      </c>
      <c r="C326" t="s">
        <v>496</v>
      </c>
      <c r="D326">
        <v>26</v>
      </c>
      <c r="E326" t="s">
        <v>13</v>
      </c>
      <c r="F326" s="1">
        <v>44498</v>
      </c>
      <c r="G326" s="1">
        <v>46056</v>
      </c>
      <c r="H326" t="s">
        <v>14</v>
      </c>
      <c r="I326" s="2">
        <v>73929</v>
      </c>
      <c r="J326">
        <v>262566</v>
      </c>
      <c r="K326" t="s">
        <v>30</v>
      </c>
      <c r="L326" t="str">
        <f t="shared" si="15"/>
        <v>Missing</v>
      </c>
      <c r="M326">
        <f t="shared" si="16"/>
        <v>0</v>
      </c>
      <c r="N326">
        <f t="shared" si="17"/>
        <v>0</v>
      </c>
    </row>
    <row r="327" spans="1:14" x14ac:dyDescent="0.35">
      <c r="A327" t="s">
        <v>1883</v>
      </c>
      <c r="B327" t="s">
        <v>156</v>
      </c>
      <c r="C327" t="s">
        <v>497</v>
      </c>
      <c r="D327">
        <v>24</v>
      </c>
      <c r="E327" t="s">
        <v>13</v>
      </c>
      <c r="F327" s="1">
        <v>44497</v>
      </c>
      <c r="G327" s="1">
        <v>46060</v>
      </c>
      <c r="H327" t="s">
        <v>14</v>
      </c>
      <c r="I327" s="2">
        <v>25652103</v>
      </c>
      <c r="J327">
        <v>266424</v>
      </c>
      <c r="K327" t="s">
        <v>30</v>
      </c>
      <c r="L327" t="str">
        <f t="shared" si="15"/>
        <v>Available</v>
      </c>
      <c r="M327">
        <f t="shared" si="16"/>
        <v>0</v>
      </c>
      <c r="N327">
        <f t="shared" si="17"/>
        <v>1</v>
      </c>
    </row>
    <row r="328" spans="1:14" x14ac:dyDescent="0.35">
      <c r="A328" t="s">
        <v>1884</v>
      </c>
      <c r="B328" t="s">
        <v>99</v>
      </c>
      <c r="C328" t="s">
        <v>498</v>
      </c>
      <c r="D328">
        <v>24</v>
      </c>
      <c r="E328" t="s">
        <v>13</v>
      </c>
      <c r="F328" s="1">
        <v>44497</v>
      </c>
      <c r="G328" s="1">
        <v>46059</v>
      </c>
      <c r="H328" t="s">
        <v>14</v>
      </c>
      <c r="I328" s="2">
        <v>19280366</v>
      </c>
      <c r="J328">
        <v>266461</v>
      </c>
      <c r="K328" t="s">
        <v>15</v>
      </c>
      <c r="L328" t="str">
        <f t="shared" si="15"/>
        <v>Available</v>
      </c>
      <c r="M328">
        <f t="shared" si="16"/>
        <v>1</v>
      </c>
      <c r="N328">
        <f t="shared" si="17"/>
        <v>1</v>
      </c>
    </row>
    <row r="329" spans="1:14" x14ac:dyDescent="0.35">
      <c r="A329" t="s">
        <v>1885</v>
      </c>
      <c r="B329" t="s">
        <v>62</v>
      </c>
      <c r="C329" t="s">
        <v>499</v>
      </c>
      <c r="D329">
        <v>24</v>
      </c>
      <c r="E329" t="s">
        <v>13</v>
      </c>
      <c r="F329" s="1">
        <v>44497</v>
      </c>
      <c r="G329" s="1">
        <v>46059</v>
      </c>
      <c r="H329" t="s">
        <v>14</v>
      </c>
      <c r="I329" s="2">
        <v>18412565</v>
      </c>
      <c r="J329">
        <v>261800</v>
      </c>
      <c r="K329" t="s">
        <v>30</v>
      </c>
      <c r="L329" t="str">
        <f t="shared" si="15"/>
        <v>Available</v>
      </c>
      <c r="M329">
        <f t="shared" si="16"/>
        <v>0</v>
      </c>
      <c r="N329">
        <f t="shared" si="17"/>
        <v>1</v>
      </c>
    </row>
    <row r="330" spans="1:14" x14ac:dyDescent="0.35">
      <c r="A330" t="s">
        <v>1886</v>
      </c>
      <c r="B330" t="s">
        <v>2778</v>
      </c>
      <c r="C330" t="s">
        <v>500</v>
      </c>
      <c r="D330">
        <v>38</v>
      </c>
      <c r="E330" t="s">
        <v>13</v>
      </c>
      <c r="F330" s="1">
        <v>44929</v>
      </c>
      <c r="G330" s="1">
        <v>46060</v>
      </c>
      <c r="H330" t="s">
        <v>14</v>
      </c>
      <c r="I330" s="2">
        <v>20680338</v>
      </c>
      <c r="J330">
        <v>267067</v>
      </c>
      <c r="K330" t="s">
        <v>15</v>
      </c>
      <c r="L330" t="str">
        <f t="shared" si="15"/>
        <v>Missing</v>
      </c>
      <c r="M330">
        <f t="shared" si="16"/>
        <v>1</v>
      </c>
      <c r="N330">
        <f t="shared" si="17"/>
        <v>0</v>
      </c>
    </row>
    <row r="331" spans="1:14" x14ac:dyDescent="0.35">
      <c r="A331" t="s">
        <v>1887</v>
      </c>
      <c r="B331" t="s">
        <v>402</v>
      </c>
      <c r="C331" t="s">
        <v>501</v>
      </c>
      <c r="D331">
        <v>24</v>
      </c>
      <c r="E331" t="s">
        <v>13</v>
      </c>
      <c r="F331" s="1">
        <v>44497</v>
      </c>
      <c r="G331" s="1">
        <v>46059</v>
      </c>
      <c r="H331" t="s">
        <v>14</v>
      </c>
      <c r="I331" s="2">
        <v>91489</v>
      </c>
      <c r="J331">
        <v>264455</v>
      </c>
      <c r="K331" t="s">
        <v>30</v>
      </c>
      <c r="L331" t="str">
        <f t="shared" si="15"/>
        <v>Available</v>
      </c>
      <c r="M331">
        <f t="shared" si="16"/>
        <v>0</v>
      </c>
      <c r="N331">
        <f t="shared" si="17"/>
        <v>1</v>
      </c>
    </row>
    <row r="332" spans="1:14" x14ac:dyDescent="0.35">
      <c r="A332" t="s">
        <v>1888</v>
      </c>
      <c r="B332" t="s">
        <v>2845</v>
      </c>
      <c r="C332" t="s">
        <v>502</v>
      </c>
      <c r="D332">
        <v>23.9</v>
      </c>
      <c r="E332" t="s">
        <v>13</v>
      </c>
      <c r="F332" s="1">
        <v>44497</v>
      </c>
      <c r="G332" s="1">
        <v>46059</v>
      </c>
      <c r="H332" t="s">
        <v>14</v>
      </c>
      <c r="I332" s="2">
        <v>232513</v>
      </c>
      <c r="J332">
        <v>261695</v>
      </c>
      <c r="K332" t="s">
        <v>15</v>
      </c>
      <c r="L332" t="str">
        <f t="shared" si="15"/>
        <v>Available</v>
      </c>
      <c r="M332">
        <f t="shared" si="16"/>
        <v>1</v>
      </c>
      <c r="N332">
        <f t="shared" si="17"/>
        <v>1</v>
      </c>
    </row>
    <row r="333" spans="1:14" x14ac:dyDescent="0.35">
      <c r="A333" t="s">
        <v>1889</v>
      </c>
      <c r="B333" t="s">
        <v>43</v>
      </c>
      <c r="C333" t="s">
        <v>504</v>
      </c>
      <c r="D333">
        <v>25</v>
      </c>
      <c r="E333" t="s">
        <v>13</v>
      </c>
      <c r="F333" s="1">
        <v>44497</v>
      </c>
      <c r="G333" s="1">
        <v>46059</v>
      </c>
      <c r="H333" t="s">
        <v>14</v>
      </c>
      <c r="I333" s="2">
        <v>95028</v>
      </c>
      <c r="J333">
        <v>264071</v>
      </c>
      <c r="K333" t="s">
        <v>15</v>
      </c>
      <c r="L333" t="str">
        <f t="shared" si="15"/>
        <v>Available</v>
      </c>
      <c r="M333">
        <f t="shared" si="16"/>
        <v>1</v>
      </c>
      <c r="N333">
        <f t="shared" si="17"/>
        <v>1</v>
      </c>
    </row>
    <row r="334" spans="1:14" x14ac:dyDescent="0.35">
      <c r="A334" t="s">
        <v>1890</v>
      </c>
      <c r="B334" t="s">
        <v>186</v>
      </c>
      <c r="C334" t="s">
        <v>505</v>
      </c>
      <c r="D334">
        <v>24</v>
      </c>
      <c r="E334" t="s">
        <v>13</v>
      </c>
      <c r="F334" s="1">
        <v>44497</v>
      </c>
      <c r="G334" s="1">
        <v>46059</v>
      </c>
      <c r="H334" t="s">
        <v>14</v>
      </c>
      <c r="I334" s="2">
        <v>3406177</v>
      </c>
      <c r="J334">
        <v>264160</v>
      </c>
      <c r="K334" t="s">
        <v>30</v>
      </c>
      <c r="L334" t="str">
        <f t="shared" si="15"/>
        <v>Available</v>
      </c>
      <c r="M334">
        <f t="shared" si="16"/>
        <v>0</v>
      </c>
      <c r="N334">
        <f t="shared" si="17"/>
        <v>1</v>
      </c>
    </row>
    <row r="335" spans="1:14" x14ac:dyDescent="0.35">
      <c r="A335" t="s">
        <v>1891</v>
      </c>
      <c r="B335" t="s">
        <v>2808</v>
      </c>
      <c r="C335" t="s">
        <v>506</v>
      </c>
      <c r="D335">
        <v>23.75</v>
      </c>
      <c r="E335" t="s">
        <v>13</v>
      </c>
      <c r="F335" s="1">
        <v>44994</v>
      </c>
      <c r="G335" s="1">
        <v>46059</v>
      </c>
      <c r="H335" t="s">
        <v>14</v>
      </c>
      <c r="I335" s="2">
        <v>29627781</v>
      </c>
      <c r="J335">
        <v>266377</v>
      </c>
      <c r="K335" t="s">
        <v>30</v>
      </c>
      <c r="L335" t="str">
        <f t="shared" si="15"/>
        <v>Available</v>
      </c>
      <c r="M335">
        <f t="shared" si="16"/>
        <v>0</v>
      </c>
      <c r="N335">
        <f t="shared" si="17"/>
        <v>1</v>
      </c>
    </row>
    <row r="336" spans="1:14" x14ac:dyDescent="0.35">
      <c r="A336" t="s">
        <v>1892</v>
      </c>
      <c r="B336" t="s">
        <v>2794</v>
      </c>
      <c r="C336" t="s">
        <v>507</v>
      </c>
      <c r="D336">
        <v>32</v>
      </c>
      <c r="E336" t="s">
        <v>13</v>
      </c>
      <c r="F336" s="1">
        <v>44502</v>
      </c>
      <c r="G336" s="1">
        <v>46059</v>
      </c>
      <c r="H336" t="s">
        <v>14</v>
      </c>
      <c r="I336" s="2">
        <v>17671849</v>
      </c>
      <c r="J336">
        <v>264523</v>
      </c>
      <c r="K336" t="s">
        <v>30</v>
      </c>
      <c r="L336" t="str">
        <f t="shared" si="15"/>
        <v>Available</v>
      </c>
      <c r="M336">
        <f t="shared" si="16"/>
        <v>0</v>
      </c>
      <c r="N336">
        <f t="shared" si="17"/>
        <v>1</v>
      </c>
    </row>
    <row r="337" spans="1:14" x14ac:dyDescent="0.35">
      <c r="A337" t="s">
        <v>1893</v>
      </c>
      <c r="B337" t="s">
        <v>509</v>
      </c>
      <c r="C337" t="s">
        <v>508</v>
      </c>
      <c r="D337">
        <v>32</v>
      </c>
      <c r="E337" t="s">
        <v>13</v>
      </c>
      <c r="F337" s="1">
        <v>44497</v>
      </c>
      <c r="G337" s="1">
        <v>46060</v>
      </c>
      <c r="H337" t="s">
        <v>14</v>
      </c>
      <c r="I337" s="2">
        <v>20128017</v>
      </c>
      <c r="J337">
        <v>262282</v>
      </c>
      <c r="K337" t="s">
        <v>15</v>
      </c>
      <c r="L337" t="str">
        <f t="shared" si="15"/>
        <v>Available</v>
      </c>
      <c r="M337">
        <f t="shared" si="16"/>
        <v>1</v>
      </c>
      <c r="N337">
        <f t="shared" si="17"/>
        <v>1</v>
      </c>
    </row>
    <row r="338" spans="1:14" x14ac:dyDescent="0.35">
      <c r="A338" t="s">
        <v>1894</v>
      </c>
      <c r="B338" t="s">
        <v>273</v>
      </c>
      <c r="C338" t="s">
        <v>510</v>
      </c>
      <c r="D338">
        <v>25</v>
      </c>
      <c r="E338" t="s">
        <v>13</v>
      </c>
      <c r="F338" s="1">
        <v>44499</v>
      </c>
      <c r="G338" s="1">
        <v>46059</v>
      </c>
      <c r="H338" t="s">
        <v>14</v>
      </c>
      <c r="I338" s="2">
        <v>21354357</v>
      </c>
      <c r="J338">
        <v>264061</v>
      </c>
      <c r="K338" t="s">
        <v>15</v>
      </c>
      <c r="L338" t="str">
        <f t="shared" si="15"/>
        <v>Available</v>
      </c>
      <c r="M338">
        <f t="shared" si="16"/>
        <v>1</v>
      </c>
      <c r="N338">
        <f t="shared" si="17"/>
        <v>1</v>
      </c>
    </row>
    <row r="339" spans="1:14" x14ac:dyDescent="0.35">
      <c r="A339" t="s">
        <v>1895</v>
      </c>
      <c r="B339" t="s">
        <v>2778</v>
      </c>
      <c r="C339" t="s">
        <v>511</v>
      </c>
      <c r="D339">
        <v>28</v>
      </c>
      <c r="E339" t="s">
        <v>13</v>
      </c>
      <c r="F339" s="1">
        <v>44503</v>
      </c>
      <c r="G339" s="1">
        <v>46058</v>
      </c>
      <c r="H339" t="s">
        <v>14</v>
      </c>
      <c r="I339" s="2">
        <v>1556232</v>
      </c>
      <c r="J339">
        <v>264162</v>
      </c>
      <c r="K339" t="s">
        <v>30</v>
      </c>
      <c r="L339" t="str">
        <f t="shared" si="15"/>
        <v>Missing</v>
      </c>
      <c r="M339">
        <f t="shared" si="16"/>
        <v>0</v>
      </c>
      <c r="N339">
        <f t="shared" si="17"/>
        <v>0</v>
      </c>
    </row>
    <row r="340" spans="1:14" x14ac:dyDescent="0.35">
      <c r="A340" t="s">
        <v>1896</v>
      </c>
      <c r="B340" t="s">
        <v>2836</v>
      </c>
      <c r="C340" t="s">
        <v>512</v>
      </c>
      <c r="F340" s="1">
        <v>45019</v>
      </c>
      <c r="G340" s="1">
        <v>45099</v>
      </c>
      <c r="H340" t="s">
        <v>14</v>
      </c>
      <c r="I340" t="s">
        <v>2778</v>
      </c>
      <c r="J340">
        <v>261482</v>
      </c>
      <c r="K340" t="s">
        <v>15</v>
      </c>
      <c r="L340" t="str">
        <f t="shared" si="15"/>
        <v>Available</v>
      </c>
      <c r="M340">
        <f t="shared" si="16"/>
        <v>1</v>
      </c>
      <c r="N340">
        <f t="shared" si="17"/>
        <v>1</v>
      </c>
    </row>
    <row r="341" spans="1:14" x14ac:dyDescent="0.35">
      <c r="A341" t="s">
        <v>1897</v>
      </c>
      <c r="B341" t="s">
        <v>2778</v>
      </c>
      <c r="C341" t="s">
        <v>513</v>
      </c>
      <c r="D341">
        <v>26</v>
      </c>
      <c r="E341" t="s">
        <v>13</v>
      </c>
      <c r="F341" s="1">
        <v>44498</v>
      </c>
      <c r="G341" s="1">
        <v>45952</v>
      </c>
      <c r="H341" t="s">
        <v>14</v>
      </c>
      <c r="I341" t="s">
        <v>2778</v>
      </c>
      <c r="J341">
        <v>261652</v>
      </c>
      <c r="K341" t="s">
        <v>30</v>
      </c>
      <c r="L341" t="str">
        <f t="shared" si="15"/>
        <v>Missing</v>
      </c>
      <c r="M341">
        <f t="shared" si="16"/>
        <v>0</v>
      </c>
      <c r="N341">
        <f t="shared" si="17"/>
        <v>0</v>
      </c>
    </row>
    <row r="342" spans="1:14" x14ac:dyDescent="0.35">
      <c r="A342" t="s">
        <v>1898</v>
      </c>
      <c r="B342" t="s">
        <v>515</v>
      </c>
      <c r="C342" t="s">
        <v>514</v>
      </c>
      <c r="D342">
        <v>14</v>
      </c>
      <c r="E342" t="s">
        <v>13</v>
      </c>
      <c r="F342" s="1">
        <v>44497</v>
      </c>
      <c r="G342" s="1">
        <v>46059</v>
      </c>
      <c r="H342" t="s">
        <v>14</v>
      </c>
      <c r="I342" s="2">
        <v>2725311</v>
      </c>
      <c r="J342">
        <v>262034</v>
      </c>
      <c r="K342" t="s">
        <v>30</v>
      </c>
      <c r="L342" t="str">
        <f t="shared" si="15"/>
        <v>Available</v>
      </c>
      <c r="M342">
        <f t="shared" si="16"/>
        <v>0</v>
      </c>
      <c r="N342">
        <f t="shared" si="17"/>
        <v>1</v>
      </c>
    </row>
    <row r="343" spans="1:14" x14ac:dyDescent="0.35">
      <c r="A343" t="s">
        <v>1899</v>
      </c>
      <c r="B343" t="s">
        <v>2795</v>
      </c>
      <c r="C343" t="s">
        <v>516</v>
      </c>
      <c r="D343">
        <v>25</v>
      </c>
      <c r="E343" t="s">
        <v>13</v>
      </c>
      <c r="F343" s="1">
        <v>45335</v>
      </c>
      <c r="G343" s="1">
        <v>46058</v>
      </c>
      <c r="H343" t="s">
        <v>14</v>
      </c>
      <c r="I343" s="2">
        <v>42368658</v>
      </c>
      <c r="J343">
        <v>264458</v>
      </c>
      <c r="K343" t="s">
        <v>30</v>
      </c>
      <c r="L343" t="str">
        <f t="shared" si="15"/>
        <v>Available</v>
      </c>
      <c r="M343">
        <f t="shared" si="16"/>
        <v>0</v>
      </c>
      <c r="N343">
        <f t="shared" si="17"/>
        <v>1</v>
      </c>
    </row>
    <row r="344" spans="1:14" x14ac:dyDescent="0.35">
      <c r="A344" t="s">
        <v>1900</v>
      </c>
      <c r="B344" t="s">
        <v>2846</v>
      </c>
      <c r="C344" t="s">
        <v>517</v>
      </c>
      <c r="D344">
        <v>25</v>
      </c>
      <c r="E344" t="s">
        <v>13</v>
      </c>
      <c r="F344" s="1">
        <v>44509</v>
      </c>
      <c r="G344" s="1">
        <v>46057</v>
      </c>
      <c r="H344" t="s">
        <v>14</v>
      </c>
      <c r="I344" s="2">
        <v>16698389</v>
      </c>
      <c r="J344">
        <v>261606</v>
      </c>
      <c r="K344" t="s">
        <v>15</v>
      </c>
      <c r="L344" t="str">
        <f t="shared" si="15"/>
        <v>Available</v>
      </c>
      <c r="M344">
        <f t="shared" si="16"/>
        <v>1</v>
      </c>
      <c r="N344">
        <f t="shared" si="17"/>
        <v>1</v>
      </c>
    </row>
    <row r="345" spans="1:14" x14ac:dyDescent="0.35">
      <c r="A345" t="s">
        <v>1901</v>
      </c>
      <c r="B345" t="s">
        <v>200</v>
      </c>
      <c r="C345" t="s">
        <v>519</v>
      </c>
      <c r="D345">
        <v>26</v>
      </c>
      <c r="E345" t="s">
        <v>13</v>
      </c>
      <c r="F345" s="1">
        <v>44497</v>
      </c>
      <c r="G345" s="1">
        <v>46059</v>
      </c>
      <c r="H345" t="s">
        <v>14</v>
      </c>
      <c r="I345" s="2">
        <v>1387358</v>
      </c>
      <c r="J345">
        <v>264116</v>
      </c>
      <c r="K345" t="s">
        <v>30</v>
      </c>
      <c r="L345" t="str">
        <f t="shared" si="15"/>
        <v>Available</v>
      </c>
      <c r="M345">
        <f t="shared" si="16"/>
        <v>0</v>
      </c>
      <c r="N345">
        <f t="shared" si="17"/>
        <v>1</v>
      </c>
    </row>
    <row r="346" spans="1:14" x14ac:dyDescent="0.35">
      <c r="A346" t="s">
        <v>1902</v>
      </c>
      <c r="B346" t="s">
        <v>521</v>
      </c>
      <c r="C346" t="s">
        <v>520</v>
      </c>
      <c r="D346">
        <v>32</v>
      </c>
      <c r="E346" t="s">
        <v>13</v>
      </c>
      <c r="F346" s="1">
        <v>44497</v>
      </c>
      <c r="G346" s="1">
        <v>46058</v>
      </c>
      <c r="H346" t="s">
        <v>14</v>
      </c>
      <c r="I346" s="2">
        <v>20211116</v>
      </c>
      <c r="J346">
        <v>264556</v>
      </c>
      <c r="K346" t="s">
        <v>15</v>
      </c>
      <c r="L346" t="str">
        <f t="shared" si="15"/>
        <v>Available</v>
      </c>
      <c r="M346">
        <f t="shared" si="16"/>
        <v>1</v>
      </c>
      <c r="N346">
        <f t="shared" si="17"/>
        <v>1</v>
      </c>
    </row>
    <row r="347" spans="1:14" x14ac:dyDescent="0.35">
      <c r="A347" t="s">
        <v>1903</v>
      </c>
      <c r="B347" t="s">
        <v>168</v>
      </c>
      <c r="C347" t="s">
        <v>522</v>
      </c>
      <c r="D347">
        <v>19.399999999999999</v>
      </c>
      <c r="E347" t="s">
        <v>13</v>
      </c>
      <c r="F347" s="1">
        <v>44497</v>
      </c>
      <c r="G347" s="1">
        <v>46059</v>
      </c>
      <c r="H347" t="s">
        <v>14</v>
      </c>
      <c r="I347" s="2">
        <v>19044988</v>
      </c>
      <c r="J347">
        <v>264144</v>
      </c>
      <c r="K347" t="s">
        <v>30</v>
      </c>
      <c r="L347" t="str">
        <f t="shared" si="15"/>
        <v>Available</v>
      </c>
      <c r="M347">
        <f t="shared" si="16"/>
        <v>0</v>
      </c>
      <c r="N347">
        <f t="shared" si="17"/>
        <v>1</v>
      </c>
    </row>
    <row r="348" spans="1:14" x14ac:dyDescent="0.35">
      <c r="A348" t="s">
        <v>1904</v>
      </c>
      <c r="B348" t="s">
        <v>2817</v>
      </c>
      <c r="C348" t="s">
        <v>523</v>
      </c>
      <c r="D348">
        <v>24</v>
      </c>
      <c r="E348" t="s">
        <v>13</v>
      </c>
      <c r="F348" s="1">
        <v>44497</v>
      </c>
      <c r="G348" s="1">
        <v>46059</v>
      </c>
      <c r="H348" t="s">
        <v>14</v>
      </c>
      <c r="I348" s="2">
        <v>9993</v>
      </c>
      <c r="J348">
        <v>266308</v>
      </c>
      <c r="K348" t="s">
        <v>30</v>
      </c>
      <c r="L348" t="str">
        <f t="shared" si="15"/>
        <v>Available</v>
      </c>
      <c r="M348">
        <f t="shared" si="16"/>
        <v>0</v>
      </c>
      <c r="N348">
        <f t="shared" si="17"/>
        <v>1</v>
      </c>
    </row>
    <row r="349" spans="1:14" x14ac:dyDescent="0.35">
      <c r="A349" t="s">
        <v>1905</v>
      </c>
      <c r="B349" t="s">
        <v>2817</v>
      </c>
      <c r="C349" t="s">
        <v>524</v>
      </c>
      <c r="D349">
        <v>25.5</v>
      </c>
      <c r="E349" t="s">
        <v>13</v>
      </c>
      <c r="F349" s="1">
        <v>44497</v>
      </c>
      <c r="G349" s="1">
        <v>46059</v>
      </c>
      <c r="H349" t="s">
        <v>14</v>
      </c>
      <c r="I349" s="2">
        <v>2778610</v>
      </c>
      <c r="J349">
        <v>264115</v>
      </c>
      <c r="K349" t="s">
        <v>15</v>
      </c>
      <c r="L349" t="str">
        <f t="shared" si="15"/>
        <v>Available</v>
      </c>
      <c r="M349">
        <f t="shared" si="16"/>
        <v>1</v>
      </c>
      <c r="N349">
        <f t="shared" si="17"/>
        <v>1</v>
      </c>
    </row>
    <row r="350" spans="1:14" x14ac:dyDescent="0.35">
      <c r="A350" t="s">
        <v>1906</v>
      </c>
      <c r="B350" t="s">
        <v>12</v>
      </c>
      <c r="C350" t="s">
        <v>525</v>
      </c>
      <c r="D350">
        <v>24</v>
      </c>
      <c r="E350" t="s">
        <v>13</v>
      </c>
      <c r="F350" s="1">
        <v>44497</v>
      </c>
      <c r="G350" s="1">
        <v>46059</v>
      </c>
      <c r="H350" t="s">
        <v>14</v>
      </c>
      <c r="I350" s="2">
        <v>73923</v>
      </c>
      <c r="J350">
        <v>264107</v>
      </c>
      <c r="K350" t="s">
        <v>15</v>
      </c>
      <c r="L350" t="str">
        <f t="shared" si="15"/>
        <v>Available</v>
      </c>
      <c r="M350">
        <f t="shared" si="16"/>
        <v>1</v>
      </c>
      <c r="N350">
        <f t="shared" si="17"/>
        <v>1</v>
      </c>
    </row>
    <row r="351" spans="1:14" x14ac:dyDescent="0.35">
      <c r="A351" t="s">
        <v>1907</v>
      </c>
      <c r="B351" t="s">
        <v>527</v>
      </c>
      <c r="C351" t="s">
        <v>526</v>
      </c>
      <c r="D351">
        <v>24</v>
      </c>
      <c r="E351" t="s">
        <v>13</v>
      </c>
      <c r="F351" s="1">
        <v>44497</v>
      </c>
      <c r="G351" s="1">
        <v>46058</v>
      </c>
      <c r="H351" t="s">
        <v>14</v>
      </c>
      <c r="I351" s="2">
        <v>19226244</v>
      </c>
      <c r="J351">
        <v>267108</v>
      </c>
      <c r="K351" t="s">
        <v>30</v>
      </c>
      <c r="L351" t="str">
        <f t="shared" si="15"/>
        <v>Available</v>
      </c>
      <c r="M351">
        <f t="shared" si="16"/>
        <v>0</v>
      </c>
      <c r="N351">
        <f t="shared" si="17"/>
        <v>1</v>
      </c>
    </row>
    <row r="352" spans="1:14" x14ac:dyDescent="0.35">
      <c r="A352" t="s">
        <v>1908</v>
      </c>
      <c r="B352" t="s">
        <v>529</v>
      </c>
      <c r="C352" t="s">
        <v>528</v>
      </c>
      <c r="D352">
        <v>26</v>
      </c>
      <c r="E352" t="s">
        <v>13</v>
      </c>
      <c r="F352" s="1">
        <v>44500</v>
      </c>
      <c r="G352" s="1">
        <v>46059</v>
      </c>
      <c r="H352" t="s">
        <v>14</v>
      </c>
      <c r="I352" s="2">
        <v>110850</v>
      </c>
      <c r="J352">
        <v>262621</v>
      </c>
      <c r="K352" t="s">
        <v>15</v>
      </c>
      <c r="L352" t="str">
        <f t="shared" si="15"/>
        <v>Available</v>
      </c>
      <c r="M352">
        <f t="shared" si="16"/>
        <v>1</v>
      </c>
      <c r="N352">
        <f t="shared" si="17"/>
        <v>1</v>
      </c>
    </row>
    <row r="353" spans="1:14" x14ac:dyDescent="0.35">
      <c r="A353" t="s">
        <v>1909</v>
      </c>
      <c r="B353" t="s">
        <v>137</v>
      </c>
      <c r="C353" t="s">
        <v>530</v>
      </c>
      <c r="D353">
        <v>21.2</v>
      </c>
      <c r="E353" t="s">
        <v>13</v>
      </c>
      <c r="F353" s="1">
        <v>44538</v>
      </c>
      <c r="G353" s="1">
        <v>46058</v>
      </c>
      <c r="H353" t="s">
        <v>14</v>
      </c>
      <c r="I353" s="2">
        <v>26250896</v>
      </c>
      <c r="J353">
        <v>262264</v>
      </c>
      <c r="K353" t="s">
        <v>30</v>
      </c>
      <c r="L353" t="str">
        <f t="shared" si="15"/>
        <v>Available</v>
      </c>
      <c r="M353">
        <f t="shared" si="16"/>
        <v>0</v>
      </c>
      <c r="N353">
        <f t="shared" si="17"/>
        <v>1</v>
      </c>
    </row>
    <row r="354" spans="1:14" x14ac:dyDescent="0.35">
      <c r="A354" t="s">
        <v>1910</v>
      </c>
      <c r="B354" t="s">
        <v>152</v>
      </c>
      <c r="C354" t="s">
        <v>531</v>
      </c>
      <c r="D354">
        <v>24</v>
      </c>
      <c r="E354" t="s">
        <v>13</v>
      </c>
      <c r="F354" s="1">
        <v>44497</v>
      </c>
      <c r="G354" s="1">
        <v>46057</v>
      </c>
      <c r="H354" t="s">
        <v>14</v>
      </c>
      <c r="I354" t="s">
        <v>2778</v>
      </c>
      <c r="J354">
        <v>264236</v>
      </c>
      <c r="K354" t="s">
        <v>15</v>
      </c>
      <c r="L354" t="str">
        <f t="shared" si="15"/>
        <v>Available</v>
      </c>
      <c r="M354">
        <f t="shared" si="16"/>
        <v>1</v>
      </c>
      <c r="N354">
        <f t="shared" si="17"/>
        <v>1</v>
      </c>
    </row>
    <row r="355" spans="1:14" x14ac:dyDescent="0.35">
      <c r="A355" t="s">
        <v>1911</v>
      </c>
      <c r="B355" t="s">
        <v>2807</v>
      </c>
      <c r="C355" t="s">
        <v>532</v>
      </c>
      <c r="D355">
        <v>24</v>
      </c>
      <c r="E355" t="s">
        <v>13</v>
      </c>
      <c r="F355" s="1">
        <v>44935</v>
      </c>
      <c r="G355" s="1">
        <v>46059</v>
      </c>
      <c r="H355" t="s">
        <v>14</v>
      </c>
      <c r="I355" s="2">
        <v>29203222</v>
      </c>
      <c r="J355">
        <v>261582</v>
      </c>
      <c r="K355" t="s">
        <v>15</v>
      </c>
      <c r="L355" t="str">
        <f t="shared" si="15"/>
        <v>Available</v>
      </c>
      <c r="M355">
        <f t="shared" si="16"/>
        <v>1</v>
      </c>
      <c r="N355">
        <f t="shared" si="17"/>
        <v>1</v>
      </c>
    </row>
    <row r="356" spans="1:14" x14ac:dyDescent="0.35">
      <c r="A356" t="s">
        <v>1912</v>
      </c>
      <c r="B356" t="s">
        <v>534</v>
      </c>
      <c r="C356" t="s">
        <v>533</v>
      </c>
      <c r="D356">
        <v>23.5</v>
      </c>
      <c r="E356" t="s">
        <v>13</v>
      </c>
      <c r="F356" s="1">
        <v>44612</v>
      </c>
      <c r="G356" s="1">
        <v>46059</v>
      </c>
      <c r="H356" t="s">
        <v>14</v>
      </c>
      <c r="I356" s="2">
        <v>27993124</v>
      </c>
      <c r="J356">
        <v>264373</v>
      </c>
      <c r="K356" t="s">
        <v>15</v>
      </c>
      <c r="L356" t="str">
        <f t="shared" si="15"/>
        <v>Available</v>
      </c>
      <c r="M356">
        <f t="shared" si="16"/>
        <v>1</v>
      </c>
      <c r="N356">
        <f t="shared" si="17"/>
        <v>1</v>
      </c>
    </row>
    <row r="357" spans="1:14" x14ac:dyDescent="0.35">
      <c r="A357" t="s">
        <v>1913</v>
      </c>
      <c r="B357" t="s">
        <v>2778</v>
      </c>
      <c r="C357" t="s">
        <v>535</v>
      </c>
      <c r="D357">
        <v>16</v>
      </c>
      <c r="E357" t="s">
        <v>13</v>
      </c>
      <c r="F357" s="1">
        <v>44498</v>
      </c>
      <c r="G357" s="1">
        <v>45952</v>
      </c>
      <c r="H357" t="s">
        <v>14</v>
      </c>
      <c r="I357" t="s">
        <v>2778</v>
      </c>
      <c r="J357">
        <v>261484</v>
      </c>
      <c r="K357" t="s">
        <v>15</v>
      </c>
      <c r="L357" t="str">
        <f t="shared" si="15"/>
        <v>Missing</v>
      </c>
      <c r="M357">
        <f t="shared" si="16"/>
        <v>1</v>
      </c>
      <c r="N357">
        <f t="shared" si="17"/>
        <v>0</v>
      </c>
    </row>
    <row r="358" spans="1:14" x14ac:dyDescent="0.35">
      <c r="A358" t="s">
        <v>1914</v>
      </c>
      <c r="B358" t="s">
        <v>208</v>
      </c>
      <c r="C358" t="s">
        <v>536</v>
      </c>
      <c r="D358">
        <v>19.8</v>
      </c>
      <c r="E358" t="s">
        <v>13</v>
      </c>
      <c r="F358" s="1">
        <v>44502</v>
      </c>
      <c r="G358" s="1">
        <v>46041</v>
      </c>
      <c r="H358" t="s">
        <v>14</v>
      </c>
      <c r="I358" t="s">
        <v>2778</v>
      </c>
      <c r="J358">
        <v>264059</v>
      </c>
      <c r="K358" t="s">
        <v>15</v>
      </c>
      <c r="L358" t="str">
        <f t="shared" si="15"/>
        <v>Available</v>
      </c>
      <c r="M358">
        <f t="shared" si="16"/>
        <v>1</v>
      </c>
      <c r="N358">
        <f t="shared" si="17"/>
        <v>1</v>
      </c>
    </row>
    <row r="359" spans="1:14" x14ac:dyDescent="0.35">
      <c r="A359" t="s">
        <v>1915</v>
      </c>
      <c r="B359" t="s">
        <v>43</v>
      </c>
      <c r="C359" t="s">
        <v>537</v>
      </c>
      <c r="D359">
        <v>25</v>
      </c>
      <c r="E359" t="s">
        <v>13</v>
      </c>
      <c r="F359" s="1">
        <v>44497</v>
      </c>
      <c r="G359" s="1">
        <v>46059</v>
      </c>
      <c r="H359" t="s">
        <v>14</v>
      </c>
      <c r="I359" s="2">
        <v>3122953</v>
      </c>
      <c r="J359">
        <v>264063</v>
      </c>
      <c r="K359" t="s">
        <v>15</v>
      </c>
      <c r="L359" t="str">
        <f t="shared" si="15"/>
        <v>Available</v>
      </c>
      <c r="M359">
        <f t="shared" si="16"/>
        <v>1</v>
      </c>
      <c r="N359">
        <f t="shared" si="17"/>
        <v>1</v>
      </c>
    </row>
    <row r="360" spans="1:14" x14ac:dyDescent="0.35">
      <c r="A360" t="s">
        <v>1916</v>
      </c>
      <c r="B360" t="s">
        <v>251</v>
      </c>
      <c r="C360" t="s">
        <v>538</v>
      </c>
      <c r="D360">
        <v>23.5</v>
      </c>
      <c r="E360" t="s">
        <v>13</v>
      </c>
      <c r="F360" s="1">
        <v>44822</v>
      </c>
      <c r="G360" s="1">
        <v>46059</v>
      </c>
      <c r="H360" t="s">
        <v>14</v>
      </c>
      <c r="I360" s="2">
        <v>27740612</v>
      </c>
      <c r="J360">
        <v>264751</v>
      </c>
      <c r="K360" t="s">
        <v>15</v>
      </c>
      <c r="L360" t="str">
        <f t="shared" si="15"/>
        <v>Available</v>
      </c>
      <c r="M360">
        <f t="shared" si="16"/>
        <v>1</v>
      </c>
      <c r="N360">
        <f t="shared" si="17"/>
        <v>1</v>
      </c>
    </row>
    <row r="361" spans="1:14" x14ac:dyDescent="0.35">
      <c r="A361" t="s">
        <v>1917</v>
      </c>
      <c r="B361" t="s">
        <v>147</v>
      </c>
      <c r="C361" t="s">
        <v>539</v>
      </c>
      <c r="D361">
        <v>24</v>
      </c>
      <c r="E361" t="s">
        <v>13</v>
      </c>
      <c r="F361" s="1">
        <v>44497</v>
      </c>
      <c r="G361" s="1">
        <v>46059</v>
      </c>
      <c r="H361" t="s">
        <v>14</v>
      </c>
      <c r="I361" s="2">
        <v>23897341</v>
      </c>
      <c r="J361">
        <v>266547</v>
      </c>
      <c r="K361" t="s">
        <v>30</v>
      </c>
      <c r="L361" t="str">
        <f t="shared" si="15"/>
        <v>Available</v>
      </c>
      <c r="M361">
        <f t="shared" si="16"/>
        <v>0</v>
      </c>
      <c r="N361">
        <f t="shared" si="17"/>
        <v>1</v>
      </c>
    </row>
    <row r="362" spans="1:14" x14ac:dyDescent="0.35">
      <c r="A362" t="s">
        <v>1918</v>
      </c>
      <c r="B362" t="s">
        <v>541</v>
      </c>
      <c r="C362" t="s">
        <v>540</v>
      </c>
      <c r="D362">
        <v>24</v>
      </c>
      <c r="E362" t="s">
        <v>13</v>
      </c>
      <c r="F362" s="1">
        <v>44497</v>
      </c>
      <c r="G362" s="1">
        <v>45800</v>
      </c>
      <c r="H362" t="s">
        <v>14</v>
      </c>
      <c r="I362" t="s">
        <v>2778</v>
      </c>
      <c r="J362">
        <v>261480</v>
      </c>
      <c r="K362" t="s">
        <v>15</v>
      </c>
      <c r="L362" t="str">
        <f t="shared" si="15"/>
        <v>Available</v>
      </c>
      <c r="M362">
        <f t="shared" si="16"/>
        <v>1</v>
      </c>
      <c r="N362">
        <f t="shared" si="17"/>
        <v>1</v>
      </c>
    </row>
    <row r="363" spans="1:14" x14ac:dyDescent="0.35">
      <c r="A363" t="s">
        <v>1919</v>
      </c>
      <c r="B363" t="s">
        <v>2798</v>
      </c>
      <c r="C363" t="s">
        <v>542</v>
      </c>
      <c r="D363">
        <v>45</v>
      </c>
      <c r="E363" t="s">
        <v>13</v>
      </c>
      <c r="F363" s="1">
        <v>44501</v>
      </c>
      <c r="G363" s="1">
        <v>46060</v>
      </c>
      <c r="H363" t="s">
        <v>14</v>
      </c>
      <c r="I363" s="2">
        <v>77085</v>
      </c>
      <c r="J363">
        <v>264441</v>
      </c>
      <c r="K363" t="s">
        <v>15</v>
      </c>
      <c r="L363" t="str">
        <f t="shared" si="15"/>
        <v>Available</v>
      </c>
      <c r="M363">
        <f t="shared" si="16"/>
        <v>1</v>
      </c>
      <c r="N363">
        <f t="shared" si="17"/>
        <v>1</v>
      </c>
    </row>
    <row r="364" spans="1:14" x14ac:dyDescent="0.35">
      <c r="A364" t="s">
        <v>1920</v>
      </c>
      <c r="B364" t="s">
        <v>544</v>
      </c>
      <c r="C364" t="s">
        <v>543</v>
      </c>
      <c r="D364">
        <v>24</v>
      </c>
      <c r="E364" t="s">
        <v>13</v>
      </c>
      <c r="F364" s="1">
        <v>44501</v>
      </c>
      <c r="G364" s="1">
        <v>45343</v>
      </c>
      <c r="H364" t="s">
        <v>14</v>
      </c>
      <c r="I364" t="s">
        <v>2778</v>
      </c>
      <c r="J364">
        <v>262615</v>
      </c>
      <c r="K364" t="s">
        <v>15</v>
      </c>
      <c r="L364" t="str">
        <f t="shared" si="15"/>
        <v>Available</v>
      </c>
      <c r="M364">
        <f t="shared" si="16"/>
        <v>1</v>
      </c>
      <c r="N364">
        <f t="shared" si="17"/>
        <v>1</v>
      </c>
    </row>
    <row r="365" spans="1:14" x14ac:dyDescent="0.35">
      <c r="A365" t="s">
        <v>1921</v>
      </c>
      <c r="B365" t="s">
        <v>2778</v>
      </c>
      <c r="C365" t="s">
        <v>545</v>
      </c>
      <c r="D365">
        <v>24</v>
      </c>
      <c r="E365" t="s">
        <v>13</v>
      </c>
      <c r="F365" s="1">
        <v>44497</v>
      </c>
      <c r="G365" s="1">
        <v>46058</v>
      </c>
      <c r="H365" t="s">
        <v>14</v>
      </c>
      <c r="I365" s="2">
        <v>19516349</v>
      </c>
      <c r="J365">
        <v>261572</v>
      </c>
      <c r="K365" t="s">
        <v>30</v>
      </c>
      <c r="L365" t="str">
        <f t="shared" si="15"/>
        <v>Missing</v>
      </c>
      <c r="M365">
        <f t="shared" si="16"/>
        <v>0</v>
      </c>
      <c r="N365">
        <f t="shared" si="17"/>
        <v>0</v>
      </c>
    </row>
    <row r="366" spans="1:14" x14ac:dyDescent="0.35">
      <c r="A366" t="s">
        <v>1922</v>
      </c>
      <c r="B366" t="s">
        <v>37</v>
      </c>
      <c r="C366" t="s">
        <v>546</v>
      </c>
      <c r="D366">
        <v>26</v>
      </c>
      <c r="E366" t="s">
        <v>13</v>
      </c>
      <c r="F366" s="1">
        <v>44499</v>
      </c>
      <c r="G366" s="1">
        <v>46059</v>
      </c>
      <c r="H366" t="s">
        <v>14</v>
      </c>
      <c r="I366" t="s">
        <v>2778</v>
      </c>
      <c r="J366">
        <v>266301</v>
      </c>
      <c r="K366" t="s">
        <v>30</v>
      </c>
      <c r="L366" t="str">
        <f t="shared" si="15"/>
        <v>Available</v>
      </c>
      <c r="M366">
        <f t="shared" si="16"/>
        <v>0</v>
      </c>
      <c r="N366">
        <f t="shared" si="17"/>
        <v>1</v>
      </c>
    </row>
    <row r="367" spans="1:14" x14ac:dyDescent="0.35">
      <c r="A367" t="s">
        <v>1923</v>
      </c>
      <c r="B367" t="s">
        <v>25</v>
      </c>
      <c r="C367" t="s">
        <v>547</v>
      </c>
      <c r="D367">
        <v>23.75</v>
      </c>
      <c r="E367" t="s">
        <v>13</v>
      </c>
      <c r="F367" s="1">
        <v>44497</v>
      </c>
      <c r="G367" s="1">
        <v>46060</v>
      </c>
      <c r="H367" t="s">
        <v>14</v>
      </c>
      <c r="I367" s="2">
        <v>77109</v>
      </c>
      <c r="J367">
        <v>261791</v>
      </c>
      <c r="K367" t="s">
        <v>15</v>
      </c>
      <c r="L367" t="str">
        <f t="shared" si="15"/>
        <v>Available</v>
      </c>
      <c r="M367">
        <f t="shared" si="16"/>
        <v>1</v>
      </c>
      <c r="N367">
        <f t="shared" si="17"/>
        <v>1</v>
      </c>
    </row>
    <row r="368" spans="1:14" x14ac:dyDescent="0.35">
      <c r="A368" t="s">
        <v>1924</v>
      </c>
      <c r="B368" t="s">
        <v>291</v>
      </c>
      <c r="C368" t="s">
        <v>548</v>
      </c>
      <c r="D368">
        <v>24</v>
      </c>
      <c r="E368" t="s">
        <v>13</v>
      </c>
      <c r="F368" s="1">
        <v>44497</v>
      </c>
      <c r="G368" s="1">
        <v>46057</v>
      </c>
      <c r="H368" t="s">
        <v>14</v>
      </c>
      <c r="I368" t="s">
        <v>2778</v>
      </c>
      <c r="J368">
        <v>264372</v>
      </c>
      <c r="K368" t="s">
        <v>30</v>
      </c>
      <c r="L368" t="str">
        <f t="shared" si="15"/>
        <v>Available</v>
      </c>
      <c r="M368">
        <f t="shared" si="16"/>
        <v>0</v>
      </c>
      <c r="N368">
        <f t="shared" si="17"/>
        <v>1</v>
      </c>
    </row>
    <row r="369" spans="1:14" x14ac:dyDescent="0.35">
      <c r="A369" t="s">
        <v>1925</v>
      </c>
      <c r="B369" t="s">
        <v>2810</v>
      </c>
      <c r="C369" t="s">
        <v>549</v>
      </c>
      <c r="D369">
        <v>32</v>
      </c>
      <c r="E369" t="s">
        <v>13</v>
      </c>
      <c r="F369" s="1">
        <v>44497</v>
      </c>
      <c r="G369" s="1">
        <v>45979</v>
      </c>
      <c r="H369" t="s">
        <v>14</v>
      </c>
      <c r="I369" t="s">
        <v>2778</v>
      </c>
      <c r="J369">
        <v>264359</v>
      </c>
      <c r="K369" t="s">
        <v>30</v>
      </c>
      <c r="L369" t="str">
        <f t="shared" si="15"/>
        <v>Available</v>
      </c>
      <c r="M369">
        <f t="shared" si="16"/>
        <v>0</v>
      </c>
      <c r="N369">
        <f t="shared" si="17"/>
        <v>1</v>
      </c>
    </row>
    <row r="370" spans="1:14" x14ac:dyDescent="0.35">
      <c r="A370" t="s">
        <v>1926</v>
      </c>
      <c r="B370" t="s">
        <v>2804</v>
      </c>
      <c r="C370" t="s">
        <v>550</v>
      </c>
      <c r="D370">
        <v>24</v>
      </c>
      <c r="E370" t="s">
        <v>13</v>
      </c>
      <c r="F370" s="1">
        <v>44497</v>
      </c>
      <c r="G370" s="1">
        <v>46060</v>
      </c>
      <c r="H370" t="s">
        <v>14</v>
      </c>
      <c r="I370" t="s">
        <v>2781</v>
      </c>
      <c r="J370" t="s">
        <v>551</v>
      </c>
      <c r="K370" t="s">
        <v>15</v>
      </c>
      <c r="L370" t="str">
        <f t="shared" si="15"/>
        <v>Available</v>
      </c>
      <c r="M370">
        <f t="shared" si="16"/>
        <v>1</v>
      </c>
      <c r="N370">
        <f t="shared" si="17"/>
        <v>1</v>
      </c>
    </row>
    <row r="371" spans="1:14" x14ac:dyDescent="0.35">
      <c r="A371" t="s">
        <v>1927</v>
      </c>
      <c r="B371" t="s">
        <v>25</v>
      </c>
      <c r="C371" t="s">
        <v>552</v>
      </c>
      <c r="D371">
        <v>44</v>
      </c>
      <c r="E371" t="s">
        <v>13</v>
      </c>
      <c r="F371" s="1">
        <v>44497</v>
      </c>
      <c r="G371" s="1">
        <v>46060</v>
      </c>
      <c r="H371" t="s">
        <v>14</v>
      </c>
      <c r="I371" s="2">
        <v>20021629</v>
      </c>
      <c r="J371">
        <v>266312</v>
      </c>
      <c r="K371" t="s">
        <v>15</v>
      </c>
      <c r="L371" t="str">
        <f t="shared" si="15"/>
        <v>Available</v>
      </c>
      <c r="M371">
        <f t="shared" si="16"/>
        <v>1</v>
      </c>
      <c r="N371">
        <f t="shared" si="17"/>
        <v>1</v>
      </c>
    </row>
    <row r="372" spans="1:14" x14ac:dyDescent="0.35">
      <c r="A372" t="s">
        <v>1928</v>
      </c>
      <c r="B372" t="s">
        <v>2819</v>
      </c>
      <c r="C372" t="s">
        <v>553</v>
      </c>
      <c r="D372">
        <v>24</v>
      </c>
      <c r="E372" t="s">
        <v>13</v>
      </c>
      <c r="F372" s="1">
        <v>44497</v>
      </c>
      <c r="G372" s="1">
        <v>46059</v>
      </c>
      <c r="H372" t="s">
        <v>14</v>
      </c>
      <c r="I372" s="2">
        <v>53390</v>
      </c>
      <c r="J372">
        <v>264562</v>
      </c>
      <c r="K372" t="s">
        <v>15</v>
      </c>
      <c r="L372" t="str">
        <f t="shared" si="15"/>
        <v>Available</v>
      </c>
      <c r="M372">
        <f t="shared" si="16"/>
        <v>1</v>
      </c>
      <c r="N372">
        <f t="shared" si="17"/>
        <v>1</v>
      </c>
    </row>
    <row r="373" spans="1:14" x14ac:dyDescent="0.35">
      <c r="A373" t="s">
        <v>1929</v>
      </c>
      <c r="B373" t="s">
        <v>2778</v>
      </c>
      <c r="C373" t="s">
        <v>554</v>
      </c>
      <c r="D373">
        <v>32</v>
      </c>
      <c r="E373" t="s">
        <v>35</v>
      </c>
      <c r="F373" s="1">
        <v>44503</v>
      </c>
      <c r="G373" s="1">
        <v>46058</v>
      </c>
      <c r="H373" t="s">
        <v>14</v>
      </c>
      <c r="I373" s="2">
        <v>2385620</v>
      </c>
      <c r="J373">
        <v>264559</v>
      </c>
      <c r="K373" t="s">
        <v>30</v>
      </c>
      <c r="L373" t="str">
        <f t="shared" si="15"/>
        <v>Missing</v>
      </c>
      <c r="M373">
        <f t="shared" si="16"/>
        <v>0</v>
      </c>
      <c r="N373">
        <f t="shared" si="17"/>
        <v>0</v>
      </c>
    </row>
    <row r="374" spans="1:14" x14ac:dyDescent="0.35">
      <c r="A374" t="s">
        <v>1930</v>
      </c>
      <c r="B374" t="s">
        <v>439</v>
      </c>
      <c r="C374" t="s">
        <v>555</v>
      </c>
      <c r="D374">
        <v>24</v>
      </c>
      <c r="E374" t="s">
        <v>13</v>
      </c>
      <c r="F374" s="1">
        <v>44497</v>
      </c>
      <c r="G374" s="1">
        <v>46059</v>
      </c>
      <c r="H374" t="s">
        <v>14</v>
      </c>
      <c r="I374" s="2">
        <v>3363866</v>
      </c>
      <c r="J374">
        <v>264453</v>
      </c>
      <c r="K374" t="s">
        <v>30</v>
      </c>
      <c r="L374" t="str">
        <f t="shared" si="15"/>
        <v>Available</v>
      </c>
      <c r="M374">
        <f t="shared" si="16"/>
        <v>0</v>
      </c>
      <c r="N374">
        <f t="shared" si="17"/>
        <v>1</v>
      </c>
    </row>
    <row r="375" spans="1:14" x14ac:dyDescent="0.35">
      <c r="A375" t="s">
        <v>1931</v>
      </c>
      <c r="B375" t="s">
        <v>392</v>
      </c>
      <c r="C375" t="s">
        <v>556</v>
      </c>
      <c r="D375">
        <v>25</v>
      </c>
      <c r="E375" t="s">
        <v>13</v>
      </c>
      <c r="F375" s="1">
        <v>44500</v>
      </c>
      <c r="G375" s="1">
        <v>46059</v>
      </c>
      <c r="H375" t="s">
        <v>14</v>
      </c>
      <c r="I375" s="2">
        <v>17867975</v>
      </c>
      <c r="J375">
        <v>261801</v>
      </c>
      <c r="K375" t="s">
        <v>30</v>
      </c>
      <c r="L375" t="str">
        <f t="shared" si="15"/>
        <v>Available</v>
      </c>
      <c r="M375">
        <f t="shared" si="16"/>
        <v>0</v>
      </c>
      <c r="N375">
        <f t="shared" si="17"/>
        <v>1</v>
      </c>
    </row>
    <row r="376" spans="1:14" x14ac:dyDescent="0.35">
      <c r="A376" t="s">
        <v>1932</v>
      </c>
      <c r="B376" t="s">
        <v>558</v>
      </c>
      <c r="C376" t="s">
        <v>557</v>
      </c>
      <c r="D376">
        <v>11</v>
      </c>
      <c r="E376" t="s">
        <v>13</v>
      </c>
      <c r="F376" s="1">
        <v>44497</v>
      </c>
      <c r="G376" s="1">
        <v>45372</v>
      </c>
      <c r="H376" t="s">
        <v>14</v>
      </c>
      <c r="I376" t="s">
        <v>2778</v>
      </c>
      <c r="J376">
        <v>266440</v>
      </c>
      <c r="K376" t="s">
        <v>30</v>
      </c>
      <c r="L376" t="str">
        <f t="shared" si="15"/>
        <v>Available</v>
      </c>
      <c r="M376">
        <f t="shared" si="16"/>
        <v>0</v>
      </c>
      <c r="N376">
        <f t="shared" si="17"/>
        <v>1</v>
      </c>
    </row>
    <row r="377" spans="1:14" x14ac:dyDescent="0.35">
      <c r="A377" t="s">
        <v>1933</v>
      </c>
      <c r="B377" t="s">
        <v>494</v>
      </c>
      <c r="C377" t="s">
        <v>559</v>
      </c>
      <c r="D377">
        <v>24</v>
      </c>
      <c r="E377" t="s">
        <v>13</v>
      </c>
      <c r="F377" s="1">
        <v>44500</v>
      </c>
      <c r="G377" s="1">
        <v>46059</v>
      </c>
      <c r="H377" t="s">
        <v>14</v>
      </c>
      <c r="I377" s="2">
        <v>3203826</v>
      </c>
      <c r="J377">
        <v>262247</v>
      </c>
      <c r="K377" t="s">
        <v>30</v>
      </c>
      <c r="L377" t="str">
        <f t="shared" si="15"/>
        <v>Available</v>
      </c>
      <c r="M377">
        <f t="shared" si="16"/>
        <v>0</v>
      </c>
      <c r="N377">
        <f t="shared" si="17"/>
        <v>1</v>
      </c>
    </row>
    <row r="378" spans="1:14" x14ac:dyDescent="0.35">
      <c r="A378" t="s">
        <v>1934</v>
      </c>
      <c r="B378" t="s">
        <v>12</v>
      </c>
      <c r="C378" t="s">
        <v>560</v>
      </c>
      <c r="D378">
        <v>24</v>
      </c>
      <c r="E378" t="s">
        <v>13</v>
      </c>
      <c r="F378" s="1">
        <v>44497</v>
      </c>
      <c r="G378" s="1">
        <v>46059</v>
      </c>
      <c r="H378" t="s">
        <v>14</v>
      </c>
      <c r="I378" s="2">
        <v>39359</v>
      </c>
      <c r="J378">
        <v>266373</v>
      </c>
      <c r="K378" t="s">
        <v>15</v>
      </c>
      <c r="L378" t="str">
        <f t="shared" si="15"/>
        <v>Available</v>
      </c>
      <c r="M378">
        <f t="shared" si="16"/>
        <v>1</v>
      </c>
      <c r="N378">
        <f t="shared" si="17"/>
        <v>1</v>
      </c>
    </row>
    <row r="379" spans="1:14" x14ac:dyDescent="0.35">
      <c r="A379" t="s">
        <v>1935</v>
      </c>
      <c r="B379" t="s">
        <v>562</v>
      </c>
      <c r="C379" t="s">
        <v>561</v>
      </c>
      <c r="F379" s="1">
        <v>44497</v>
      </c>
      <c r="G379" s="1">
        <v>45330</v>
      </c>
      <c r="H379" t="s">
        <v>14</v>
      </c>
      <c r="I379" t="s">
        <v>2778</v>
      </c>
      <c r="J379">
        <v>261651</v>
      </c>
      <c r="K379" t="s">
        <v>15</v>
      </c>
      <c r="L379" t="str">
        <f t="shared" si="15"/>
        <v>Available</v>
      </c>
      <c r="M379">
        <f t="shared" si="16"/>
        <v>1</v>
      </c>
      <c r="N379">
        <f t="shared" si="17"/>
        <v>1</v>
      </c>
    </row>
    <row r="380" spans="1:14" x14ac:dyDescent="0.35">
      <c r="A380" t="s">
        <v>1936</v>
      </c>
      <c r="B380" t="s">
        <v>2797</v>
      </c>
      <c r="C380" t="s">
        <v>563</v>
      </c>
      <c r="D380">
        <v>24</v>
      </c>
      <c r="E380" t="s">
        <v>13</v>
      </c>
      <c r="F380" s="1">
        <v>44497</v>
      </c>
      <c r="G380" s="1">
        <v>46059</v>
      </c>
      <c r="H380" t="s">
        <v>14</v>
      </c>
      <c r="I380" s="2">
        <v>43574</v>
      </c>
      <c r="J380">
        <v>262283</v>
      </c>
      <c r="K380" t="s">
        <v>15</v>
      </c>
      <c r="L380" t="str">
        <f t="shared" si="15"/>
        <v>Available</v>
      </c>
      <c r="M380">
        <f t="shared" si="16"/>
        <v>1</v>
      </c>
      <c r="N380">
        <f t="shared" si="17"/>
        <v>1</v>
      </c>
    </row>
    <row r="381" spans="1:14" x14ac:dyDescent="0.35">
      <c r="A381" t="s">
        <v>1937</v>
      </c>
      <c r="B381" t="s">
        <v>259</v>
      </c>
      <c r="C381" t="s">
        <v>564</v>
      </c>
      <c r="D381">
        <v>24</v>
      </c>
      <c r="E381" t="s">
        <v>13</v>
      </c>
      <c r="F381" s="1">
        <v>44497</v>
      </c>
      <c r="G381" s="1">
        <v>46059</v>
      </c>
      <c r="H381" t="s">
        <v>14</v>
      </c>
      <c r="I381" s="2">
        <v>98525</v>
      </c>
      <c r="J381">
        <v>264761</v>
      </c>
      <c r="K381" t="s">
        <v>15</v>
      </c>
      <c r="L381" t="str">
        <f t="shared" si="15"/>
        <v>Available</v>
      </c>
      <c r="M381">
        <f t="shared" si="16"/>
        <v>1</v>
      </c>
      <c r="N381">
        <f t="shared" si="17"/>
        <v>1</v>
      </c>
    </row>
    <row r="382" spans="1:14" x14ac:dyDescent="0.35">
      <c r="A382" t="s">
        <v>1938</v>
      </c>
      <c r="B382" t="s">
        <v>156</v>
      </c>
      <c r="C382" t="s">
        <v>566</v>
      </c>
      <c r="D382">
        <v>24</v>
      </c>
      <c r="E382" t="s">
        <v>13</v>
      </c>
      <c r="F382" s="1">
        <v>45098</v>
      </c>
      <c r="G382" s="1">
        <v>46060</v>
      </c>
      <c r="H382" t="s">
        <v>14</v>
      </c>
      <c r="I382" s="2">
        <v>31793735</v>
      </c>
      <c r="J382">
        <v>261677</v>
      </c>
      <c r="K382" t="s">
        <v>15</v>
      </c>
      <c r="L382" t="str">
        <f t="shared" si="15"/>
        <v>Available</v>
      </c>
      <c r="M382">
        <f t="shared" si="16"/>
        <v>1</v>
      </c>
      <c r="N382">
        <f t="shared" si="17"/>
        <v>1</v>
      </c>
    </row>
    <row r="383" spans="1:14" x14ac:dyDescent="0.35">
      <c r="A383" t="s">
        <v>1939</v>
      </c>
      <c r="B383" t="s">
        <v>25</v>
      </c>
      <c r="C383" t="s">
        <v>567</v>
      </c>
      <c r="D383">
        <v>21.809698000000001</v>
      </c>
      <c r="E383" t="s">
        <v>35</v>
      </c>
      <c r="F383" s="1">
        <v>44497</v>
      </c>
      <c r="G383" s="1">
        <v>46058</v>
      </c>
      <c r="H383" t="s">
        <v>14</v>
      </c>
      <c r="I383" t="s">
        <v>2778</v>
      </c>
      <c r="J383">
        <v>261872</v>
      </c>
      <c r="K383" t="s">
        <v>30</v>
      </c>
      <c r="L383" t="str">
        <f t="shared" si="15"/>
        <v>Available</v>
      </c>
      <c r="M383">
        <f t="shared" si="16"/>
        <v>0</v>
      </c>
      <c r="N383">
        <f t="shared" si="17"/>
        <v>1</v>
      </c>
    </row>
    <row r="384" spans="1:14" x14ac:dyDescent="0.35">
      <c r="A384" t="s">
        <v>1940</v>
      </c>
      <c r="B384" t="s">
        <v>400</v>
      </c>
      <c r="C384" t="s">
        <v>568</v>
      </c>
      <c r="D384">
        <v>25</v>
      </c>
      <c r="E384" t="s">
        <v>13</v>
      </c>
      <c r="F384" s="1">
        <v>45358</v>
      </c>
      <c r="G384" s="1">
        <v>46059</v>
      </c>
      <c r="H384" t="s">
        <v>14</v>
      </c>
      <c r="I384" s="2">
        <v>32557993</v>
      </c>
      <c r="J384">
        <v>261598</v>
      </c>
      <c r="K384" t="s">
        <v>15</v>
      </c>
      <c r="L384" t="str">
        <f t="shared" si="15"/>
        <v>Available</v>
      </c>
      <c r="M384">
        <f t="shared" si="16"/>
        <v>1</v>
      </c>
      <c r="N384">
        <f t="shared" si="17"/>
        <v>1</v>
      </c>
    </row>
    <row r="385" spans="1:14" x14ac:dyDescent="0.35">
      <c r="A385" t="s">
        <v>1941</v>
      </c>
      <c r="B385" t="s">
        <v>570</v>
      </c>
      <c r="C385" t="s">
        <v>569</v>
      </c>
      <c r="D385">
        <v>24</v>
      </c>
      <c r="E385" t="s">
        <v>13</v>
      </c>
      <c r="F385" s="1">
        <v>45574</v>
      </c>
      <c r="G385" s="1">
        <v>46057</v>
      </c>
      <c r="H385" t="s">
        <v>14</v>
      </c>
      <c r="I385" s="2">
        <v>56744665</v>
      </c>
      <c r="J385">
        <v>261864</v>
      </c>
      <c r="K385" t="s">
        <v>15</v>
      </c>
      <c r="L385" t="str">
        <f t="shared" si="15"/>
        <v>Available</v>
      </c>
      <c r="M385">
        <f t="shared" si="16"/>
        <v>1</v>
      </c>
      <c r="N385">
        <f t="shared" si="17"/>
        <v>1</v>
      </c>
    </row>
    <row r="386" spans="1:14" x14ac:dyDescent="0.35">
      <c r="A386" t="s">
        <v>1942</v>
      </c>
      <c r="B386" t="s">
        <v>369</v>
      </c>
      <c r="C386" t="s">
        <v>571</v>
      </c>
      <c r="D386">
        <v>32</v>
      </c>
      <c r="E386" t="s">
        <v>13</v>
      </c>
      <c r="F386" s="1">
        <v>44497</v>
      </c>
      <c r="G386" s="1">
        <v>46059</v>
      </c>
      <c r="H386" t="s">
        <v>14</v>
      </c>
      <c r="I386" s="2">
        <v>17330579</v>
      </c>
      <c r="J386">
        <v>261860</v>
      </c>
      <c r="K386" t="s">
        <v>30</v>
      </c>
      <c r="L386" t="str">
        <f t="shared" si="15"/>
        <v>Available</v>
      </c>
      <c r="M386">
        <f t="shared" si="16"/>
        <v>0</v>
      </c>
      <c r="N386">
        <f t="shared" si="17"/>
        <v>1</v>
      </c>
    </row>
    <row r="387" spans="1:14" x14ac:dyDescent="0.35">
      <c r="A387" t="s">
        <v>1943</v>
      </c>
      <c r="B387" t="s">
        <v>2847</v>
      </c>
      <c r="C387" t="s">
        <v>572</v>
      </c>
      <c r="D387">
        <v>12</v>
      </c>
      <c r="E387" t="s">
        <v>13</v>
      </c>
      <c r="F387" s="1">
        <v>44497</v>
      </c>
      <c r="G387" s="1">
        <v>46058</v>
      </c>
      <c r="H387" t="s">
        <v>14</v>
      </c>
      <c r="I387" s="2">
        <v>511281</v>
      </c>
      <c r="J387">
        <v>266323</v>
      </c>
      <c r="K387" t="s">
        <v>15</v>
      </c>
      <c r="L387" t="str">
        <f t="shared" ref="L387:L450" si="18">IF(OR(B387="",ISBLANK(B387)),"Missing","Available")</f>
        <v>Available</v>
      </c>
      <c r="M387">
        <f t="shared" ref="M387:M450" si="19">IF(K387="Mapped",1,0)</f>
        <v>1</v>
      </c>
      <c r="N387">
        <f t="shared" ref="N387:N450" si="20">IF(AND(B387&lt;&gt;"",A387&lt;&gt;""),1,0)</f>
        <v>1</v>
      </c>
    </row>
    <row r="388" spans="1:14" x14ac:dyDescent="0.35">
      <c r="A388" t="s">
        <v>1944</v>
      </c>
      <c r="B388" t="s">
        <v>575</v>
      </c>
      <c r="C388" t="s">
        <v>574</v>
      </c>
      <c r="D388">
        <v>25</v>
      </c>
      <c r="E388" t="s">
        <v>13</v>
      </c>
      <c r="F388" s="1">
        <v>44500</v>
      </c>
      <c r="G388" s="1">
        <v>46059</v>
      </c>
      <c r="H388" t="s">
        <v>14</v>
      </c>
      <c r="I388" s="2">
        <v>138168</v>
      </c>
      <c r="J388">
        <v>264565</v>
      </c>
      <c r="K388" t="s">
        <v>15</v>
      </c>
      <c r="L388" t="str">
        <f t="shared" si="18"/>
        <v>Available</v>
      </c>
      <c r="M388">
        <f t="shared" si="19"/>
        <v>1</v>
      </c>
      <c r="N388">
        <f t="shared" si="20"/>
        <v>1</v>
      </c>
    </row>
    <row r="389" spans="1:14" x14ac:dyDescent="0.35">
      <c r="A389" t="s">
        <v>1945</v>
      </c>
      <c r="B389" t="s">
        <v>112</v>
      </c>
      <c r="C389" t="s">
        <v>576</v>
      </c>
      <c r="D389">
        <v>23.5</v>
      </c>
      <c r="E389" t="s">
        <v>13</v>
      </c>
      <c r="F389" s="1">
        <v>44497</v>
      </c>
      <c r="G389" s="1">
        <v>46059</v>
      </c>
      <c r="H389" t="s">
        <v>14</v>
      </c>
      <c r="I389" s="2">
        <v>27744073</v>
      </c>
      <c r="J389">
        <v>266297</v>
      </c>
      <c r="K389" t="s">
        <v>15</v>
      </c>
      <c r="L389" t="str">
        <f t="shared" si="18"/>
        <v>Available</v>
      </c>
      <c r="M389">
        <f t="shared" si="19"/>
        <v>1</v>
      </c>
      <c r="N389">
        <f t="shared" si="20"/>
        <v>1</v>
      </c>
    </row>
    <row r="390" spans="1:14" x14ac:dyDescent="0.35">
      <c r="A390" t="s">
        <v>1946</v>
      </c>
      <c r="B390" t="s">
        <v>156</v>
      </c>
      <c r="C390" t="s">
        <v>577</v>
      </c>
      <c r="D390">
        <v>24</v>
      </c>
      <c r="E390" t="s">
        <v>13</v>
      </c>
      <c r="F390" s="1">
        <v>45413</v>
      </c>
      <c r="G390" s="1">
        <v>46060</v>
      </c>
      <c r="H390" t="s">
        <v>14</v>
      </c>
      <c r="I390" s="2">
        <v>42699552</v>
      </c>
      <c r="J390">
        <v>266374</v>
      </c>
      <c r="K390" t="s">
        <v>15</v>
      </c>
      <c r="L390" t="str">
        <f t="shared" si="18"/>
        <v>Available</v>
      </c>
      <c r="M390">
        <f t="shared" si="19"/>
        <v>1</v>
      </c>
      <c r="N390">
        <f t="shared" si="20"/>
        <v>1</v>
      </c>
    </row>
    <row r="391" spans="1:14" x14ac:dyDescent="0.35">
      <c r="A391" t="s">
        <v>1947</v>
      </c>
      <c r="B391" t="s">
        <v>453</v>
      </c>
      <c r="C391" t="s">
        <v>578</v>
      </c>
      <c r="D391">
        <v>25</v>
      </c>
      <c r="E391" t="s">
        <v>13</v>
      </c>
      <c r="F391" s="1">
        <v>44497</v>
      </c>
      <c r="G391" s="1">
        <v>46059</v>
      </c>
      <c r="H391" t="s">
        <v>14</v>
      </c>
      <c r="I391" s="2">
        <v>226683</v>
      </c>
      <c r="J391">
        <v>264082</v>
      </c>
      <c r="K391" t="s">
        <v>30</v>
      </c>
      <c r="L391" t="str">
        <f t="shared" si="18"/>
        <v>Available</v>
      </c>
      <c r="M391">
        <f t="shared" si="19"/>
        <v>0</v>
      </c>
      <c r="N391">
        <f t="shared" si="20"/>
        <v>1</v>
      </c>
    </row>
    <row r="392" spans="1:14" x14ac:dyDescent="0.35">
      <c r="A392" t="s">
        <v>1948</v>
      </c>
      <c r="B392" t="s">
        <v>168</v>
      </c>
      <c r="C392" t="s">
        <v>579</v>
      </c>
      <c r="D392">
        <v>19.399999999999999</v>
      </c>
      <c r="E392" t="s">
        <v>13</v>
      </c>
      <c r="F392" s="1">
        <v>44497</v>
      </c>
      <c r="G392" s="1">
        <v>46059</v>
      </c>
      <c r="H392" t="s">
        <v>14</v>
      </c>
      <c r="I392" s="2">
        <v>24837786</v>
      </c>
      <c r="J392">
        <v>266450</v>
      </c>
      <c r="K392" t="s">
        <v>15</v>
      </c>
      <c r="L392" t="str">
        <f t="shared" si="18"/>
        <v>Available</v>
      </c>
      <c r="M392">
        <f t="shared" si="19"/>
        <v>1</v>
      </c>
      <c r="N392">
        <f t="shared" si="20"/>
        <v>1</v>
      </c>
    </row>
    <row r="393" spans="1:14" x14ac:dyDescent="0.35">
      <c r="A393" t="s">
        <v>1949</v>
      </c>
      <c r="B393" t="s">
        <v>581</v>
      </c>
      <c r="C393" t="s">
        <v>580</v>
      </c>
      <c r="D393">
        <v>17</v>
      </c>
      <c r="E393" t="s">
        <v>13</v>
      </c>
      <c r="F393" s="1">
        <v>44500</v>
      </c>
      <c r="G393" s="1">
        <v>45933</v>
      </c>
      <c r="H393" t="s">
        <v>14</v>
      </c>
      <c r="I393" t="s">
        <v>2778</v>
      </c>
      <c r="J393">
        <v>264239</v>
      </c>
      <c r="K393" t="s">
        <v>15</v>
      </c>
      <c r="L393" t="str">
        <f t="shared" si="18"/>
        <v>Available</v>
      </c>
      <c r="M393">
        <f t="shared" si="19"/>
        <v>1</v>
      </c>
      <c r="N393">
        <f t="shared" si="20"/>
        <v>1</v>
      </c>
    </row>
    <row r="394" spans="1:14" x14ac:dyDescent="0.35">
      <c r="A394" t="s">
        <v>1950</v>
      </c>
      <c r="B394" t="s">
        <v>318</v>
      </c>
      <c r="C394" t="s">
        <v>582</v>
      </c>
      <c r="D394">
        <v>25.25</v>
      </c>
      <c r="E394" t="s">
        <v>13</v>
      </c>
      <c r="F394" s="1">
        <v>44732</v>
      </c>
      <c r="G394" s="1">
        <v>46059</v>
      </c>
      <c r="H394" t="s">
        <v>14</v>
      </c>
      <c r="I394" s="2">
        <v>25900539</v>
      </c>
      <c r="J394">
        <v>264470</v>
      </c>
      <c r="K394" t="s">
        <v>30</v>
      </c>
      <c r="L394" t="str">
        <f t="shared" si="18"/>
        <v>Available</v>
      </c>
      <c r="M394">
        <f t="shared" si="19"/>
        <v>0</v>
      </c>
      <c r="N394">
        <f t="shared" si="20"/>
        <v>1</v>
      </c>
    </row>
    <row r="395" spans="1:14" x14ac:dyDescent="0.35">
      <c r="A395" t="s">
        <v>1951</v>
      </c>
      <c r="B395" t="s">
        <v>585</v>
      </c>
      <c r="C395" t="s">
        <v>584</v>
      </c>
      <c r="D395">
        <v>24</v>
      </c>
      <c r="E395" t="s">
        <v>13</v>
      </c>
      <c r="F395" s="1">
        <v>44497</v>
      </c>
      <c r="G395" s="1">
        <v>46059</v>
      </c>
      <c r="H395" t="s">
        <v>14</v>
      </c>
      <c r="I395" s="2">
        <v>307956</v>
      </c>
      <c r="J395">
        <v>266381</v>
      </c>
      <c r="K395" t="s">
        <v>30</v>
      </c>
      <c r="L395" t="str">
        <f t="shared" si="18"/>
        <v>Available</v>
      </c>
      <c r="M395">
        <f t="shared" si="19"/>
        <v>0</v>
      </c>
      <c r="N395">
        <f t="shared" si="20"/>
        <v>1</v>
      </c>
    </row>
    <row r="396" spans="1:14" x14ac:dyDescent="0.35">
      <c r="A396" t="s">
        <v>1952</v>
      </c>
      <c r="B396" t="s">
        <v>2803</v>
      </c>
      <c r="C396" t="s">
        <v>586</v>
      </c>
      <c r="D396">
        <v>28</v>
      </c>
      <c r="E396" t="s">
        <v>13</v>
      </c>
      <c r="F396" s="1">
        <v>45854</v>
      </c>
      <c r="G396" s="1">
        <v>46059</v>
      </c>
      <c r="H396" t="s">
        <v>14</v>
      </c>
      <c r="I396" t="s">
        <v>2778</v>
      </c>
      <c r="J396">
        <v>262125</v>
      </c>
      <c r="K396" t="s">
        <v>30</v>
      </c>
      <c r="L396" t="str">
        <f t="shared" si="18"/>
        <v>Available</v>
      </c>
      <c r="M396">
        <f t="shared" si="19"/>
        <v>0</v>
      </c>
      <c r="N396">
        <f t="shared" si="20"/>
        <v>1</v>
      </c>
    </row>
    <row r="397" spans="1:14" x14ac:dyDescent="0.35">
      <c r="A397" t="s">
        <v>1953</v>
      </c>
      <c r="B397" t="s">
        <v>2778</v>
      </c>
      <c r="C397" t="s">
        <v>587</v>
      </c>
      <c r="D397">
        <v>106</v>
      </c>
      <c r="E397" t="s">
        <v>13</v>
      </c>
      <c r="F397" s="1">
        <v>44734</v>
      </c>
      <c r="G397" s="1">
        <v>45999</v>
      </c>
      <c r="H397" t="s">
        <v>14</v>
      </c>
      <c r="I397" t="s">
        <v>2778</v>
      </c>
      <c r="J397">
        <v>266421</v>
      </c>
      <c r="K397" t="s">
        <v>30</v>
      </c>
      <c r="L397" t="str">
        <f t="shared" si="18"/>
        <v>Missing</v>
      </c>
      <c r="M397">
        <f t="shared" si="19"/>
        <v>0</v>
      </c>
      <c r="N397">
        <f t="shared" si="20"/>
        <v>0</v>
      </c>
    </row>
    <row r="398" spans="1:14" x14ac:dyDescent="0.35">
      <c r="A398" t="s">
        <v>1954</v>
      </c>
      <c r="B398" t="s">
        <v>2836</v>
      </c>
      <c r="C398" t="s">
        <v>588</v>
      </c>
      <c r="F398" s="1">
        <v>45019</v>
      </c>
      <c r="G398" s="1">
        <v>45099</v>
      </c>
      <c r="H398" t="s">
        <v>14</v>
      </c>
      <c r="I398" t="s">
        <v>2778</v>
      </c>
      <c r="J398">
        <v>266437</v>
      </c>
      <c r="K398" t="s">
        <v>15</v>
      </c>
      <c r="L398" t="str">
        <f t="shared" si="18"/>
        <v>Available</v>
      </c>
      <c r="M398">
        <f t="shared" si="19"/>
        <v>1</v>
      </c>
      <c r="N398">
        <f t="shared" si="20"/>
        <v>1</v>
      </c>
    </row>
    <row r="399" spans="1:14" x14ac:dyDescent="0.35">
      <c r="A399" t="s">
        <v>1955</v>
      </c>
      <c r="B399" t="s">
        <v>27</v>
      </c>
      <c r="C399" t="s">
        <v>589</v>
      </c>
      <c r="D399">
        <v>24</v>
      </c>
      <c r="E399" t="s">
        <v>13</v>
      </c>
      <c r="F399" s="1">
        <v>44497</v>
      </c>
      <c r="G399" s="1">
        <v>46059</v>
      </c>
      <c r="H399" t="s">
        <v>14</v>
      </c>
      <c r="I399" s="2">
        <v>73887</v>
      </c>
      <c r="J399">
        <v>264311</v>
      </c>
      <c r="K399" t="s">
        <v>15</v>
      </c>
      <c r="L399" t="str">
        <f t="shared" si="18"/>
        <v>Available</v>
      </c>
      <c r="M399">
        <f t="shared" si="19"/>
        <v>1</v>
      </c>
      <c r="N399">
        <f t="shared" si="20"/>
        <v>1</v>
      </c>
    </row>
    <row r="400" spans="1:14" x14ac:dyDescent="0.35">
      <c r="A400" t="s">
        <v>1956</v>
      </c>
      <c r="B400" t="s">
        <v>27</v>
      </c>
      <c r="C400" t="s">
        <v>590</v>
      </c>
      <c r="D400">
        <v>0.125</v>
      </c>
      <c r="E400" t="s">
        <v>13</v>
      </c>
      <c r="F400" s="1">
        <v>45709</v>
      </c>
      <c r="G400" s="1">
        <v>46045</v>
      </c>
      <c r="H400" t="s">
        <v>14</v>
      </c>
      <c r="I400" t="s">
        <v>2778</v>
      </c>
      <c r="J400">
        <v>266488</v>
      </c>
      <c r="K400" t="s">
        <v>15</v>
      </c>
      <c r="L400" t="str">
        <f t="shared" si="18"/>
        <v>Available</v>
      </c>
      <c r="M400">
        <f t="shared" si="19"/>
        <v>1</v>
      </c>
      <c r="N400">
        <f t="shared" si="20"/>
        <v>1</v>
      </c>
    </row>
    <row r="401" spans="1:14" x14ac:dyDescent="0.35">
      <c r="A401" t="s">
        <v>1957</v>
      </c>
      <c r="B401" t="s">
        <v>47</v>
      </c>
      <c r="C401" t="s">
        <v>591</v>
      </c>
      <c r="D401">
        <v>66</v>
      </c>
      <c r="E401" t="s">
        <v>13</v>
      </c>
      <c r="F401" s="1">
        <v>44497</v>
      </c>
      <c r="G401" s="1">
        <v>46060</v>
      </c>
      <c r="H401" t="s">
        <v>14</v>
      </c>
      <c r="I401" s="2">
        <v>196359</v>
      </c>
      <c r="J401">
        <v>264202</v>
      </c>
      <c r="K401" t="s">
        <v>15</v>
      </c>
      <c r="L401" t="str">
        <f t="shared" si="18"/>
        <v>Available</v>
      </c>
      <c r="M401">
        <f t="shared" si="19"/>
        <v>1</v>
      </c>
      <c r="N401">
        <f t="shared" si="20"/>
        <v>1</v>
      </c>
    </row>
    <row r="402" spans="1:14" x14ac:dyDescent="0.35">
      <c r="A402" t="s">
        <v>1958</v>
      </c>
      <c r="B402" t="s">
        <v>37</v>
      </c>
      <c r="C402" t="s">
        <v>592</v>
      </c>
      <c r="F402" s="1">
        <v>44668</v>
      </c>
      <c r="G402" s="1">
        <v>45231</v>
      </c>
      <c r="H402" t="s">
        <v>14</v>
      </c>
      <c r="I402" t="s">
        <v>2778</v>
      </c>
      <c r="J402">
        <v>266852</v>
      </c>
      <c r="K402" t="s">
        <v>30</v>
      </c>
      <c r="L402" t="str">
        <f t="shared" si="18"/>
        <v>Available</v>
      </c>
      <c r="M402">
        <f t="shared" si="19"/>
        <v>0</v>
      </c>
      <c r="N402">
        <f t="shared" si="20"/>
        <v>1</v>
      </c>
    </row>
    <row r="403" spans="1:14" x14ac:dyDescent="0.35">
      <c r="A403" t="s">
        <v>1959</v>
      </c>
      <c r="B403" t="s">
        <v>2792</v>
      </c>
      <c r="C403" t="s">
        <v>593</v>
      </c>
      <c r="D403">
        <v>24</v>
      </c>
      <c r="E403" t="s">
        <v>13</v>
      </c>
      <c r="F403" s="1">
        <v>44501</v>
      </c>
      <c r="G403" s="1">
        <v>46057</v>
      </c>
      <c r="H403" t="s">
        <v>14</v>
      </c>
      <c r="I403" s="2">
        <v>18957838</v>
      </c>
      <c r="J403">
        <v>264104</v>
      </c>
      <c r="K403" t="s">
        <v>30</v>
      </c>
      <c r="L403" t="str">
        <f t="shared" si="18"/>
        <v>Available</v>
      </c>
      <c r="M403">
        <f t="shared" si="19"/>
        <v>0</v>
      </c>
      <c r="N403">
        <f t="shared" si="20"/>
        <v>1</v>
      </c>
    </row>
    <row r="404" spans="1:14" x14ac:dyDescent="0.35">
      <c r="A404" t="s">
        <v>1960</v>
      </c>
      <c r="B404" t="s">
        <v>595</v>
      </c>
      <c r="C404" t="s">
        <v>594</v>
      </c>
      <c r="D404">
        <v>19.75</v>
      </c>
      <c r="E404" t="s">
        <v>13</v>
      </c>
      <c r="F404" s="1">
        <v>44497</v>
      </c>
      <c r="G404" s="1">
        <v>45903</v>
      </c>
      <c r="H404" t="s">
        <v>14</v>
      </c>
      <c r="I404" s="2">
        <v>21195755</v>
      </c>
      <c r="J404">
        <v>264551</v>
      </c>
      <c r="K404" t="s">
        <v>15</v>
      </c>
      <c r="L404" t="str">
        <f t="shared" si="18"/>
        <v>Available</v>
      </c>
      <c r="M404">
        <f t="shared" si="19"/>
        <v>1</v>
      </c>
      <c r="N404">
        <f t="shared" si="20"/>
        <v>1</v>
      </c>
    </row>
    <row r="405" spans="1:14" x14ac:dyDescent="0.35">
      <c r="A405" t="s">
        <v>1961</v>
      </c>
      <c r="B405" t="s">
        <v>47</v>
      </c>
      <c r="C405" t="s">
        <v>596</v>
      </c>
      <c r="D405">
        <v>24</v>
      </c>
      <c r="E405" t="s">
        <v>13</v>
      </c>
      <c r="F405" s="1">
        <v>45013</v>
      </c>
      <c r="G405" s="1">
        <v>46060</v>
      </c>
      <c r="H405" t="s">
        <v>14</v>
      </c>
      <c r="I405" s="2">
        <v>29391546</v>
      </c>
      <c r="J405">
        <v>264304</v>
      </c>
      <c r="K405" t="s">
        <v>30</v>
      </c>
      <c r="L405" t="str">
        <f t="shared" si="18"/>
        <v>Available</v>
      </c>
      <c r="M405">
        <f t="shared" si="19"/>
        <v>0</v>
      </c>
      <c r="N405">
        <f t="shared" si="20"/>
        <v>1</v>
      </c>
    </row>
    <row r="406" spans="1:14" x14ac:dyDescent="0.35">
      <c r="A406" t="s">
        <v>1962</v>
      </c>
      <c r="B406" t="s">
        <v>598</v>
      </c>
      <c r="C406" t="s">
        <v>597</v>
      </c>
      <c r="D406">
        <v>26</v>
      </c>
      <c r="E406" t="s">
        <v>13</v>
      </c>
      <c r="F406" s="1">
        <v>44497</v>
      </c>
      <c r="G406" s="1">
        <v>46059</v>
      </c>
      <c r="H406" t="s">
        <v>14</v>
      </c>
      <c r="I406" s="2">
        <v>18683588</v>
      </c>
      <c r="J406">
        <v>261843</v>
      </c>
      <c r="K406" t="s">
        <v>15</v>
      </c>
      <c r="L406" t="str">
        <f t="shared" si="18"/>
        <v>Available</v>
      </c>
      <c r="M406">
        <f t="shared" si="19"/>
        <v>1</v>
      </c>
      <c r="N406">
        <f t="shared" si="20"/>
        <v>1</v>
      </c>
    </row>
    <row r="407" spans="1:14" x14ac:dyDescent="0.35">
      <c r="A407" t="s">
        <v>1963</v>
      </c>
      <c r="B407" t="s">
        <v>2803</v>
      </c>
      <c r="C407" t="s">
        <v>599</v>
      </c>
      <c r="D407">
        <v>28</v>
      </c>
      <c r="E407" t="s">
        <v>13</v>
      </c>
      <c r="F407" s="1">
        <v>44497</v>
      </c>
      <c r="G407" s="1">
        <v>46059</v>
      </c>
      <c r="H407" t="s">
        <v>14</v>
      </c>
      <c r="I407" s="2">
        <v>30200841</v>
      </c>
      <c r="J407">
        <v>261570</v>
      </c>
      <c r="K407" t="s">
        <v>15</v>
      </c>
      <c r="L407" t="str">
        <f t="shared" si="18"/>
        <v>Available</v>
      </c>
      <c r="M407">
        <f t="shared" si="19"/>
        <v>1</v>
      </c>
      <c r="N407">
        <f t="shared" si="20"/>
        <v>1</v>
      </c>
    </row>
    <row r="408" spans="1:14" x14ac:dyDescent="0.35">
      <c r="A408" t="s">
        <v>1964</v>
      </c>
      <c r="B408" t="s">
        <v>601</v>
      </c>
      <c r="C408" t="s">
        <v>600</v>
      </c>
      <c r="D408">
        <v>24</v>
      </c>
      <c r="E408" t="s">
        <v>13</v>
      </c>
      <c r="F408" s="1">
        <v>45098</v>
      </c>
      <c r="G408" s="1">
        <v>45721</v>
      </c>
      <c r="H408" t="s">
        <v>14</v>
      </c>
      <c r="I408" t="s">
        <v>2778</v>
      </c>
      <c r="J408">
        <v>264697</v>
      </c>
      <c r="K408" t="s">
        <v>15</v>
      </c>
      <c r="L408" t="str">
        <f t="shared" si="18"/>
        <v>Available</v>
      </c>
      <c r="M408">
        <f t="shared" si="19"/>
        <v>1</v>
      </c>
      <c r="N408">
        <f t="shared" si="20"/>
        <v>1</v>
      </c>
    </row>
    <row r="409" spans="1:14" x14ac:dyDescent="0.35">
      <c r="A409" t="s">
        <v>1965</v>
      </c>
      <c r="B409" t="s">
        <v>2848</v>
      </c>
      <c r="C409" t="s">
        <v>602</v>
      </c>
      <c r="D409">
        <v>26</v>
      </c>
      <c r="E409" t="s">
        <v>13</v>
      </c>
      <c r="F409" s="1">
        <v>44497</v>
      </c>
      <c r="G409" s="1">
        <v>46058</v>
      </c>
      <c r="H409" t="s">
        <v>14</v>
      </c>
      <c r="I409" s="2">
        <v>16939205</v>
      </c>
      <c r="J409">
        <v>261596</v>
      </c>
      <c r="K409" t="s">
        <v>15</v>
      </c>
      <c r="L409" t="str">
        <f t="shared" si="18"/>
        <v>Available</v>
      </c>
      <c r="M409">
        <f t="shared" si="19"/>
        <v>1</v>
      </c>
      <c r="N409">
        <f t="shared" si="20"/>
        <v>1</v>
      </c>
    </row>
    <row r="410" spans="1:14" x14ac:dyDescent="0.35">
      <c r="A410" t="s">
        <v>1966</v>
      </c>
      <c r="B410" t="s">
        <v>25</v>
      </c>
      <c r="C410" t="s">
        <v>604</v>
      </c>
      <c r="D410">
        <v>45</v>
      </c>
      <c r="E410" t="s">
        <v>13</v>
      </c>
      <c r="F410" s="1">
        <v>44497</v>
      </c>
      <c r="G410" s="1">
        <v>46060</v>
      </c>
      <c r="H410" t="s">
        <v>14</v>
      </c>
      <c r="I410" s="2">
        <v>39366</v>
      </c>
      <c r="J410">
        <v>261829</v>
      </c>
      <c r="K410" t="s">
        <v>15</v>
      </c>
      <c r="L410" t="str">
        <f t="shared" si="18"/>
        <v>Available</v>
      </c>
      <c r="M410">
        <f t="shared" si="19"/>
        <v>1</v>
      </c>
      <c r="N410">
        <f t="shared" si="20"/>
        <v>1</v>
      </c>
    </row>
    <row r="411" spans="1:14" x14ac:dyDescent="0.35">
      <c r="A411" t="s">
        <v>1967</v>
      </c>
      <c r="B411" t="s">
        <v>2792</v>
      </c>
      <c r="C411" t="s">
        <v>605</v>
      </c>
      <c r="D411">
        <v>15.5</v>
      </c>
      <c r="E411" t="s">
        <v>13</v>
      </c>
      <c r="F411" s="1">
        <v>44497</v>
      </c>
      <c r="G411" s="1">
        <v>46057</v>
      </c>
      <c r="H411" t="s">
        <v>14</v>
      </c>
      <c r="I411" s="2">
        <v>98551</v>
      </c>
      <c r="J411">
        <v>264211</v>
      </c>
      <c r="K411" t="s">
        <v>30</v>
      </c>
      <c r="L411" t="str">
        <f t="shared" si="18"/>
        <v>Available</v>
      </c>
      <c r="M411">
        <f t="shared" si="19"/>
        <v>0</v>
      </c>
      <c r="N411">
        <f t="shared" si="20"/>
        <v>1</v>
      </c>
    </row>
    <row r="412" spans="1:14" x14ac:dyDescent="0.35">
      <c r="A412" t="s">
        <v>1968</v>
      </c>
      <c r="B412" t="s">
        <v>186</v>
      </c>
      <c r="C412" t="s">
        <v>606</v>
      </c>
      <c r="D412">
        <v>24</v>
      </c>
      <c r="E412" t="s">
        <v>13</v>
      </c>
      <c r="F412" s="1">
        <v>44497</v>
      </c>
      <c r="G412" s="1">
        <v>46059</v>
      </c>
      <c r="H412" t="s">
        <v>14</v>
      </c>
      <c r="I412" s="2">
        <v>98564</v>
      </c>
      <c r="J412">
        <v>266648</v>
      </c>
      <c r="K412" t="s">
        <v>15</v>
      </c>
      <c r="L412" t="str">
        <f t="shared" si="18"/>
        <v>Available</v>
      </c>
      <c r="M412">
        <f t="shared" si="19"/>
        <v>1</v>
      </c>
      <c r="N412">
        <f t="shared" si="20"/>
        <v>1</v>
      </c>
    </row>
    <row r="413" spans="1:14" x14ac:dyDescent="0.35">
      <c r="A413" t="s">
        <v>1969</v>
      </c>
      <c r="B413" t="s">
        <v>2778</v>
      </c>
      <c r="C413" t="s">
        <v>607</v>
      </c>
      <c r="D413">
        <v>32</v>
      </c>
      <c r="E413" t="s">
        <v>35</v>
      </c>
      <c r="F413" s="1">
        <v>44503</v>
      </c>
      <c r="G413" s="1">
        <v>46058</v>
      </c>
      <c r="H413" t="s">
        <v>14</v>
      </c>
      <c r="I413" s="2">
        <v>16314288</v>
      </c>
      <c r="J413">
        <v>264046</v>
      </c>
      <c r="K413" t="s">
        <v>15</v>
      </c>
      <c r="L413" t="str">
        <f t="shared" si="18"/>
        <v>Missing</v>
      </c>
      <c r="M413">
        <f t="shared" si="19"/>
        <v>1</v>
      </c>
      <c r="N413">
        <f t="shared" si="20"/>
        <v>0</v>
      </c>
    </row>
    <row r="414" spans="1:14" x14ac:dyDescent="0.35">
      <c r="A414" t="s">
        <v>1970</v>
      </c>
      <c r="B414" t="s">
        <v>609</v>
      </c>
      <c r="C414" t="s">
        <v>608</v>
      </c>
      <c r="D414">
        <v>25.5</v>
      </c>
      <c r="E414" t="s">
        <v>13</v>
      </c>
      <c r="F414" s="1">
        <v>44497</v>
      </c>
      <c r="G414" s="1">
        <v>46059</v>
      </c>
      <c r="H414" t="s">
        <v>14</v>
      </c>
      <c r="I414" s="2">
        <v>53405</v>
      </c>
      <c r="J414">
        <v>264545</v>
      </c>
      <c r="K414" t="s">
        <v>30</v>
      </c>
      <c r="L414" t="str">
        <f t="shared" si="18"/>
        <v>Available</v>
      </c>
      <c r="M414">
        <f t="shared" si="19"/>
        <v>0</v>
      </c>
      <c r="N414">
        <f t="shared" si="20"/>
        <v>1</v>
      </c>
    </row>
    <row r="415" spans="1:14" x14ac:dyDescent="0.35">
      <c r="A415" t="s">
        <v>1971</v>
      </c>
      <c r="B415" t="s">
        <v>58</v>
      </c>
      <c r="C415" t="s">
        <v>610</v>
      </c>
      <c r="D415">
        <v>96</v>
      </c>
      <c r="E415" t="s">
        <v>13</v>
      </c>
      <c r="F415" s="1">
        <v>45197</v>
      </c>
      <c r="G415" s="1">
        <v>46045</v>
      </c>
      <c r="H415" t="s">
        <v>14</v>
      </c>
      <c r="I415" t="s">
        <v>2778</v>
      </c>
      <c r="J415">
        <v>261887</v>
      </c>
      <c r="K415" t="s">
        <v>15</v>
      </c>
      <c r="L415" t="str">
        <f t="shared" si="18"/>
        <v>Available</v>
      </c>
      <c r="M415">
        <f t="shared" si="19"/>
        <v>1</v>
      </c>
      <c r="N415">
        <f t="shared" si="20"/>
        <v>1</v>
      </c>
    </row>
    <row r="416" spans="1:14" x14ac:dyDescent="0.35">
      <c r="A416" t="s">
        <v>1972</v>
      </c>
      <c r="B416" t="s">
        <v>2836</v>
      </c>
      <c r="C416" t="s">
        <v>611</v>
      </c>
      <c r="F416" s="1">
        <v>45019</v>
      </c>
      <c r="G416" s="1">
        <v>45023</v>
      </c>
      <c r="H416" t="s">
        <v>14</v>
      </c>
      <c r="I416" t="s">
        <v>2778</v>
      </c>
      <c r="J416">
        <v>261655</v>
      </c>
      <c r="K416" t="s">
        <v>30</v>
      </c>
      <c r="L416" t="str">
        <f t="shared" si="18"/>
        <v>Available</v>
      </c>
      <c r="M416">
        <f t="shared" si="19"/>
        <v>0</v>
      </c>
      <c r="N416">
        <f t="shared" si="20"/>
        <v>1</v>
      </c>
    </row>
    <row r="417" spans="1:14" x14ac:dyDescent="0.35">
      <c r="A417" t="s">
        <v>1973</v>
      </c>
      <c r="B417" t="s">
        <v>2808</v>
      </c>
      <c r="C417" t="s">
        <v>612</v>
      </c>
      <c r="D417">
        <v>23.75</v>
      </c>
      <c r="E417" t="s">
        <v>13</v>
      </c>
      <c r="F417" s="1">
        <v>44497</v>
      </c>
      <c r="G417" s="1">
        <v>46060</v>
      </c>
      <c r="H417" t="s">
        <v>14</v>
      </c>
      <c r="I417" s="2">
        <v>18508239</v>
      </c>
      <c r="J417">
        <v>264263</v>
      </c>
      <c r="K417" t="s">
        <v>15</v>
      </c>
      <c r="L417" t="str">
        <f t="shared" si="18"/>
        <v>Available</v>
      </c>
      <c r="M417">
        <f t="shared" si="19"/>
        <v>1</v>
      </c>
      <c r="N417">
        <f t="shared" si="20"/>
        <v>1</v>
      </c>
    </row>
    <row r="418" spans="1:14" x14ac:dyDescent="0.35">
      <c r="A418" t="s">
        <v>1974</v>
      </c>
      <c r="B418" t="s">
        <v>334</v>
      </c>
      <c r="C418" t="s">
        <v>613</v>
      </c>
      <c r="D418">
        <v>16.8</v>
      </c>
      <c r="E418" t="s">
        <v>13</v>
      </c>
      <c r="F418" s="1">
        <v>44497</v>
      </c>
      <c r="G418" s="1">
        <v>46059</v>
      </c>
      <c r="H418" t="s">
        <v>14</v>
      </c>
      <c r="I418" s="2">
        <v>80809</v>
      </c>
      <c r="J418">
        <v>266334</v>
      </c>
      <c r="K418" t="s">
        <v>30</v>
      </c>
      <c r="L418" t="str">
        <f t="shared" si="18"/>
        <v>Available</v>
      </c>
      <c r="M418">
        <f t="shared" si="19"/>
        <v>0</v>
      </c>
      <c r="N418">
        <f t="shared" si="20"/>
        <v>1</v>
      </c>
    </row>
    <row r="419" spans="1:14" x14ac:dyDescent="0.35">
      <c r="A419" t="s">
        <v>1975</v>
      </c>
      <c r="B419" t="s">
        <v>615</v>
      </c>
      <c r="C419" t="s">
        <v>614</v>
      </c>
      <c r="D419">
        <v>24</v>
      </c>
      <c r="E419" t="s">
        <v>13</v>
      </c>
      <c r="F419" s="1">
        <v>44500</v>
      </c>
      <c r="G419" s="1">
        <v>46059</v>
      </c>
      <c r="H419" t="s">
        <v>14</v>
      </c>
      <c r="I419" s="2">
        <v>19403194</v>
      </c>
      <c r="J419">
        <v>261523</v>
      </c>
      <c r="K419" t="s">
        <v>15</v>
      </c>
      <c r="L419" t="str">
        <f t="shared" si="18"/>
        <v>Available</v>
      </c>
      <c r="M419">
        <f t="shared" si="19"/>
        <v>1</v>
      </c>
      <c r="N419">
        <f t="shared" si="20"/>
        <v>1</v>
      </c>
    </row>
    <row r="420" spans="1:14" x14ac:dyDescent="0.35">
      <c r="A420" t="s">
        <v>1976</v>
      </c>
      <c r="B420" t="s">
        <v>2849</v>
      </c>
      <c r="C420" t="s">
        <v>616</v>
      </c>
      <c r="D420">
        <v>25</v>
      </c>
      <c r="E420" t="s">
        <v>13</v>
      </c>
      <c r="F420" s="1">
        <v>45246</v>
      </c>
      <c r="G420" s="1">
        <v>46059</v>
      </c>
      <c r="H420" t="s">
        <v>14</v>
      </c>
      <c r="I420" t="s">
        <v>2778</v>
      </c>
      <c r="J420">
        <v>261564</v>
      </c>
      <c r="K420" t="s">
        <v>30</v>
      </c>
      <c r="L420" t="str">
        <f t="shared" si="18"/>
        <v>Available</v>
      </c>
      <c r="M420">
        <f t="shared" si="19"/>
        <v>0</v>
      </c>
      <c r="N420">
        <f t="shared" si="20"/>
        <v>1</v>
      </c>
    </row>
    <row r="421" spans="1:14" x14ac:dyDescent="0.35">
      <c r="A421" t="s">
        <v>1977</v>
      </c>
      <c r="B421" t="s">
        <v>2804</v>
      </c>
      <c r="C421" t="s">
        <v>618</v>
      </c>
      <c r="D421">
        <v>23.5</v>
      </c>
      <c r="E421" t="s">
        <v>13</v>
      </c>
      <c r="F421" s="1">
        <v>44497</v>
      </c>
      <c r="G421" s="1">
        <v>46059</v>
      </c>
      <c r="H421" t="s">
        <v>14</v>
      </c>
      <c r="I421" s="2">
        <v>16754079</v>
      </c>
      <c r="J421">
        <v>261879</v>
      </c>
      <c r="K421" t="s">
        <v>15</v>
      </c>
      <c r="L421" t="str">
        <f t="shared" si="18"/>
        <v>Available</v>
      </c>
      <c r="M421">
        <f t="shared" si="19"/>
        <v>1</v>
      </c>
      <c r="N421">
        <f t="shared" si="20"/>
        <v>1</v>
      </c>
    </row>
    <row r="422" spans="1:14" x14ac:dyDescent="0.35">
      <c r="A422" t="s">
        <v>1978</v>
      </c>
      <c r="B422" t="s">
        <v>620</v>
      </c>
      <c r="C422" t="s">
        <v>619</v>
      </c>
      <c r="D422">
        <v>15</v>
      </c>
      <c r="E422" t="s">
        <v>13</v>
      </c>
      <c r="F422" s="1">
        <v>44500</v>
      </c>
      <c r="G422" s="1">
        <v>46057</v>
      </c>
      <c r="H422" t="s">
        <v>14</v>
      </c>
      <c r="I422" t="s">
        <v>2782</v>
      </c>
      <c r="J422" t="s">
        <v>621</v>
      </c>
      <c r="K422" t="s">
        <v>15</v>
      </c>
      <c r="L422" t="str">
        <f t="shared" si="18"/>
        <v>Available</v>
      </c>
      <c r="M422">
        <f t="shared" si="19"/>
        <v>1</v>
      </c>
      <c r="N422">
        <f t="shared" si="20"/>
        <v>1</v>
      </c>
    </row>
    <row r="423" spans="1:14" x14ac:dyDescent="0.35">
      <c r="A423" t="s">
        <v>1979</v>
      </c>
      <c r="B423" t="s">
        <v>2803</v>
      </c>
      <c r="C423" t="s">
        <v>622</v>
      </c>
      <c r="D423">
        <v>28</v>
      </c>
      <c r="E423" t="s">
        <v>13</v>
      </c>
      <c r="F423" s="1">
        <v>45431</v>
      </c>
      <c r="G423" s="1">
        <v>46059</v>
      </c>
      <c r="H423" t="s">
        <v>14</v>
      </c>
      <c r="I423" s="2">
        <v>45792140</v>
      </c>
      <c r="J423">
        <v>261556</v>
      </c>
      <c r="K423" t="s">
        <v>30</v>
      </c>
      <c r="L423" t="str">
        <f t="shared" si="18"/>
        <v>Available</v>
      </c>
      <c r="M423">
        <f t="shared" si="19"/>
        <v>0</v>
      </c>
      <c r="N423">
        <f t="shared" si="20"/>
        <v>1</v>
      </c>
    </row>
    <row r="424" spans="1:14" x14ac:dyDescent="0.35">
      <c r="A424" t="s">
        <v>1980</v>
      </c>
      <c r="B424" t="s">
        <v>2792</v>
      </c>
      <c r="C424" t="s">
        <v>623</v>
      </c>
      <c r="D424">
        <v>24</v>
      </c>
      <c r="E424" t="s">
        <v>13</v>
      </c>
      <c r="F424" s="1">
        <v>44497</v>
      </c>
      <c r="G424" s="1">
        <v>46057</v>
      </c>
      <c r="H424" t="s">
        <v>14</v>
      </c>
      <c r="I424" s="2">
        <v>24808</v>
      </c>
      <c r="J424">
        <v>266907</v>
      </c>
      <c r="K424" t="s">
        <v>15</v>
      </c>
      <c r="L424" t="str">
        <f t="shared" si="18"/>
        <v>Available</v>
      </c>
      <c r="M424">
        <f t="shared" si="19"/>
        <v>1</v>
      </c>
      <c r="N424">
        <f t="shared" si="20"/>
        <v>1</v>
      </c>
    </row>
    <row r="425" spans="1:14" x14ac:dyDescent="0.35">
      <c r="A425" t="s">
        <v>1981</v>
      </c>
      <c r="B425" t="s">
        <v>41</v>
      </c>
      <c r="C425" t="s">
        <v>624</v>
      </c>
      <c r="D425">
        <v>24.3</v>
      </c>
      <c r="E425" t="s">
        <v>13</v>
      </c>
      <c r="F425" s="1">
        <v>44497</v>
      </c>
      <c r="G425" s="1">
        <v>46058</v>
      </c>
      <c r="H425" t="s">
        <v>14</v>
      </c>
      <c r="I425" s="2">
        <v>19337574</v>
      </c>
      <c r="J425">
        <v>264122</v>
      </c>
      <c r="K425" t="s">
        <v>30</v>
      </c>
      <c r="L425" t="str">
        <f t="shared" si="18"/>
        <v>Available</v>
      </c>
      <c r="M425">
        <f t="shared" si="19"/>
        <v>0</v>
      </c>
      <c r="N425">
        <f t="shared" si="20"/>
        <v>1</v>
      </c>
    </row>
    <row r="426" spans="1:14" x14ac:dyDescent="0.35">
      <c r="A426" t="s">
        <v>1982</v>
      </c>
      <c r="B426" t="s">
        <v>626</v>
      </c>
      <c r="C426" t="s">
        <v>625</v>
      </c>
      <c r="D426">
        <v>25</v>
      </c>
      <c r="E426" t="s">
        <v>13</v>
      </c>
      <c r="F426" s="1">
        <v>44861</v>
      </c>
      <c r="G426" s="1">
        <v>46059</v>
      </c>
      <c r="H426" t="s">
        <v>14</v>
      </c>
      <c r="I426" s="2">
        <v>26221407</v>
      </c>
      <c r="J426">
        <v>266422</v>
      </c>
      <c r="K426" t="s">
        <v>30</v>
      </c>
      <c r="L426" t="str">
        <f t="shared" si="18"/>
        <v>Available</v>
      </c>
      <c r="M426">
        <f t="shared" si="19"/>
        <v>0</v>
      </c>
      <c r="N426">
        <f t="shared" si="20"/>
        <v>1</v>
      </c>
    </row>
    <row r="427" spans="1:14" x14ac:dyDescent="0.35">
      <c r="A427" t="s">
        <v>1983</v>
      </c>
      <c r="B427" t="s">
        <v>628</v>
      </c>
      <c r="C427" t="s">
        <v>627</v>
      </c>
      <c r="D427">
        <v>24</v>
      </c>
      <c r="E427" t="s">
        <v>13</v>
      </c>
      <c r="F427" s="1">
        <v>44497</v>
      </c>
      <c r="G427" s="1">
        <v>46058</v>
      </c>
      <c r="H427" t="s">
        <v>14</v>
      </c>
      <c r="I427" s="2">
        <v>21551676</v>
      </c>
      <c r="J427">
        <v>264638</v>
      </c>
      <c r="K427" t="s">
        <v>30</v>
      </c>
      <c r="L427" t="str">
        <f t="shared" si="18"/>
        <v>Available</v>
      </c>
      <c r="M427">
        <f t="shared" si="19"/>
        <v>0</v>
      </c>
      <c r="N427">
        <f t="shared" si="20"/>
        <v>1</v>
      </c>
    </row>
    <row r="428" spans="1:14" x14ac:dyDescent="0.35">
      <c r="A428" t="s">
        <v>1984</v>
      </c>
      <c r="B428" t="s">
        <v>139</v>
      </c>
      <c r="C428" t="s">
        <v>629</v>
      </c>
      <c r="D428">
        <v>24</v>
      </c>
      <c r="E428" t="s">
        <v>13</v>
      </c>
      <c r="F428" s="1">
        <v>44497</v>
      </c>
      <c r="G428" s="1">
        <v>45953</v>
      </c>
      <c r="H428" t="s">
        <v>14</v>
      </c>
      <c r="I428" t="s">
        <v>2778</v>
      </c>
      <c r="J428">
        <v>264708</v>
      </c>
      <c r="K428" t="s">
        <v>15</v>
      </c>
      <c r="L428" t="str">
        <f t="shared" si="18"/>
        <v>Available</v>
      </c>
      <c r="M428">
        <f t="shared" si="19"/>
        <v>1</v>
      </c>
      <c r="N428">
        <f t="shared" si="20"/>
        <v>1</v>
      </c>
    </row>
    <row r="429" spans="1:14" x14ac:dyDescent="0.35">
      <c r="A429" t="s">
        <v>1985</v>
      </c>
      <c r="B429" t="s">
        <v>2806</v>
      </c>
      <c r="C429" t="s">
        <v>630</v>
      </c>
      <c r="D429">
        <v>22.3169</v>
      </c>
      <c r="E429" t="s">
        <v>35</v>
      </c>
      <c r="F429" s="1">
        <v>45757</v>
      </c>
      <c r="G429" s="1">
        <v>45946</v>
      </c>
      <c r="H429" t="s">
        <v>14</v>
      </c>
      <c r="I429" t="s">
        <v>2778</v>
      </c>
      <c r="J429">
        <v>266459</v>
      </c>
      <c r="K429" t="s">
        <v>30</v>
      </c>
      <c r="L429" t="str">
        <f t="shared" si="18"/>
        <v>Available</v>
      </c>
      <c r="M429">
        <f t="shared" si="19"/>
        <v>0</v>
      </c>
      <c r="N429">
        <f t="shared" si="20"/>
        <v>1</v>
      </c>
    </row>
    <row r="430" spans="1:14" x14ac:dyDescent="0.35">
      <c r="A430" t="s">
        <v>1986</v>
      </c>
      <c r="B430" t="s">
        <v>2836</v>
      </c>
      <c r="C430" t="s">
        <v>631</v>
      </c>
      <c r="F430" s="1">
        <v>45019</v>
      </c>
      <c r="G430" s="1">
        <v>45023</v>
      </c>
      <c r="H430" t="s">
        <v>14</v>
      </c>
      <c r="I430" t="s">
        <v>2778</v>
      </c>
      <c r="J430">
        <v>264100</v>
      </c>
      <c r="K430" t="s">
        <v>30</v>
      </c>
      <c r="L430" t="str">
        <f t="shared" si="18"/>
        <v>Available</v>
      </c>
      <c r="M430">
        <f t="shared" si="19"/>
        <v>0</v>
      </c>
      <c r="N430">
        <f t="shared" si="20"/>
        <v>1</v>
      </c>
    </row>
    <row r="431" spans="1:14" x14ac:dyDescent="0.35">
      <c r="A431" t="s">
        <v>1987</v>
      </c>
      <c r="B431" t="s">
        <v>27</v>
      </c>
      <c r="C431" t="s">
        <v>632</v>
      </c>
      <c r="D431">
        <v>23</v>
      </c>
      <c r="E431" t="s">
        <v>13</v>
      </c>
      <c r="F431" s="1">
        <v>44497</v>
      </c>
      <c r="G431" s="1">
        <v>46059</v>
      </c>
      <c r="H431" t="s">
        <v>14</v>
      </c>
      <c r="I431" s="2">
        <v>17066472</v>
      </c>
      <c r="J431">
        <v>264477</v>
      </c>
      <c r="K431" t="s">
        <v>15</v>
      </c>
      <c r="L431" t="str">
        <f t="shared" si="18"/>
        <v>Available</v>
      </c>
      <c r="M431">
        <f t="shared" si="19"/>
        <v>1</v>
      </c>
      <c r="N431">
        <f t="shared" si="20"/>
        <v>1</v>
      </c>
    </row>
    <row r="432" spans="1:14" x14ac:dyDescent="0.35">
      <c r="A432" t="s">
        <v>1988</v>
      </c>
      <c r="B432" t="s">
        <v>2797</v>
      </c>
      <c r="C432" t="s">
        <v>633</v>
      </c>
      <c r="D432">
        <v>24</v>
      </c>
      <c r="E432" t="s">
        <v>13</v>
      </c>
      <c r="F432" s="1">
        <v>44497</v>
      </c>
      <c r="G432" s="1">
        <v>46060</v>
      </c>
      <c r="H432" t="s">
        <v>14</v>
      </c>
      <c r="I432" s="2">
        <v>39390</v>
      </c>
      <c r="J432">
        <v>264289</v>
      </c>
      <c r="K432" t="s">
        <v>30</v>
      </c>
      <c r="L432" t="str">
        <f t="shared" si="18"/>
        <v>Available</v>
      </c>
      <c r="M432">
        <f t="shared" si="19"/>
        <v>0</v>
      </c>
      <c r="N432">
        <f t="shared" si="20"/>
        <v>1</v>
      </c>
    </row>
    <row r="433" spans="1:14" x14ac:dyDescent="0.35">
      <c r="A433" t="s">
        <v>1989</v>
      </c>
      <c r="B433" t="s">
        <v>25</v>
      </c>
      <c r="C433" t="s">
        <v>634</v>
      </c>
      <c r="D433">
        <v>45</v>
      </c>
      <c r="E433" t="s">
        <v>13</v>
      </c>
      <c r="F433" s="1">
        <v>44497</v>
      </c>
      <c r="G433" s="1">
        <v>46060</v>
      </c>
      <c r="H433" t="s">
        <v>14</v>
      </c>
      <c r="I433" s="2">
        <v>39361</v>
      </c>
      <c r="J433">
        <v>264476</v>
      </c>
      <c r="K433" t="s">
        <v>15</v>
      </c>
      <c r="L433" t="str">
        <f t="shared" si="18"/>
        <v>Available</v>
      </c>
      <c r="M433">
        <f t="shared" si="19"/>
        <v>1</v>
      </c>
      <c r="N433">
        <f t="shared" si="20"/>
        <v>1</v>
      </c>
    </row>
    <row r="434" spans="1:14" x14ac:dyDescent="0.35">
      <c r="A434" t="s">
        <v>1990</v>
      </c>
      <c r="B434" t="s">
        <v>636</v>
      </c>
      <c r="C434" t="s">
        <v>635</v>
      </c>
      <c r="D434">
        <v>24</v>
      </c>
      <c r="E434" t="s">
        <v>13</v>
      </c>
      <c r="F434" s="1">
        <v>44500</v>
      </c>
      <c r="G434" s="1">
        <v>46057</v>
      </c>
      <c r="H434" t="s">
        <v>14</v>
      </c>
      <c r="I434" t="s">
        <v>2778</v>
      </c>
      <c r="J434">
        <v>266279</v>
      </c>
      <c r="K434" t="s">
        <v>30</v>
      </c>
      <c r="L434" t="str">
        <f t="shared" si="18"/>
        <v>Available</v>
      </c>
      <c r="M434">
        <f t="shared" si="19"/>
        <v>0</v>
      </c>
      <c r="N434">
        <f t="shared" si="20"/>
        <v>1</v>
      </c>
    </row>
    <row r="435" spans="1:14" x14ac:dyDescent="0.35">
      <c r="A435" t="s">
        <v>1991</v>
      </c>
      <c r="B435" t="s">
        <v>2778</v>
      </c>
      <c r="C435" t="s">
        <v>637</v>
      </c>
      <c r="D435">
        <v>11.6</v>
      </c>
      <c r="E435" t="s">
        <v>13</v>
      </c>
      <c r="F435" s="1">
        <v>45033</v>
      </c>
      <c r="G435" s="1">
        <v>46059</v>
      </c>
      <c r="H435" t="s">
        <v>14</v>
      </c>
      <c r="I435" t="s">
        <v>2778</v>
      </c>
      <c r="J435">
        <v>261493</v>
      </c>
      <c r="K435" t="s">
        <v>15</v>
      </c>
      <c r="L435" t="str">
        <f t="shared" si="18"/>
        <v>Missing</v>
      </c>
      <c r="M435">
        <f t="shared" si="19"/>
        <v>1</v>
      </c>
      <c r="N435">
        <f t="shared" si="20"/>
        <v>0</v>
      </c>
    </row>
    <row r="436" spans="1:14" x14ac:dyDescent="0.35">
      <c r="A436" t="s">
        <v>1992</v>
      </c>
      <c r="B436" t="s">
        <v>200</v>
      </c>
      <c r="C436" t="s">
        <v>638</v>
      </c>
      <c r="D436">
        <v>25</v>
      </c>
      <c r="E436" t="s">
        <v>13</v>
      </c>
      <c r="F436" s="1">
        <v>44497</v>
      </c>
      <c r="G436" s="1">
        <v>46059</v>
      </c>
      <c r="H436" t="s">
        <v>14</v>
      </c>
      <c r="I436" t="s">
        <v>2778</v>
      </c>
      <c r="J436">
        <v>262059</v>
      </c>
      <c r="K436" t="s">
        <v>30</v>
      </c>
      <c r="L436" t="str">
        <f t="shared" si="18"/>
        <v>Available</v>
      </c>
      <c r="M436">
        <f t="shared" si="19"/>
        <v>0</v>
      </c>
      <c r="N436">
        <f t="shared" si="20"/>
        <v>1</v>
      </c>
    </row>
    <row r="437" spans="1:14" x14ac:dyDescent="0.35">
      <c r="A437" t="s">
        <v>1993</v>
      </c>
      <c r="B437" t="s">
        <v>27</v>
      </c>
      <c r="C437" t="s">
        <v>639</v>
      </c>
      <c r="D437">
        <v>3</v>
      </c>
      <c r="E437" t="s">
        <v>640</v>
      </c>
      <c r="F437" s="1">
        <v>44497</v>
      </c>
      <c r="G437" s="1">
        <v>46045</v>
      </c>
      <c r="H437" t="s">
        <v>14</v>
      </c>
      <c r="I437" t="s">
        <v>2778</v>
      </c>
      <c r="J437">
        <v>261657</v>
      </c>
      <c r="K437" t="s">
        <v>15</v>
      </c>
      <c r="L437" t="str">
        <f t="shared" si="18"/>
        <v>Available</v>
      </c>
      <c r="M437">
        <f t="shared" si="19"/>
        <v>1</v>
      </c>
      <c r="N437">
        <f t="shared" si="20"/>
        <v>1</v>
      </c>
    </row>
    <row r="438" spans="1:14" x14ac:dyDescent="0.35">
      <c r="A438" t="s">
        <v>1994</v>
      </c>
      <c r="B438" t="s">
        <v>2850</v>
      </c>
      <c r="C438" t="s">
        <v>641</v>
      </c>
      <c r="D438">
        <v>14</v>
      </c>
      <c r="E438" t="s">
        <v>13</v>
      </c>
      <c r="F438" s="1">
        <v>45154</v>
      </c>
      <c r="G438" s="1">
        <v>46059</v>
      </c>
      <c r="H438" t="s">
        <v>14</v>
      </c>
      <c r="I438" t="s">
        <v>2778</v>
      </c>
      <c r="J438">
        <v>264124</v>
      </c>
      <c r="K438" t="s">
        <v>15</v>
      </c>
      <c r="L438" t="str">
        <f t="shared" si="18"/>
        <v>Available</v>
      </c>
      <c r="M438">
        <f t="shared" si="19"/>
        <v>1</v>
      </c>
      <c r="N438">
        <f t="shared" si="20"/>
        <v>1</v>
      </c>
    </row>
    <row r="439" spans="1:14" x14ac:dyDescent="0.35">
      <c r="A439" t="s">
        <v>1995</v>
      </c>
      <c r="B439" t="s">
        <v>2851</v>
      </c>
      <c r="C439" t="s">
        <v>643</v>
      </c>
      <c r="D439">
        <v>25</v>
      </c>
      <c r="E439" t="s">
        <v>13</v>
      </c>
      <c r="F439" s="1">
        <v>44497</v>
      </c>
      <c r="G439" s="1">
        <v>46057</v>
      </c>
      <c r="H439" t="s">
        <v>14</v>
      </c>
      <c r="I439" s="2">
        <v>18520527</v>
      </c>
      <c r="J439">
        <v>261704</v>
      </c>
      <c r="K439" t="s">
        <v>15</v>
      </c>
      <c r="L439" t="str">
        <f t="shared" si="18"/>
        <v>Available</v>
      </c>
      <c r="M439">
        <f t="shared" si="19"/>
        <v>1</v>
      </c>
      <c r="N439">
        <f t="shared" si="20"/>
        <v>1</v>
      </c>
    </row>
    <row r="440" spans="1:14" x14ac:dyDescent="0.35">
      <c r="A440" t="s">
        <v>1996</v>
      </c>
      <c r="B440" t="s">
        <v>12</v>
      </c>
      <c r="C440" t="s">
        <v>645</v>
      </c>
      <c r="D440">
        <v>45</v>
      </c>
      <c r="E440" t="s">
        <v>13</v>
      </c>
      <c r="F440" s="1">
        <v>44497</v>
      </c>
      <c r="G440" s="1">
        <v>46059</v>
      </c>
      <c r="H440" t="s">
        <v>14</v>
      </c>
      <c r="I440" s="2">
        <v>73926</v>
      </c>
      <c r="J440">
        <v>261900</v>
      </c>
      <c r="K440" t="s">
        <v>30</v>
      </c>
      <c r="L440" t="str">
        <f t="shared" si="18"/>
        <v>Available</v>
      </c>
      <c r="M440">
        <f t="shared" si="19"/>
        <v>0</v>
      </c>
      <c r="N440">
        <f t="shared" si="20"/>
        <v>1</v>
      </c>
    </row>
    <row r="441" spans="1:14" x14ac:dyDescent="0.35">
      <c r="A441" t="s">
        <v>1997</v>
      </c>
      <c r="B441" t="s">
        <v>137</v>
      </c>
      <c r="C441" t="s">
        <v>646</v>
      </c>
      <c r="F441" s="1">
        <v>44501</v>
      </c>
      <c r="G441" s="1">
        <v>45088</v>
      </c>
      <c r="H441" t="s">
        <v>14</v>
      </c>
      <c r="I441" t="s">
        <v>2778</v>
      </c>
      <c r="J441">
        <v>266858</v>
      </c>
      <c r="K441" t="s">
        <v>15</v>
      </c>
      <c r="L441" t="str">
        <f t="shared" si="18"/>
        <v>Available</v>
      </c>
      <c r="M441">
        <f t="shared" si="19"/>
        <v>1</v>
      </c>
      <c r="N441">
        <f t="shared" si="20"/>
        <v>1</v>
      </c>
    </row>
    <row r="442" spans="1:14" x14ac:dyDescent="0.35">
      <c r="A442" t="s">
        <v>1998</v>
      </c>
      <c r="B442" t="s">
        <v>2803</v>
      </c>
      <c r="C442" t="s">
        <v>647</v>
      </c>
      <c r="D442">
        <v>32</v>
      </c>
      <c r="E442" t="s">
        <v>13</v>
      </c>
      <c r="F442" s="1">
        <v>44497</v>
      </c>
      <c r="G442" s="1">
        <v>46057</v>
      </c>
      <c r="H442" t="s">
        <v>14</v>
      </c>
      <c r="I442" t="s">
        <v>2778</v>
      </c>
      <c r="J442">
        <v>264201</v>
      </c>
      <c r="K442" t="s">
        <v>15</v>
      </c>
      <c r="L442" t="str">
        <f t="shared" si="18"/>
        <v>Available</v>
      </c>
      <c r="M442">
        <f t="shared" si="19"/>
        <v>1</v>
      </c>
      <c r="N442">
        <f t="shared" si="20"/>
        <v>1</v>
      </c>
    </row>
    <row r="443" spans="1:14" x14ac:dyDescent="0.35">
      <c r="A443" t="s">
        <v>1999</v>
      </c>
      <c r="B443" t="s">
        <v>2792</v>
      </c>
      <c r="C443" t="s">
        <v>648</v>
      </c>
      <c r="D443">
        <v>15.5</v>
      </c>
      <c r="E443" t="s">
        <v>13</v>
      </c>
      <c r="F443" s="1">
        <v>45322</v>
      </c>
      <c r="G443" s="1">
        <v>46057</v>
      </c>
      <c r="H443" t="s">
        <v>14</v>
      </c>
      <c r="I443" t="s">
        <v>2778</v>
      </c>
      <c r="J443">
        <v>266302</v>
      </c>
      <c r="K443" t="s">
        <v>30</v>
      </c>
      <c r="L443" t="str">
        <f t="shared" si="18"/>
        <v>Available</v>
      </c>
      <c r="M443">
        <f t="shared" si="19"/>
        <v>0</v>
      </c>
      <c r="N443">
        <f t="shared" si="20"/>
        <v>1</v>
      </c>
    </row>
    <row r="444" spans="1:14" x14ac:dyDescent="0.35">
      <c r="A444" t="s">
        <v>2000</v>
      </c>
      <c r="B444" t="s">
        <v>2852</v>
      </c>
      <c r="C444" t="s">
        <v>649</v>
      </c>
      <c r="D444">
        <v>15.3</v>
      </c>
      <c r="E444" t="s">
        <v>13</v>
      </c>
      <c r="F444" s="1">
        <v>44497</v>
      </c>
      <c r="G444" s="1">
        <v>46059</v>
      </c>
      <c r="H444" t="s">
        <v>14</v>
      </c>
      <c r="I444" t="s">
        <v>2778</v>
      </c>
      <c r="J444">
        <v>264366</v>
      </c>
      <c r="K444" t="s">
        <v>15</v>
      </c>
      <c r="L444" t="str">
        <f t="shared" si="18"/>
        <v>Available</v>
      </c>
      <c r="M444">
        <f t="shared" si="19"/>
        <v>1</v>
      </c>
      <c r="N444">
        <f t="shared" si="20"/>
        <v>1</v>
      </c>
    </row>
    <row r="445" spans="1:14" x14ac:dyDescent="0.35">
      <c r="A445" t="s">
        <v>2001</v>
      </c>
      <c r="B445" t="s">
        <v>2797</v>
      </c>
      <c r="C445" t="s">
        <v>651</v>
      </c>
      <c r="D445">
        <v>26</v>
      </c>
      <c r="E445" t="s">
        <v>13</v>
      </c>
      <c r="F445" s="1">
        <v>44497</v>
      </c>
      <c r="G445" s="1">
        <v>46060</v>
      </c>
      <c r="H445" t="s">
        <v>14</v>
      </c>
      <c r="I445" t="s">
        <v>2778</v>
      </c>
      <c r="J445">
        <v>262246</v>
      </c>
      <c r="K445" t="s">
        <v>30</v>
      </c>
      <c r="L445" t="str">
        <f t="shared" si="18"/>
        <v>Available</v>
      </c>
      <c r="M445">
        <f t="shared" si="19"/>
        <v>0</v>
      </c>
      <c r="N445">
        <f t="shared" si="20"/>
        <v>1</v>
      </c>
    </row>
    <row r="446" spans="1:14" x14ac:dyDescent="0.35">
      <c r="A446" t="s">
        <v>2002</v>
      </c>
      <c r="B446" t="s">
        <v>653</v>
      </c>
      <c r="C446" t="s">
        <v>652</v>
      </c>
      <c r="D446">
        <v>15</v>
      </c>
      <c r="E446" t="s">
        <v>13</v>
      </c>
      <c r="F446" s="1">
        <v>45210</v>
      </c>
      <c r="G446" s="1">
        <v>46059</v>
      </c>
      <c r="H446" t="s">
        <v>14</v>
      </c>
      <c r="I446" s="2">
        <v>33208880</v>
      </c>
      <c r="J446">
        <v>262548</v>
      </c>
      <c r="K446" t="s">
        <v>15</v>
      </c>
      <c r="L446" t="str">
        <f t="shared" si="18"/>
        <v>Available</v>
      </c>
      <c r="M446">
        <f t="shared" si="19"/>
        <v>1</v>
      </c>
      <c r="N446">
        <f t="shared" si="20"/>
        <v>1</v>
      </c>
    </row>
    <row r="447" spans="1:14" x14ac:dyDescent="0.35">
      <c r="A447" t="s">
        <v>2003</v>
      </c>
      <c r="B447" t="s">
        <v>2795</v>
      </c>
      <c r="C447" t="s">
        <v>654</v>
      </c>
      <c r="D447">
        <v>25</v>
      </c>
      <c r="E447" t="s">
        <v>13</v>
      </c>
      <c r="F447" s="1">
        <v>44497</v>
      </c>
      <c r="G447" s="1">
        <v>46059</v>
      </c>
      <c r="H447" t="s">
        <v>14</v>
      </c>
      <c r="I447" s="2">
        <v>19634980</v>
      </c>
      <c r="J447">
        <v>264206</v>
      </c>
      <c r="K447" t="s">
        <v>15</v>
      </c>
      <c r="L447" t="str">
        <f t="shared" si="18"/>
        <v>Available</v>
      </c>
      <c r="M447">
        <f t="shared" si="19"/>
        <v>1</v>
      </c>
      <c r="N447">
        <f t="shared" si="20"/>
        <v>1</v>
      </c>
    </row>
    <row r="448" spans="1:14" x14ac:dyDescent="0.35">
      <c r="A448" t="s">
        <v>2004</v>
      </c>
      <c r="B448" t="s">
        <v>269</v>
      </c>
      <c r="C448" t="s">
        <v>655</v>
      </c>
      <c r="D448">
        <v>22.655035000000002</v>
      </c>
      <c r="E448" t="s">
        <v>35</v>
      </c>
      <c r="F448" s="1">
        <v>44497</v>
      </c>
      <c r="G448" s="1">
        <v>45809</v>
      </c>
      <c r="H448" t="s">
        <v>14</v>
      </c>
      <c r="I448" t="s">
        <v>2778</v>
      </c>
      <c r="J448">
        <v>266337</v>
      </c>
      <c r="K448" t="s">
        <v>30</v>
      </c>
      <c r="L448" t="str">
        <f t="shared" si="18"/>
        <v>Available</v>
      </c>
      <c r="M448">
        <f t="shared" si="19"/>
        <v>0</v>
      </c>
      <c r="N448">
        <f t="shared" si="20"/>
        <v>1</v>
      </c>
    </row>
    <row r="449" spans="1:14" x14ac:dyDescent="0.35">
      <c r="A449" t="s">
        <v>2005</v>
      </c>
      <c r="B449" t="s">
        <v>43</v>
      </c>
      <c r="C449" t="s">
        <v>656</v>
      </c>
      <c r="D449">
        <v>25</v>
      </c>
      <c r="E449" t="s">
        <v>13</v>
      </c>
      <c r="F449" s="1">
        <v>44497</v>
      </c>
      <c r="G449" s="1">
        <v>46059</v>
      </c>
      <c r="H449" t="s">
        <v>14</v>
      </c>
      <c r="I449" s="2">
        <v>387001</v>
      </c>
      <c r="J449">
        <v>261533</v>
      </c>
      <c r="K449" t="s">
        <v>15</v>
      </c>
      <c r="L449" t="str">
        <f t="shared" si="18"/>
        <v>Available</v>
      </c>
      <c r="M449">
        <f t="shared" si="19"/>
        <v>1</v>
      </c>
      <c r="N449">
        <f t="shared" si="20"/>
        <v>1</v>
      </c>
    </row>
    <row r="450" spans="1:14" x14ac:dyDescent="0.35">
      <c r="A450" t="s">
        <v>2006</v>
      </c>
      <c r="B450" t="s">
        <v>527</v>
      </c>
      <c r="C450" t="s">
        <v>657</v>
      </c>
      <c r="D450">
        <v>24</v>
      </c>
      <c r="E450" t="s">
        <v>13</v>
      </c>
      <c r="F450" s="1">
        <v>44497</v>
      </c>
      <c r="G450" s="1">
        <v>46058</v>
      </c>
      <c r="H450" t="s">
        <v>14</v>
      </c>
      <c r="I450" s="2">
        <v>3242671</v>
      </c>
      <c r="J450">
        <v>266982</v>
      </c>
      <c r="K450" t="s">
        <v>30</v>
      </c>
      <c r="L450" t="str">
        <f t="shared" si="18"/>
        <v>Available</v>
      </c>
      <c r="M450">
        <f t="shared" si="19"/>
        <v>0</v>
      </c>
      <c r="N450">
        <f t="shared" si="20"/>
        <v>1</v>
      </c>
    </row>
    <row r="451" spans="1:14" x14ac:dyDescent="0.35">
      <c r="A451" t="s">
        <v>2007</v>
      </c>
      <c r="B451" t="s">
        <v>125</v>
      </c>
      <c r="C451" t="s">
        <v>658</v>
      </c>
      <c r="D451">
        <v>25</v>
      </c>
      <c r="E451" t="s">
        <v>13</v>
      </c>
      <c r="F451" s="1">
        <v>44607</v>
      </c>
      <c r="G451" s="1">
        <v>46059</v>
      </c>
      <c r="H451" t="s">
        <v>14</v>
      </c>
      <c r="I451" s="2">
        <v>27583107</v>
      </c>
      <c r="J451">
        <v>264112</v>
      </c>
      <c r="K451" t="s">
        <v>30</v>
      </c>
      <c r="L451" t="str">
        <f t="shared" ref="L451:L514" si="21">IF(OR(B451="",ISBLANK(B451)),"Missing","Available")</f>
        <v>Available</v>
      </c>
      <c r="M451">
        <f t="shared" ref="M451:M514" si="22">IF(K451="Mapped",1,0)</f>
        <v>0</v>
      </c>
      <c r="N451">
        <f t="shared" ref="N451:N514" si="23">IF(AND(B451&lt;&gt;"",A451&lt;&gt;""),1,0)</f>
        <v>1</v>
      </c>
    </row>
    <row r="452" spans="1:14" x14ac:dyDescent="0.35">
      <c r="A452" t="s">
        <v>2008</v>
      </c>
      <c r="B452" t="s">
        <v>118</v>
      </c>
      <c r="C452" t="s">
        <v>659</v>
      </c>
      <c r="D452">
        <v>24</v>
      </c>
      <c r="E452" t="s">
        <v>13</v>
      </c>
      <c r="F452" s="1">
        <v>45473</v>
      </c>
      <c r="G452" s="1">
        <v>46059</v>
      </c>
      <c r="H452" t="s">
        <v>14</v>
      </c>
      <c r="I452" s="2">
        <v>48715862</v>
      </c>
      <c r="J452">
        <v>264286</v>
      </c>
      <c r="K452" t="s">
        <v>15</v>
      </c>
      <c r="L452" t="str">
        <f t="shared" si="21"/>
        <v>Available</v>
      </c>
      <c r="M452">
        <f t="shared" si="22"/>
        <v>1</v>
      </c>
      <c r="N452">
        <f t="shared" si="23"/>
        <v>1</v>
      </c>
    </row>
    <row r="453" spans="1:14" x14ac:dyDescent="0.35">
      <c r="A453" t="s">
        <v>2009</v>
      </c>
      <c r="B453" t="s">
        <v>293</v>
      </c>
      <c r="C453" t="s">
        <v>660</v>
      </c>
      <c r="D453">
        <v>18.5</v>
      </c>
      <c r="E453" t="s">
        <v>13</v>
      </c>
      <c r="F453" s="1">
        <v>44497</v>
      </c>
      <c r="G453" s="1">
        <v>46059</v>
      </c>
      <c r="H453" t="s">
        <v>14</v>
      </c>
      <c r="I453" t="s">
        <v>2778</v>
      </c>
      <c r="J453">
        <v>266352</v>
      </c>
      <c r="K453" t="s">
        <v>15</v>
      </c>
      <c r="L453" t="str">
        <f t="shared" si="21"/>
        <v>Available</v>
      </c>
      <c r="M453">
        <f t="shared" si="22"/>
        <v>1</v>
      </c>
      <c r="N453">
        <f t="shared" si="23"/>
        <v>1</v>
      </c>
    </row>
    <row r="454" spans="1:14" x14ac:dyDescent="0.35">
      <c r="A454" t="s">
        <v>2010</v>
      </c>
      <c r="B454" t="s">
        <v>132</v>
      </c>
      <c r="C454" t="s">
        <v>661</v>
      </c>
      <c r="F454" s="1">
        <v>45009</v>
      </c>
      <c r="G454" s="1">
        <v>45099</v>
      </c>
      <c r="H454" t="s">
        <v>14</v>
      </c>
      <c r="I454" t="s">
        <v>2778</v>
      </c>
      <c r="J454">
        <v>266851</v>
      </c>
      <c r="K454" t="s">
        <v>30</v>
      </c>
      <c r="L454" t="str">
        <f t="shared" si="21"/>
        <v>Available</v>
      </c>
      <c r="M454">
        <f t="shared" si="22"/>
        <v>0</v>
      </c>
      <c r="N454">
        <f t="shared" si="23"/>
        <v>1</v>
      </c>
    </row>
    <row r="455" spans="1:14" x14ac:dyDescent="0.35">
      <c r="A455" t="s">
        <v>2011</v>
      </c>
      <c r="B455" t="s">
        <v>2778</v>
      </c>
      <c r="C455" t="s">
        <v>662</v>
      </c>
      <c r="D455">
        <v>16</v>
      </c>
      <c r="E455" t="s">
        <v>13</v>
      </c>
      <c r="F455" s="1">
        <v>44699</v>
      </c>
      <c r="G455" s="1">
        <v>46057</v>
      </c>
      <c r="H455" t="s">
        <v>14</v>
      </c>
      <c r="I455" s="2">
        <v>27420926</v>
      </c>
      <c r="J455">
        <v>264462</v>
      </c>
      <c r="K455" t="s">
        <v>15</v>
      </c>
      <c r="L455" t="str">
        <f t="shared" si="21"/>
        <v>Missing</v>
      </c>
      <c r="M455">
        <f t="shared" si="22"/>
        <v>1</v>
      </c>
      <c r="N455">
        <f t="shared" si="23"/>
        <v>0</v>
      </c>
    </row>
    <row r="456" spans="1:14" x14ac:dyDescent="0.35">
      <c r="A456" t="s">
        <v>2012</v>
      </c>
      <c r="B456" t="s">
        <v>485</v>
      </c>
      <c r="C456" t="s">
        <v>663</v>
      </c>
      <c r="D456">
        <v>25.5</v>
      </c>
      <c r="E456" t="s">
        <v>13</v>
      </c>
      <c r="F456" s="1">
        <v>44497</v>
      </c>
      <c r="G456" s="1">
        <v>46059</v>
      </c>
      <c r="H456" t="s">
        <v>14</v>
      </c>
      <c r="I456" t="s">
        <v>2778</v>
      </c>
      <c r="J456">
        <v>267046</v>
      </c>
      <c r="K456" t="s">
        <v>30</v>
      </c>
      <c r="L456" t="str">
        <f t="shared" si="21"/>
        <v>Available</v>
      </c>
      <c r="M456">
        <f t="shared" si="22"/>
        <v>0</v>
      </c>
      <c r="N456">
        <f t="shared" si="23"/>
        <v>1</v>
      </c>
    </row>
    <row r="457" spans="1:14" x14ac:dyDescent="0.35">
      <c r="A457" t="s">
        <v>2013</v>
      </c>
      <c r="B457" t="s">
        <v>2853</v>
      </c>
      <c r="C457" t="s">
        <v>664</v>
      </c>
      <c r="D457">
        <v>24</v>
      </c>
      <c r="E457" t="s">
        <v>13</v>
      </c>
      <c r="F457" s="1">
        <v>44501</v>
      </c>
      <c r="G457" s="1">
        <v>45739</v>
      </c>
      <c r="H457" t="s">
        <v>14</v>
      </c>
      <c r="I457" t="s">
        <v>2778</v>
      </c>
      <c r="J457">
        <v>262600</v>
      </c>
      <c r="K457" t="s">
        <v>30</v>
      </c>
      <c r="L457" t="str">
        <f t="shared" si="21"/>
        <v>Available</v>
      </c>
      <c r="M457">
        <f t="shared" si="22"/>
        <v>0</v>
      </c>
      <c r="N457">
        <f t="shared" si="23"/>
        <v>1</v>
      </c>
    </row>
    <row r="458" spans="1:14" x14ac:dyDescent="0.35">
      <c r="A458" t="s">
        <v>2014</v>
      </c>
      <c r="B458" t="s">
        <v>58</v>
      </c>
      <c r="C458" t="s">
        <v>666</v>
      </c>
      <c r="D458">
        <v>14</v>
      </c>
      <c r="E458" t="s">
        <v>13</v>
      </c>
      <c r="F458" s="1">
        <v>44497</v>
      </c>
      <c r="G458" s="1">
        <v>46059</v>
      </c>
      <c r="H458" t="s">
        <v>14</v>
      </c>
      <c r="I458" s="2">
        <v>80810</v>
      </c>
      <c r="J458">
        <v>266280</v>
      </c>
      <c r="K458" t="s">
        <v>30</v>
      </c>
      <c r="L458" t="str">
        <f t="shared" si="21"/>
        <v>Available</v>
      </c>
      <c r="M458">
        <f t="shared" si="22"/>
        <v>0</v>
      </c>
      <c r="N458">
        <f t="shared" si="23"/>
        <v>1</v>
      </c>
    </row>
    <row r="459" spans="1:14" x14ac:dyDescent="0.35">
      <c r="A459" t="s">
        <v>2015</v>
      </c>
      <c r="B459" t="s">
        <v>668</v>
      </c>
      <c r="C459" t="s">
        <v>667</v>
      </c>
      <c r="D459">
        <v>20</v>
      </c>
      <c r="E459" t="s">
        <v>13</v>
      </c>
      <c r="F459" s="1">
        <v>44497</v>
      </c>
      <c r="G459" s="1">
        <v>46059</v>
      </c>
      <c r="H459" t="s">
        <v>14</v>
      </c>
      <c r="I459" t="s">
        <v>2778</v>
      </c>
      <c r="J459">
        <v>266325</v>
      </c>
      <c r="K459" t="s">
        <v>15</v>
      </c>
      <c r="L459" t="str">
        <f t="shared" si="21"/>
        <v>Available</v>
      </c>
      <c r="M459">
        <f t="shared" si="22"/>
        <v>1</v>
      </c>
      <c r="N459">
        <f t="shared" si="23"/>
        <v>1</v>
      </c>
    </row>
    <row r="460" spans="1:14" x14ac:dyDescent="0.35">
      <c r="A460" t="s">
        <v>2016</v>
      </c>
      <c r="B460" t="s">
        <v>27</v>
      </c>
      <c r="C460" t="s">
        <v>590</v>
      </c>
      <c r="D460">
        <v>0.125</v>
      </c>
      <c r="E460" t="s">
        <v>13</v>
      </c>
      <c r="F460" s="1">
        <v>44497</v>
      </c>
      <c r="G460" s="1">
        <v>46045</v>
      </c>
      <c r="H460" t="s">
        <v>14</v>
      </c>
      <c r="I460" t="s">
        <v>2778</v>
      </c>
      <c r="J460">
        <v>261573</v>
      </c>
      <c r="K460" t="s">
        <v>30</v>
      </c>
      <c r="L460" t="str">
        <f t="shared" si="21"/>
        <v>Available</v>
      </c>
      <c r="M460">
        <f t="shared" si="22"/>
        <v>0</v>
      </c>
      <c r="N460">
        <f t="shared" si="23"/>
        <v>1</v>
      </c>
    </row>
    <row r="461" spans="1:14" x14ac:dyDescent="0.35">
      <c r="A461" t="s">
        <v>2017</v>
      </c>
      <c r="B461" t="s">
        <v>2791</v>
      </c>
      <c r="C461" t="s">
        <v>669</v>
      </c>
      <c r="F461" s="1">
        <v>44500</v>
      </c>
      <c r="G461" s="1">
        <v>45133</v>
      </c>
      <c r="H461" t="s">
        <v>14</v>
      </c>
      <c r="I461" t="s">
        <v>2778</v>
      </c>
      <c r="J461">
        <v>262047</v>
      </c>
      <c r="K461" t="s">
        <v>15</v>
      </c>
      <c r="L461" t="str">
        <f t="shared" si="21"/>
        <v>Available</v>
      </c>
      <c r="M461">
        <f t="shared" si="22"/>
        <v>1</v>
      </c>
      <c r="N461">
        <f t="shared" si="23"/>
        <v>1</v>
      </c>
    </row>
    <row r="462" spans="1:14" x14ac:dyDescent="0.35">
      <c r="A462" t="s">
        <v>2018</v>
      </c>
      <c r="B462" t="s">
        <v>2778</v>
      </c>
      <c r="C462" t="s">
        <v>670</v>
      </c>
      <c r="F462" s="1">
        <v>44502</v>
      </c>
      <c r="G462" s="1">
        <v>45088</v>
      </c>
      <c r="H462" t="s">
        <v>14</v>
      </c>
      <c r="I462" t="s">
        <v>2778</v>
      </c>
      <c r="J462">
        <v>261817</v>
      </c>
      <c r="K462" t="s">
        <v>30</v>
      </c>
      <c r="L462" t="str">
        <f t="shared" si="21"/>
        <v>Missing</v>
      </c>
      <c r="M462">
        <f t="shared" si="22"/>
        <v>0</v>
      </c>
      <c r="N462">
        <f t="shared" si="23"/>
        <v>0</v>
      </c>
    </row>
    <row r="463" spans="1:14" x14ac:dyDescent="0.35">
      <c r="A463" t="s">
        <v>2019</v>
      </c>
      <c r="B463" t="s">
        <v>527</v>
      </c>
      <c r="C463" t="s">
        <v>671</v>
      </c>
      <c r="D463">
        <v>24</v>
      </c>
      <c r="E463" t="s">
        <v>13</v>
      </c>
      <c r="F463" s="1">
        <v>44497</v>
      </c>
      <c r="G463" s="1">
        <v>46058</v>
      </c>
      <c r="H463" t="s">
        <v>14</v>
      </c>
      <c r="I463" s="2">
        <v>3242670</v>
      </c>
      <c r="J463">
        <v>262269</v>
      </c>
      <c r="K463" t="s">
        <v>15</v>
      </c>
      <c r="L463" t="str">
        <f t="shared" si="21"/>
        <v>Available</v>
      </c>
      <c r="M463">
        <f t="shared" si="22"/>
        <v>1</v>
      </c>
      <c r="N463">
        <f t="shared" si="23"/>
        <v>1</v>
      </c>
    </row>
    <row r="464" spans="1:14" x14ac:dyDescent="0.35">
      <c r="A464" t="s">
        <v>2020</v>
      </c>
      <c r="B464" t="s">
        <v>445</v>
      </c>
      <c r="C464" t="s">
        <v>672</v>
      </c>
      <c r="D464">
        <v>24</v>
      </c>
      <c r="E464" t="s">
        <v>13</v>
      </c>
      <c r="F464" s="1">
        <v>44497</v>
      </c>
      <c r="G464" s="1">
        <v>46059</v>
      </c>
      <c r="H464" t="s">
        <v>14</v>
      </c>
      <c r="I464" t="s">
        <v>2778</v>
      </c>
      <c r="J464">
        <v>261821</v>
      </c>
      <c r="K464" t="s">
        <v>15</v>
      </c>
      <c r="L464" t="str">
        <f t="shared" si="21"/>
        <v>Available</v>
      </c>
      <c r="M464">
        <f t="shared" si="22"/>
        <v>1</v>
      </c>
      <c r="N464">
        <f t="shared" si="23"/>
        <v>1</v>
      </c>
    </row>
    <row r="465" spans="1:14" x14ac:dyDescent="0.35">
      <c r="A465" t="s">
        <v>2021</v>
      </c>
      <c r="B465" t="s">
        <v>47</v>
      </c>
      <c r="C465" t="s">
        <v>673</v>
      </c>
      <c r="D465">
        <v>24</v>
      </c>
      <c r="E465" t="s">
        <v>13</v>
      </c>
      <c r="F465" s="1">
        <v>44497</v>
      </c>
      <c r="G465" s="1">
        <v>46059</v>
      </c>
      <c r="H465" t="s">
        <v>14</v>
      </c>
      <c r="I465" s="2">
        <v>1334137</v>
      </c>
      <c r="J465">
        <v>266284</v>
      </c>
      <c r="K465" t="s">
        <v>15</v>
      </c>
      <c r="L465" t="str">
        <f t="shared" si="21"/>
        <v>Available</v>
      </c>
      <c r="M465">
        <f t="shared" si="22"/>
        <v>1</v>
      </c>
      <c r="N465">
        <f t="shared" si="23"/>
        <v>1</v>
      </c>
    </row>
    <row r="466" spans="1:14" x14ac:dyDescent="0.35">
      <c r="A466" t="s">
        <v>2022</v>
      </c>
      <c r="B466" t="s">
        <v>58</v>
      </c>
      <c r="C466" t="s">
        <v>674</v>
      </c>
      <c r="D466">
        <v>21.978764999999999</v>
      </c>
      <c r="E466" t="s">
        <v>35</v>
      </c>
      <c r="F466" s="1">
        <v>44497</v>
      </c>
      <c r="G466" s="1">
        <v>45659</v>
      </c>
      <c r="H466" t="s">
        <v>14</v>
      </c>
      <c r="I466" t="s">
        <v>2778</v>
      </c>
      <c r="J466">
        <v>266844</v>
      </c>
      <c r="K466" t="s">
        <v>15</v>
      </c>
      <c r="L466" t="str">
        <f t="shared" si="21"/>
        <v>Available</v>
      </c>
      <c r="M466">
        <f t="shared" si="22"/>
        <v>1</v>
      </c>
      <c r="N466">
        <f t="shared" si="23"/>
        <v>1</v>
      </c>
    </row>
    <row r="467" spans="1:14" x14ac:dyDescent="0.35">
      <c r="A467" t="s">
        <v>2023</v>
      </c>
      <c r="B467" t="s">
        <v>47</v>
      </c>
      <c r="C467" t="s">
        <v>675</v>
      </c>
      <c r="D467">
        <v>24</v>
      </c>
      <c r="E467" t="s">
        <v>13</v>
      </c>
      <c r="F467" s="1">
        <v>44497</v>
      </c>
      <c r="G467" s="1">
        <v>46060</v>
      </c>
      <c r="H467" t="s">
        <v>14</v>
      </c>
      <c r="I467" s="2">
        <v>39332</v>
      </c>
      <c r="J467">
        <v>261866</v>
      </c>
      <c r="K467" t="s">
        <v>30</v>
      </c>
      <c r="L467" t="str">
        <f t="shared" si="21"/>
        <v>Available</v>
      </c>
      <c r="M467">
        <f t="shared" si="22"/>
        <v>0</v>
      </c>
      <c r="N467">
        <f t="shared" si="23"/>
        <v>1</v>
      </c>
    </row>
    <row r="468" spans="1:14" x14ac:dyDescent="0.35">
      <c r="A468" t="s">
        <v>2024</v>
      </c>
      <c r="B468" t="s">
        <v>2795</v>
      </c>
      <c r="C468" t="s">
        <v>676</v>
      </c>
      <c r="D468">
        <v>25</v>
      </c>
      <c r="E468" t="s">
        <v>13</v>
      </c>
      <c r="F468" s="1">
        <v>44497</v>
      </c>
      <c r="G468" s="1">
        <v>46059</v>
      </c>
      <c r="H468" t="s">
        <v>14</v>
      </c>
      <c r="I468" s="2">
        <v>18689024</v>
      </c>
      <c r="J468">
        <v>266643</v>
      </c>
      <c r="K468" t="s">
        <v>30</v>
      </c>
      <c r="L468" t="str">
        <f t="shared" si="21"/>
        <v>Available</v>
      </c>
      <c r="M468">
        <f t="shared" si="22"/>
        <v>0</v>
      </c>
      <c r="N468">
        <f t="shared" si="23"/>
        <v>1</v>
      </c>
    </row>
    <row r="469" spans="1:14" x14ac:dyDescent="0.35">
      <c r="A469" t="s">
        <v>2025</v>
      </c>
      <c r="B469" t="s">
        <v>132</v>
      </c>
      <c r="C469" t="s">
        <v>677</v>
      </c>
      <c r="F469" s="1">
        <v>45009</v>
      </c>
      <c r="G469" s="1">
        <v>45099</v>
      </c>
      <c r="H469" t="s">
        <v>14</v>
      </c>
      <c r="I469" t="s">
        <v>2778</v>
      </c>
      <c r="J469">
        <v>262614</v>
      </c>
      <c r="K469" t="s">
        <v>15</v>
      </c>
      <c r="L469" t="str">
        <f t="shared" si="21"/>
        <v>Available</v>
      </c>
      <c r="M469">
        <f t="shared" si="22"/>
        <v>1</v>
      </c>
      <c r="N469">
        <f t="shared" si="23"/>
        <v>1</v>
      </c>
    </row>
    <row r="470" spans="1:14" x14ac:dyDescent="0.35">
      <c r="A470" t="s">
        <v>2026</v>
      </c>
      <c r="B470" t="s">
        <v>2808</v>
      </c>
      <c r="C470" t="s">
        <v>678</v>
      </c>
      <c r="D470">
        <v>24</v>
      </c>
      <c r="E470" t="s">
        <v>13</v>
      </c>
      <c r="F470" s="1">
        <v>44607</v>
      </c>
      <c r="G470" s="1">
        <v>46059</v>
      </c>
      <c r="H470" t="s">
        <v>14</v>
      </c>
      <c r="I470" s="2">
        <v>27126603</v>
      </c>
      <c r="J470">
        <v>264351</v>
      </c>
      <c r="K470" t="s">
        <v>15</v>
      </c>
      <c r="L470" t="str">
        <f t="shared" si="21"/>
        <v>Available</v>
      </c>
      <c r="M470">
        <f t="shared" si="22"/>
        <v>1</v>
      </c>
      <c r="N470">
        <f t="shared" si="23"/>
        <v>1</v>
      </c>
    </row>
    <row r="471" spans="1:14" x14ac:dyDescent="0.35">
      <c r="A471" t="s">
        <v>2027</v>
      </c>
      <c r="B471" t="s">
        <v>139</v>
      </c>
      <c r="C471" t="s">
        <v>679</v>
      </c>
      <c r="D471">
        <v>24</v>
      </c>
      <c r="E471" t="s">
        <v>13</v>
      </c>
      <c r="F471" s="1">
        <v>44497</v>
      </c>
      <c r="G471" s="1">
        <v>46059</v>
      </c>
      <c r="H471" t="s">
        <v>14</v>
      </c>
      <c r="I471" s="2">
        <v>24933390</v>
      </c>
      <c r="J471">
        <v>266567</v>
      </c>
      <c r="K471" t="s">
        <v>15</v>
      </c>
      <c r="L471" t="str">
        <f t="shared" si="21"/>
        <v>Available</v>
      </c>
      <c r="M471">
        <f t="shared" si="22"/>
        <v>1</v>
      </c>
      <c r="N471">
        <f t="shared" si="23"/>
        <v>1</v>
      </c>
    </row>
    <row r="472" spans="1:14" x14ac:dyDescent="0.35">
      <c r="A472" t="s">
        <v>2028</v>
      </c>
      <c r="B472" t="s">
        <v>43</v>
      </c>
      <c r="C472" t="s">
        <v>680</v>
      </c>
      <c r="D472">
        <v>25</v>
      </c>
      <c r="E472" t="s">
        <v>13</v>
      </c>
      <c r="F472" s="1">
        <v>44497</v>
      </c>
      <c r="G472" s="1">
        <v>46059</v>
      </c>
      <c r="H472" t="s">
        <v>14</v>
      </c>
      <c r="I472" s="2">
        <v>2736390</v>
      </c>
      <c r="J472">
        <v>264535</v>
      </c>
      <c r="K472" t="s">
        <v>30</v>
      </c>
      <c r="L472" t="str">
        <f t="shared" si="21"/>
        <v>Available</v>
      </c>
      <c r="M472">
        <f t="shared" si="22"/>
        <v>0</v>
      </c>
      <c r="N472">
        <f t="shared" si="23"/>
        <v>1</v>
      </c>
    </row>
    <row r="473" spans="1:14" x14ac:dyDescent="0.35">
      <c r="A473" t="s">
        <v>2029</v>
      </c>
      <c r="B473" t="s">
        <v>1054</v>
      </c>
      <c r="C473" t="s">
        <v>681</v>
      </c>
      <c r="D473">
        <v>24</v>
      </c>
      <c r="E473" t="s">
        <v>13</v>
      </c>
      <c r="F473" s="1">
        <v>44497</v>
      </c>
      <c r="G473" s="1">
        <v>46055</v>
      </c>
      <c r="H473" t="s">
        <v>14</v>
      </c>
      <c r="I473" s="2">
        <v>2798876</v>
      </c>
      <c r="J473">
        <v>264195</v>
      </c>
      <c r="K473" t="s">
        <v>15</v>
      </c>
      <c r="L473" t="str">
        <f t="shared" si="21"/>
        <v>Available</v>
      </c>
      <c r="M473">
        <f t="shared" si="22"/>
        <v>1</v>
      </c>
      <c r="N473">
        <f t="shared" si="23"/>
        <v>1</v>
      </c>
    </row>
    <row r="474" spans="1:14" x14ac:dyDescent="0.35">
      <c r="A474" t="s">
        <v>2030</v>
      </c>
      <c r="B474" t="s">
        <v>121</v>
      </c>
      <c r="C474" t="s">
        <v>683</v>
      </c>
      <c r="D474">
        <v>34.799999999999997</v>
      </c>
      <c r="E474" t="s">
        <v>13</v>
      </c>
      <c r="F474" s="1">
        <v>44501</v>
      </c>
      <c r="G474" s="1">
        <v>45966</v>
      </c>
      <c r="H474" t="s">
        <v>14</v>
      </c>
      <c r="I474" s="2">
        <v>25392844</v>
      </c>
      <c r="J474">
        <v>267049</v>
      </c>
      <c r="K474" t="s">
        <v>30</v>
      </c>
      <c r="L474" t="str">
        <f t="shared" si="21"/>
        <v>Available</v>
      </c>
      <c r="M474">
        <f t="shared" si="22"/>
        <v>0</v>
      </c>
      <c r="N474">
        <f t="shared" si="23"/>
        <v>1</v>
      </c>
    </row>
    <row r="475" spans="1:14" x14ac:dyDescent="0.35">
      <c r="A475" t="s">
        <v>2031</v>
      </c>
      <c r="B475" t="s">
        <v>544</v>
      </c>
      <c r="C475" t="s">
        <v>684</v>
      </c>
      <c r="D475">
        <v>25.5</v>
      </c>
      <c r="E475" t="s">
        <v>13</v>
      </c>
      <c r="F475" s="1">
        <v>44508</v>
      </c>
      <c r="G475" s="1">
        <v>45360</v>
      </c>
      <c r="H475" t="s">
        <v>14</v>
      </c>
      <c r="I475" t="s">
        <v>2778</v>
      </c>
      <c r="J475">
        <v>267059</v>
      </c>
      <c r="K475" t="s">
        <v>15</v>
      </c>
      <c r="L475" t="str">
        <f t="shared" si="21"/>
        <v>Available</v>
      </c>
      <c r="M475">
        <f t="shared" si="22"/>
        <v>1</v>
      </c>
      <c r="N475">
        <f t="shared" si="23"/>
        <v>1</v>
      </c>
    </row>
    <row r="476" spans="1:14" x14ac:dyDescent="0.35">
      <c r="A476" t="s">
        <v>2032</v>
      </c>
      <c r="B476" t="s">
        <v>2854</v>
      </c>
      <c r="C476" t="s">
        <v>685</v>
      </c>
      <c r="D476">
        <v>24</v>
      </c>
      <c r="E476" t="s">
        <v>13</v>
      </c>
      <c r="F476" s="1">
        <v>45679</v>
      </c>
      <c r="G476" s="1">
        <v>46059</v>
      </c>
      <c r="H476" t="s">
        <v>14</v>
      </c>
      <c r="I476" s="2">
        <v>64419192</v>
      </c>
      <c r="J476">
        <v>264036</v>
      </c>
      <c r="K476" t="s">
        <v>15</v>
      </c>
      <c r="L476" t="str">
        <f t="shared" si="21"/>
        <v>Available</v>
      </c>
      <c r="M476">
        <f t="shared" si="22"/>
        <v>1</v>
      </c>
      <c r="N476">
        <f t="shared" si="23"/>
        <v>1</v>
      </c>
    </row>
    <row r="477" spans="1:14" x14ac:dyDescent="0.35">
      <c r="A477" t="s">
        <v>2033</v>
      </c>
      <c r="B477" t="s">
        <v>130</v>
      </c>
      <c r="C477" t="s">
        <v>687</v>
      </c>
      <c r="D477">
        <v>25</v>
      </c>
      <c r="E477" t="s">
        <v>13</v>
      </c>
      <c r="F477" s="1">
        <v>44497</v>
      </c>
      <c r="G477" s="1">
        <v>46056</v>
      </c>
      <c r="H477" t="s">
        <v>14</v>
      </c>
      <c r="I477" s="2">
        <v>2219444</v>
      </c>
      <c r="J477">
        <v>261685</v>
      </c>
      <c r="K477" t="s">
        <v>30</v>
      </c>
      <c r="L477" t="str">
        <f t="shared" si="21"/>
        <v>Available</v>
      </c>
      <c r="M477">
        <f t="shared" si="22"/>
        <v>0</v>
      </c>
      <c r="N477">
        <f t="shared" si="23"/>
        <v>1</v>
      </c>
    </row>
    <row r="478" spans="1:14" x14ac:dyDescent="0.35">
      <c r="A478" t="s">
        <v>2034</v>
      </c>
      <c r="B478" t="s">
        <v>2812</v>
      </c>
      <c r="C478" t="s">
        <v>688</v>
      </c>
      <c r="D478">
        <v>24</v>
      </c>
      <c r="E478" t="s">
        <v>13</v>
      </c>
      <c r="F478" s="1">
        <v>45253</v>
      </c>
      <c r="G478" s="1">
        <v>46057</v>
      </c>
      <c r="H478" t="s">
        <v>14</v>
      </c>
      <c r="I478" s="2">
        <v>28129699</v>
      </c>
      <c r="J478">
        <v>261514</v>
      </c>
      <c r="K478" t="s">
        <v>15</v>
      </c>
      <c r="L478" t="str">
        <f t="shared" si="21"/>
        <v>Available</v>
      </c>
      <c r="M478">
        <f t="shared" si="22"/>
        <v>1</v>
      </c>
      <c r="N478">
        <f t="shared" si="23"/>
        <v>1</v>
      </c>
    </row>
    <row r="479" spans="1:14" x14ac:dyDescent="0.35">
      <c r="A479" t="s">
        <v>2035</v>
      </c>
      <c r="B479" t="s">
        <v>2855</v>
      </c>
      <c r="C479" t="s">
        <v>689</v>
      </c>
      <c r="D479">
        <v>24</v>
      </c>
      <c r="E479" t="s">
        <v>13</v>
      </c>
      <c r="F479" s="1">
        <v>44497</v>
      </c>
      <c r="G479" s="1">
        <v>46059</v>
      </c>
      <c r="H479" t="s">
        <v>14</v>
      </c>
      <c r="I479" s="2">
        <v>18474772</v>
      </c>
      <c r="J479">
        <v>266319</v>
      </c>
      <c r="K479" t="s">
        <v>30</v>
      </c>
      <c r="L479" t="str">
        <f t="shared" si="21"/>
        <v>Available</v>
      </c>
      <c r="M479">
        <f t="shared" si="22"/>
        <v>0</v>
      </c>
      <c r="N479">
        <f t="shared" si="23"/>
        <v>1</v>
      </c>
    </row>
    <row r="480" spans="1:14" x14ac:dyDescent="0.35">
      <c r="A480" t="s">
        <v>2036</v>
      </c>
      <c r="B480" t="s">
        <v>58</v>
      </c>
      <c r="C480" t="s">
        <v>691</v>
      </c>
      <c r="D480">
        <v>20.288091000000001</v>
      </c>
      <c r="E480" t="s">
        <v>35</v>
      </c>
      <c r="F480" s="1">
        <v>45631</v>
      </c>
      <c r="G480" s="1">
        <v>46058</v>
      </c>
      <c r="H480" t="s">
        <v>14</v>
      </c>
      <c r="I480" t="s">
        <v>2778</v>
      </c>
      <c r="J480">
        <v>267032</v>
      </c>
      <c r="K480" t="s">
        <v>15</v>
      </c>
      <c r="L480" t="str">
        <f t="shared" si="21"/>
        <v>Available</v>
      </c>
      <c r="M480">
        <f t="shared" si="22"/>
        <v>1</v>
      </c>
      <c r="N480">
        <f t="shared" si="23"/>
        <v>1</v>
      </c>
    </row>
    <row r="481" spans="1:14" x14ac:dyDescent="0.35">
      <c r="A481" t="s">
        <v>2037</v>
      </c>
      <c r="B481" t="s">
        <v>2778</v>
      </c>
      <c r="C481" t="s">
        <v>692</v>
      </c>
      <c r="D481">
        <v>26</v>
      </c>
      <c r="E481" t="s">
        <v>13</v>
      </c>
      <c r="F481" s="1">
        <v>44503</v>
      </c>
      <c r="G481" s="1">
        <v>46057</v>
      </c>
      <c r="H481" t="s">
        <v>14</v>
      </c>
      <c r="I481" s="2">
        <v>19739876</v>
      </c>
      <c r="J481">
        <v>266934</v>
      </c>
      <c r="K481" t="s">
        <v>15</v>
      </c>
      <c r="L481" t="str">
        <f t="shared" si="21"/>
        <v>Missing</v>
      </c>
      <c r="M481">
        <f t="shared" si="22"/>
        <v>1</v>
      </c>
      <c r="N481">
        <f t="shared" si="23"/>
        <v>0</v>
      </c>
    </row>
    <row r="482" spans="1:14" x14ac:dyDescent="0.35">
      <c r="A482" t="s">
        <v>2038</v>
      </c>
      <c r="B482" t="s">
        <v>2797</v>
      </c>
      <c r="C482" t="s">
        <v>693</v>
      </c>
      <c r="D482">
        <v>24</v>
      </c>
      <c r="E482" t="s">
        <v>13</v>
      </c>
      <c r="F482" s="1">
        <v>44497</v>
      </c>
      <c r="G482" s="1">
        <v>46060</v>
      </c>
      <c r="H482" t="s">
        <v>14</v>
      </c>
      <c r="I482" s="2">
        <v>43575</v>
      </c>
      <c r="J482">
        <v>264642</v>
      </c>
      <c r="K482" t="s">
        <v>15</v>
      </c>
      <c r="L482" t="str">
        <f t="shared" si="21"/>
        <v>Available</v>
      </c>
      <c r="M482">
        <f t="shared" si="22"/>
        <v>1</v>
      </c>
      <c r="N482">
        <f t="shared" si="23"/>
        <v>1</v>
      </c>
    </row>
    <row r="483" spans="1:14" x14ac:dyDescent="0.35">
      <c r="A483" t="s">
        <v>2039</v>
      </c>
      <c r="B483" t="s">
        <v>2810</v>
      </c>
      <c r="C483" t="s">
        <v>694</v>
      </c>
      <c r="D483">
        <v>32</v>
      </c>
      <c r="E483" t="s">
        <v>13</v>
      </c>
      <c r="F483" s="1">
        <v>44497</v>
      </c>
      <c r="G483" s="1">
        <v>45983</v>
      </c>
      <c r="H483" t="s">
        <v>14</v>
      </c>
      <c r="I483" t="s">
        <v>2778</v>
      </c>
      <c r="J483">
        <v>262228</v>
      </c>
      <c r="K483" t="s">
        <v>30</v>
      </c>
      <c r="L483" t="str">
        <f t="shared" si="21"/>
        <v>Available</v>
      </c>
      <c r="M483">
        <f t="shared" si="22"/>
        <v>0</v>
      </c>
      <c r="N483">
        <f t="shared" si="23"/>
        <v>1</v>
      </c>
    </row>
    <row r="484" spans="1:14" x14ac:dyDescent="0.35">
      <c r="A484" t="s">
        <v>2040</v>
      </c>
      <c r="B484" t="s">
        <v>2778</v>
      </c>
      <c r="C484" t="s">
        <v>695</v>
      </c>
      <c r="D484">
        <v>26</v>
      </c>
      <c r="E484" t="s">
        <v>13</v>
      </c>
      <c r="F484" s="1">
        <v>44500</v>
      </c>
      <c r="G484" s="1">
        <v>46058</v>
      </c>
      <c r="H484" t="s">
        <v>14</v>
      </c>
      <c r="I484" s="2">
        <v>17507598</v>
      </c>
      <c r="J484">
        <v>264148</v>
      </c>
      <c r="K484" t="s">
        <v>30</v>
      </c>
      <c r="L484" t="str">
        <f t="shared" si="21"/>
        <v>Missing</v>
      </c>
      <c r="M484">
        <f t="shared" si="22"/>
        <v>0</v>
      </c>
      <c r="N484">
        <f t="shared" si="23"/>
        <v>0</v>
      </c>
    </row>
    <row r="485" spans="1:14" x14ac:dyDescent="0.35">
      <c r="A485" t="s">
        <v>2041</v>
      </c>
      <c r="B485" t="s">
        <v>445</v>
      </c>
      <c r="C485" t="s">
        <v>696</v>
      </c>
      <c r="D485">
        <v>10.5</v>
      </c>
      <c r="E485" t="s">
        <v>13</v>
      </c>
      <c r="F485" s="1">
        <v>44497</v>
      </c>
      <c r="G485" s="1">
        <v>46059</v>
      </c>
      <c r="H485" t="s">
        <v>14</v>
      </c>
      <c r="I485" t="s">
        <v>2778</v>
      </c>
      <c r="J485">
        <v>261684</v>
      </c>
      <c r="K485" t="s">
        <v>15</v>
      </c>
      <c r="L485" t="str">
        <f t="shared" si="21"/>
        <v>Available</v>
      </c>
      <c r="M485">
        <f t="shared" si="22"/>
        <v>1</v>
      </c>
      <c r="N485">
        <f t="shared" si="23"/>
        <v>1</v>
      </c>
    </row>
    <row r="486" spans="1:14" x14ac:dyDescent="0.35">
      <c r="A486" t="s">
        <v>2042</v>
      </c>
      <c r="B486" t="s">
        <v>205</v>
      </c>
      <c r="C486" t="s">
        <v>697</v>
      </c>
      <c r="D486">
        <v>24</v>
      </c>
      <c r="E486" t="s">
        <v>13</v>
      </c>
      <c r="F486" s="1">
        <v>44497</v>
      </c>
      <c r="G486" s="1">
        <v>46058</v>
      </c>
      <c r="H486" t="s">
        <v>14</v>
      </c>
      <c r="I486" s="2">
        <v>91497</v>
      </c>
      <c r="J486">
        <v>261555</v>
      </c>
      <c r="K486" t="s">
        <v>30</v>
      </c>
      <c r="L486" t="str">
        <f t="shared" si="21"/>
        <v>Available</v>
      </c>
      <c r="M486">
        <f t="shared" si="22"/>
        <v>0</v>
      </c>
      <c r="N486">
        <f t="shared" si="23"/>
        <v>1</v>
      </c>
    </row>
    <row r="487" spans="1:14" x14ac:dyDescent="0.35">
      <c r="A487" t="s">
        <v>2043</v>
      </c>
      <c r="B487" t="s">
        <v>105</v>
      </c>
      <c r="C487" t="s">
        <v>698</v>
      </c>
      <c r="D487">
        <v>15</v>
      </c>
      <c r="E487" t="s">
        <v>13</v>
      </c>
      <c r="F487" s="1">
        <v>45679</v>
      </c>
      <c r="G487" s="1">
        <v>46059</v>
      </c>
      <c r="H487" t="s">
        <v>14</v>
      </c>
      <c r="I487" s="2">
        <v>58194576</v>
      </c>
      <c r="J487">
        <v>261697</v>
      </c>
      <c r="K487" t="s">
        <v>30</v>
      </c>
      <c r="L487" t="str">
        <f t="shared" si="21"/>
        <v>Available</v>
      </c>
      <c r="M487">
        <f t="shared" si="22"/>
        <v>0</v>
      </c>
      <c r="N487">
        <f t="shared" si="23"/>
        <v>1</v>
      </c>
    </row>
    <row r="488" spans="1:14" x14ac:dyDescent="0.35">
      <c r="A488" t="s">
        <v>2044</v>
      </c>
      <c r="B488" t="s">
        <v>369</v>
      </c>
      <c r="C488" t="s">
        <v>699</v>
      </c>
      <c r="D488">
        <v>32</v>
      </c>
      <c r="E488" t="s">
        <v>13</v>
      </c>
      <c r="F488" s="1">
        <v>44497</v>
      </c>
      <c r="G488" s="1">
        <v>46059</v>
      </c>
      <c r="H488" t="s">
        <v>14</v>
      </c>
      <c r="I488" s="2">
        <v>98570</v>
      </c>
      <c r="J488">
        <v>264154</v>
      </c>
      <c r="K488" t="s">
        <v>15</v>
      </c>
      <c r="L488" t="str">
        <f t="shared" si="21"/>
        <v>Available</v>
      </c>
      <c r="M488">
        <f t="shared" si="22"/>
        <v>1</v>
      </c>
      <c r="N488">
        <f t="shared" si="23"/>
        <v>1</v>
      </c>
    </row>
    <row r="489" spans="1:14" x14ac:dyDescent="0.35">
      <c r="A489" t="s">
        <v>2045</v>
      </c>
      <c r="B489" t="s">
        <v>369</v>
      </c>
      <c r="C489" t="s">
        <v>700</v>
      </c>
      <c r="D489">
        <v>16</v>
      </c>
      <c r="E489" t="s">
        <v>13</v>
      </c>
      <c r="F489" s="1">
        <v>44972</v>
      </c>
      <c r="G489" s="1">
        <v>46059</v>
      </c>
      <c r="H489" t="s">
        <v>14</v>
      </c>
      <c r="I489" s="2">
        <v>19970603</v>
      </c>
      <c r="J489">
        <v>264637</v>
      </c>
      <c r="K489" t="s">
        <v>30</v>
      </c>
      <c r="L489" t="str">
        <f t="shared" si="21"/>
        <v>Available</v>
      </c>
      <c r="M489">
        <f t="shared" si="22"/>
        <v>0</v>
      </c>
      <c r="N489">
        <f t="shared" si="23"/>
        <v>1</v>
      </c>
    </row>
    <row r="490" spans="1:14" x14ac:dyDescent="0.35">
      <c r="A490" t="s">
        <v>2046</v>
      </c>
      <c r="B490" t="s">
        <v>318</v>
      </c>
      <c r="C490" t="s">
        <v>701</v>
      </c>
      <c r="D490">
        <v>10.5</v>
      </c>
      <c r="E490" t="s">
        <v>13</v>
      </c>
      <c r="F490" s="1">
        <v>44497</v>
      </c>
      <c r="G490" s="1">
        <v>46059</v>
      </c>
      <c r="H490" t="s">
        <v>14</v>
      </c>
      <c r="I490" s="2">
        <v>53305</v>
      </c>
      <c r="J490">
        <v>267053</v>
      </c>
      <c r="K490" t="s">
        <v>30</v>
      </c>
      <c r="L490" t="str">
        <f t="shared" si="21"/>
        <v>Available</v>
      </c>
      <c r="M490">
        <f t="shared" si="22"/>
        <v>0</v>
      </c>
      <c r="N490">
        <f t="shared" si="23"/>
        <v>1</v>
      </c>
    </row>
    <row r="491" spans="1:14" x14ac:dyDescent="0.35">
      <c r="A491" t="s">
        <v>2047</v>
      </c>
      <c r="B491" t="s">
        <v>196</v>
      </c>
      <c r="C491" t="s">
        <v>702</v>
      </c>
      <c r="D491">
        <v>25</v>
      </c>
      <c r="E491" t="s">
        <v>13</v>
      </c>
      <c r="F491" s="1">
        <v>44497</v>
      </c>
      <c r="G491" s="1">
        <v>46059</v>
      </c>
      <c r="H491" t="s">
        <v>14</v>
      </c>
      <c r="I491" s="2">
        <v>73918</v>
      </c>
      <c r="J491">
        <v>264155</v>
      </c>
      <c r="K491" t="s">
        <v>30</v>
      </c>
      <c r="L491" t="str">
        <f t="shared" si="21"/>
        <v>Available</v>
      </c>
      <c r="M491">
        <f t="shared" si="22"/>
        <v>0</v>
      </c>
      <c r="N491">
        <f t="shared" si="23"/>
        <v>1</v>
      </c>
    </row>
    <row r="492" spans="1:14" x14ac:dyDescent="0.35">
      <c r="A492" t="s">
        <v>2048</v>
      </c>
      <c r="B492" t="s">
        <v>2778</v>
      </c>
      <c r="C492" t="s">
        <v>703</v>
      </c>
      <c r="D492">
        <v>16</v>
      </c>
      <c r="E492" t="s">
        <v>13</v>
      </c>
      <c r="F492" s="1">
        <v>45043</v>
      </c>
      <c r="G492" s="1">
        <v>46058</v>
      </c>
      <c r="H492" t="s">
        <v>14</v>
      </c>
      <c r="I492" t="s">
        <v>2778</v>
      </c>
      <c r="J492">
        <v>261868</v>
      </c>
      <c r="K492" t="s">
        <v>30</v>
      </c>
      <c r="L492" t="str">
        <f t="shared" si="21"/>
        <v>Missing</v>
      </c>
      <c r="M492">
        <f t="shared" si="22"/>
        <v>0</v>
      </c>
      <c r="N492">
        <f t="shared" si="23"/>
        <v>0</v>
      </c>
    </row>
    <row r="493" spans="1:14" x14ac:dyDescent="0.35">
      <c r="A493" t="s">
        <v>2049</v>
      </c>
      <c r="B493" t="s">
        <v>242</v>
      </c>
      <c r="C493" t="s">
        <v>704</v>
      </c>
      <c r="D493">
        <v>32</v>
      </c>
      <c r="E493" t="s">
        <v>13</v>
      </c>
      <c r="F493" s="1">
        <v>44500</v>
      </c>
      <c r="G493" s="1">
        <v>46059</v>
      </c>
      <c r="H493" t="s">
        <v>14</v>
      </c>
      <c r="I493" s="2">
        <v>226655</v>
      </c>
      <c r="J493">
        <v>264324</v>
      </c>
      <c r="K493" t="s">
        <v>15</v>
      </c>
      <c r="L493" t="str">
        <f t="shared" si="21"/>
        <v>Available</v>
      </c>
      <c r="M493">
        <f t="shared" si="22"/>
        <v>1</v>
      </c>
      <c r="N493">
        <f t="shared" si="23"/>
        <v>1</v>
      </c>
    </row>
    <row r="494" spans="1:14" x14ac:dyDescent="0.35">
      <c r="A494" t="s">
        <v>2050</v>
      </c>
      <c r="B494" t="s">
        <v>706</v>
      </c>
      <c r="C494" t="s">
        <v>705</v>
      </c>
      <c r="D494">
        <v>12.5</v>
      </c>
      <c r="E494" t="s">
        <v>13</v>
      </c>
      <c r="F494" s="1">
        <v>44826</v>
      </c>
      <c r="G494" s="1">
        <v>46059</v>
      </c>
      <c r="H494" t="s">
        <v>14</v>
      </c>
      <c r="I494" s="2">
        <v>26648555</v>
      </c>
      <c r="J494">
        <v>262586</v>
      </c>
      <c r="K494" t="s">
        <v>30</v>
      </c>
      <c r="L494" t="str">
        <f t="shared" si="21"/>
        <v>Available</v>
      </c>
      <c r="M494">
        <f t="shared" si="22"/>
        <v>0</v>
      </c>
      <c r="N494">
        <f t="shared" si="23"/>
        <v>1</v>
      </c>
    </row>
    <row r="495" spans="1:14" x14ac:dyDescent="0.35">
      <c r="A495" t="s">
        <v>2051</v>
      </c>
      <c r="B495" t="s">
        <v>708</v>
      </c>
      <c r="C495" t="s">
        <v>707</v>
      </c>
      <c r="D495">
        <v>24</v>
      </c>
      <c r="E495" t="s">
        <v>13</v>
      </c>
      <c r="F495" s="1">
        <v>44507</v>
      </c>
      <c r="G495" s="1">
        <v>46059</v>
      </c>
      <c r="H495" t="s">
        <v>14</v>
      </c>
      <c r="I495" s="2">
        <v>20211748</v>
      </c>
      <c r="J495">
        <v>266549</v>
      </c>
      <c r="K495" t="s">
        <v>30</v>
      </c>
      <c r="L495" t="str">
        <f t="shared" si="21"/>
        <v>Available</v>
      </c>
      <c r="M495">
        <f t="shared" si="22"/>
        <v>0</v>
      </c>
      <c r="N495">
        <f t="shared" si="23"/>
        <v>1</v>
      </c>
    </row>
    <row r="496" spans="1:14" x14ac:dyDescent="0.35">
      <c r="A496" t="s">
        <v>2052</v>
      </c>
      <c r="B496" t="s">
        <v>2778</v>
      </c>
      <c r="C496" t="s">
        <v>709</v>
      </c>
      <c r="D496">
        <v>32</v>
      </c>
      <c r="E496" t="s">
        <v>35</v>
      </c>
      <c r="F496" s="1">
        <v>44500</v>
      </c>
      <c r="G496" s="1">
        <v>46058</v>
      </c>
      <c r="H496" t="s">
        <v>14</v>
      </c>
      <c r="I496" s="2">
        <v>17183197</v>
      </c>
      <c r="J496">
        <v>264134</v>
      </c>
      <c r="K496" t="s">
        <v>30</v>
      </c>
      <c r="L496" t="str">
        <f t="shared" si="21"/>
        <v>Missing</v>
      </c>
      <c r="M496">
        <f t="shared" si="22"/>
        <v>0</v>
      </c>
      <c r="N496">
        <f t="shared" si="23"/>
        <v>0</v>
      </c>
    </row>
    <row r="497" spans="1:14" x14ac:dyDescent="0.35">
      <c r="A497" t="s">
        <v>2053</v>
      </c>
      <c r="B497" t="s">
        <v>598</v>
      </c>
      <c r="C497" t="s">
        <v>710</v>
      </c>
      <c r="D497">
        <v>26</v>
      </c>
      <c r="E497" t="s">
        <v>13</v>
      </c>
      <c r="F497" s="1">
        <v>44497</v>
      </c>
      <c r="G497" s="1">
        <v>46059</v>
      </c>
      <c r="H497" t="s">
        <v>14</v>
      </c>
      <c r="I497" s="2">
        <v>19347471</v>
      </c>
      <c r="J497">
        <v>266416</v>
      </c>
      <c r="K497" t="s">
        <v>15</v>
      </c>
      <c r="L497" t="str">
        <f t="shared" si="21"/>
        <v>Available</v>
      </c>
      <c r="M497">
        <f t="shared" si="22"/>
        <v>1</v>
      </c>
      <c r="N497">
        <f t="shared" si="23"/>
        <v>1</v>
      </c>
    </row>
    <row r="498" spans="1:14" x14ac:dyDescent="0.35">
      <c r="A498" t="s">
        <v>2054</v>
      </c>
      <c r="B498" t="s">
        <v>186</v>
      </c>
      <c r="C498" t="s">
        <v>711</v>
      </c>
      <c r="D498">
        <v>24</v>
      </c>
      <c r="E498" t="s">
        <v>13</v>
      </c>
      <c r="F498" s="1">
        <v>44497</v>
      </c>
      <c r="G498" s="1">
        <v>46059</v>
      </c>
      <c r="H498" t="s">
        <v>14</v>
      </c>
      <c r="I498" s="2">
        <v>98568</v>
      </c>
      <c r="J498">
        <v>261714</v>
      </c>
      <c r="K498" t="s">
        <v>15</v>
      </c>
      <c r="L498" t="str">
        <f t="shared" si="21"/>
        <v>Available</v>
      </c>
      <c r="M498">
        <f t="shared" si="22"/>
        <v>1</v>
      </c>
      <c r="N498">
        <f t="shared" si="23"/>
        <v>1</v>
      </c>
    </row>
    <row r="499" spans="1:14" x14ac:dyDescent="0.35">
      <c r="A499" t="s">
        <v>2055</v>
      </c>
      <c r="B499" t="s">
        <v>385</v>
      </c>
      <c r="C499" t="s">
        <v>713</v>
      </c>
      <c r="D499">
        <v>16</v>
      </c>
      <c r="E499" t="s">
        <v>13</v>
      </c>
      <c r="F499" s="1">
        <v>44497</v>
      </c>
      <c r="G499" s="1">
        <v>46058</v>
      </c>
      <c r="H499" t="s">
        <v>14</v>
      </c>
      <c r="I499" s="2">
        <v>263105</v>
      </c>
      <c r="J499">
        <v>261497</v>
      </c>
      <c r="K499" t="s">
        <v>30</v>
      </c>
      <c r="L499" t="str">
        <f t="shared" si="21"/>
        <v>Available</v>
      </c>
      <c r="M499">
        <f t="shared" si="22"/>
        <v>0</v>
      </c>
      <c r="N499">
        <f t="shared" si="23"/>
        <v>1</v>
      </c>
    </row>
    <row r="500" spans="1:14" x14ac:dyDescent="0.35">
      <c r="A500" t="s">
        <v>2056</v>
      </c>
      <c r="B500" t="s">
        <v>2855</v>
      </c>
      <c r="C500" t="s">
        <v>714</v>
      </c>
      <c r="D500">
        <v>24</v>
      </c>
      <c r="E500" t="s">
        <v>13</v>
      </c>
      <c r="F500" s="1">
        <v>44497</v>
      </c>
      <c r="G500" s="1">
        <v>46059</v>
      </c>
      <c r="H500" t="s">
        <v>14</v>
      </c>
      <c r="I500" s="2">
        <v>18474765</v>
      </c>
      <c r="J500">
        <v>264069</v>
      </c>
      <c r="K500" t="s">
        <v>30</v>
      </c>
      <c r="L500" t="str">
        <f t="shared" si="21"/>
        <v>Available</v>
      </c>
      <c r="M500">
        <f t="shared" si="22"/>
        <v>0</v>
      </c>
      <c r="N500">
        <f t="shared" si="23"/>
        <v>1</v>
      </c>
    </row>
    <row r="501" spans="1:14" x14ac:dyDescent="0.35">
      <c r="A501" t="s">
        <v>2057</v>
      </c>
      <c r="B501" t="s">
        <v>400</v>
      </c>
      <c r="C501" t="s">
        <v>715</v>
      </c>
      <c r="D501">
        <v>25</v>
      </c>
      <c r="E501" t="s">
        <v>13</v>
      </c>
      <c r="F501" s="1">
        <v>45893</v>
      </c>
      <c r="G501" s="1">
        <v>46033</v>
      </c>
      <c r="H501" t="s">
        <v>14</v>
      </c>
      <c r="I501" s="2">
        <v>81312901</v>
      </c>
      <c r="J501">
        <v>266331</v>
      </c>
      <c r="K501" t="s">
        <v>30</v>
      </c>
      <c r="L501" t="str">
        <f t="shared" si="21"/>
        <v>Available</v>
      </c>
      <c r="M501">
        <f t="shared" si="22"/>
        <v>0</v>
      </c>
      <c r="N501">
        <f t="shared" si="23"/>
        <v>1</v>
      </c>
    </row>
    <row r="502" spans="1:14" x14ac:dyDescent="0.35">
      <c r="A502" t="s">
        <v>2058</v>
      </c>
      <c r="B502" t="s">
        <v>451</v>
      </c>
      <c r="C502" t="s">
        <v>716</v>
      </c>
      <c r="D502">
        <v>24</v>
      </c>
      <c r="E502" t="s">
        <v>13</v>
      </c>
      <c r="F502" s="1">
        <v>44500</v>
      </c>
      <c r="G502" s="1">
        <v>46059</v>
      </c>
      <c r="H502" t="s">
        <v>14</v>
      </c>
      <c r="I502" s="2">
        <v>23003558</v>
      </c>
      <c r="J502">
        <v>266429</v>
      </c>
      <c r="K502" t="s">
        <v>15</v>
      </c>
      <c r="L502" t="str">
        <f t="shared" si="21"/>
        <v>Available</v>
      </c>
      <c r="M502">
        <f t="shared" si="22"/>
        <v>1</v>
      </c>
      <c r="N502">
        <f t="shared" si="23"/>
        <v>1</v>
      </c>
    </row>
    <row r="503" spans="1:14" x14ac:dyDescent="0.35">
      <c r="A503" t="s">
        <v>2059</v>
      </c>
      <c r="B503" t="s">
        <v>718</v>
      </c>
      <c r="C503" t="s">
        <v>717</v>
      </c>
      <c r="D503">
        <v>24</v>
      </c>
      <c r="E503" t="s">
        <v>13</v>
      </c>
      <c r="F503" s="1">
        <v>44500</v>
      </c>
      <c r="G503" s="1">
        <v>45392</v>
      </c>
      <c r="H503" t="s">
        <v>14</v>
      </c>
      <c r="I503" t="s">
        <v>2778</v>
      </c>
      <c r="J503">
        <v>264244</v>
      </c>
      <c r="K503" t="s">
        <v>30</v>
      </c>
      <c r="L503" t="str">
        <f t="shared" si="21"/>
        <v>Available</v>
      </c>
      <c r="M503">
        <f t="shared" si="22"/>
        <v>0</v>
      </c>
      <c r="N503">
        <f t="shared" si="23"/>
        <v>1</v>
      </c>
    </row>
    <row r="504" spans="1:14" x14ac:dyDescent="0.35">
      <c r="A504" t="s">
        <v>2060</v>
      </c>
      <c r="B504" t="s">
        <v>491</v>
      </c>
      <c r="C504" t="s">
        <v>719</v>
      </c>
      <c r="D504">
        <v>16</v>
      </c>
      <c r="E504" t="s">
        <v>13</v>
      </c>
      <c r="F504" s="1">
        <v>45198</v>
      </c>
      <c r="G504" s="1">
        <v>45709</v>
      </c>
      <c r="H504" t="s">
        <v>14</v>
      </c>
      <c r="I504" t="s">
        <v>2778</v>
      </c>
      <c r="J504">
        <v>262601</v>
      </c>
      <c r="K504" t="s">
        <v>15</v>
      </c>
      <c r="L504" t="str">
        <f t="shared" si="21"/>
        <v>Available</v>
      </c>
      <c r="M504">
        <f t="shared" si="22"/>
        <v>1</v>
      </c>
      <c r="N504">
        <f t="shared" si="23"/>
        <v>1</v>
      </c>
    </row>
    <row r="505" spans="1:14" x14ac:dyDescent="0.35">
      <c r="A505" t="s">
        <v>2061</v>
      </c>
      <c r="B505" t="s">
        <v>58</v>
      </c>
      <c r="C505" t="s">
        <v>721</v>
      </c>
      <c r="D505">
        <v>24</v>
      </c>
      <c r="E505" t="s">
        <v>13</v>
      </c>
      <c r="F505" s="1">
        <v>44497</v>
      </c>
      <c r="G505" s="1">
        <v>46060</v>
      </c>
      <c r="H505" t="s">
        <v>14</v>
      </c>
      <c r="I505" t="s">
        <v>2783</v>
      </c>
      <c r="J505" t="s">
        <v>722</v>
      </c>
      <c r="K505" t="s">
        <v>15</v>
      </c>
      <c r="L505" t="str">
        <f t="shared" si="21"/>
        <v>Available</v>
      </c>
      <c r="M505">
        <f t="shared" si="22"/>
        <v>1</v>
      </c>
      <c r="N505">
        <f t="shared" si="23"/>
        <v>1</v>
      </c>
    </row>
    <row r="506" spans="1:14" x14ac:dyDescent="0.35">
      <c r="A506" t="s">
        <v>2062</v>
      </c>
      <c r="B506" t="s">
        <v>105</v>
      </c>
      <c r="C506" t="s">
        <v>723</v>
      </c>
      <c r="D506">
        <v>23.162237000000001</v>
      </c>
      <c r="E506" t="s">
        <v>35</v>
      </c>
      <c r="F506" s="1">
        <v>44497</v>
      </c>
      <c r="G506" s="1">
        <v>45355</v>
      </c>
      <c r="H506" t="s">
        <v>14</v>
      </c>
      <c r="I506" t="s">
        <v>2778</v>
      </c>
      <c r="J506">
        <v>266339</v>
      </c>
      <c r="K506" t="s">
        <v>15</v>
      </c>
      <c r="L506" t="str">
        <f t="shared" si="21"/>
        <v>Available</v>
      </c>
      <c r="M506">
        <f t="shared" si="22"/>
        <v>1</v>
      </c>
      <c r="N506">
        <f t="shared" si="23"/>
        <v>1</v>
      </c>
    </row>
    <row r="507" spans="1:14" x14ac:dyDescent="0.35">
      <c r="A507" t="s">
        <v>2063</v>
      </c>
      <c r="B507" t="s">
        <v>25</v>
      </c>
      <c r="C507" t="s">
        <v>724</v>
      </c>
      <c r="D507">
        <v>24</v>
      </c>
      <c r="E507" t="s">
        <v>13</v>
      </c>
      <c r="F507" s="1">
        <v>44497</v>
      </c>
      <c r="G507" s="1">
        <v>46059</v>
      </c>
      <c r="H507" t="s">
        <v>14</v>
      </c>
      <c r="I507" s="2">
        <v>77089</v>
      </c>
      <c r="J507">
        <v>264721</v>
      </c>
      <c r="K507" t="s">
        <v>30</v>
      </c>
      <c r="L507" t="str">
        <f t="shared" si="21"/>
        <v>Available</v>
      </c>
      <c r="M507">
        <f t="shared" si="22"/>
        <v>0</v>
      </c>
      <c r="N507">
        <f t="shared" si="23"/>
        <v>1</v>
      </c>
    </row>
    <row r="508" spans="1:14" x14ac:dyDescent="0.35">
      <c r="A508" t="s">
        <v>2064</v>
      </c>
      <c r="B508" t="s">
        <v>400</v>
      </c>
      <c r="C508" t="s">
        <v>725</v>
      </c>
      <c r="D508">
        <v>25</v>
      </c>
      <c r="E508" t="s">
        <v>13</v>
      </c>
      <c r="F508" s="1">
        <v>45357</v>
      </c>
      <c r="G508" s="1">
        <v>46059</v>
      </c>
      <c r="H508" t="s">
        <v>14</v>
      </c>
      <c r="I508" s="2">
        <v>41163783</v>
      </c>
      <c r="J508">
        <v>264128</v>
      </c>
      <c r="K508" t="s">
        <v>15</v>
      </c>
      <c r="L508" t="str">
        <f t="shared" si="21"/>
        <v>Available</v>
      </c>
      <c r="M508">
        <f t="shared" si="22"/>
        <v>1</v>
      </c>
      <c r="N508">
        <f t="shared" si="23"/>
        <v>1</v>
      </c>
    </row>
    <row r="509" spans="1:14" x14ac:dyDescent="0.35">
      <c r="A509" t="s">
        <v>2065</v>
      </c>
      <c r="B509" t="s">
        <v>152</v>
      </c>
      <c r="C509" t="s">
        <v>727</v>
      </c>
      <c r="D509">
        <v>25</v>
      </c>
      <c r="E509" t="s">
        <v>13</v>
      </c>
      <c r="F509" s="1">
        <v>45442</v>
      </c>
      <c r="G509" s="1">
        <v>46057</v>
      </c>
      <c r="H509" t="s">
        <v>14</v>
      </c>
      <c r="I509" t="s">
        <v>2778</v>
      </c>
      <c r="J509">
        <v>266930</v>
      </c>
      <c r="K509" t="s">
        <v>15</v>
      </c>
      <c r="L509" t="str">
        <f t="shared" si="21"/>
        <v>Available</v>
      </c>
      <c r="M509">
        <f t="shared" si="22"/>
        <v>1</v>
      </c>
      <c r="N509">
        <f t="shared" si="23"/>
        <v>1</v>
      </c>
    </row>
    <row r="510" spans="1:14" x14ac:dyDescent="0.35">
      <c r="A510" t="s">
        <v>2066</v>
      </c>
      <c r="B510" t="s">
        <v>2856</v>
      </c>
      <c r="C510" t="s">
        <v>728</v>
      </c>
      <c r="D510">
        <v>7.5</v>
      </c>
      <c r="E510" t="s">
        <v>13</v>
      </c>
      <c r="F510" s="1">
        <v>45909</v>
      </c>
      <c r="G510" s="1">
        <v>46057</v>
      </c>
      <c r="H510" t="s">
        <v>14</v>
      </c>
      <c r="I510" t="s">
        <v>2778</v>
      </c>
      <c r="J510">
        <v>261590</v>
      </c>
      <c r="K510" t="s">
        <v>30</v>
      </c>
      <c r="L510" t="str">
        <f t="shared" si="21"/>
        <v>Available</v>
      </c>
      <c r="M510">
        <f t="shared" si="22"/>
        <v>0</v>
      </c>
      <c r="N510">
        <f t="shared" si="23"/>
        <v>1</v>
      </c>
    </row>
    <row r="511" spans="1:14" x14ac:dyDescent="0.35">
      <c r="A511" t="s">
        <v>2067</v>
      </c>
      <c r="B511" t="s">
        <v>615</v>
      </c>
      <c r="C511" t="s">
        <v>730</v>
      </c>
      <c r="D511">
        <v>24</v>
      </c>
      <c r="E511" t="s">
        <v>13</v>
      </c>
      <c r="F511" s="1">
        <v>44500</v>
      </c>
      <c r="G511" s="1">
        <v>46059</v>
      </c>
      <c r="H511" t="s">
        <v>14</v>
      </c>
      <c r="I511" s="2">
        <v>19645810</v>
      </c>
      <c r="J511">
        <v>264057</v>
      </c>
      <c r="K511" t="s">
        <v>15</v>
      </c>
      <c r="L511" t="str">
        <f t="shared" si="21"/>
        <v>Available</v>
      </c>
      <c r="M511">
        <f t="shared" si="22"/>
        <v>1</v>
      </c>
      <c r="N511">
        <f t="shared" si="23"/>
        <v>1</v>
      </c>
    </row>
    <row r="512" spans="1:14" x14ac:dyDescent="0.35">
      <c r="A512" t="s">
        <v>2068</v>
      </c>
      <c r="B512" t="s">
        <v>12</v>
      </c>
      <c r="C512" t="s">
        <v>731</v>
      </c>
      <c r="D512">
        <v>24</v>
      </c>
      <c r="E512" t="s">
        <v>13</v>
      </c>
      <c r="F512" s="1">
        <v>44497</v>
      </c>
      <c r="G512" s="1">
        <v>46059</v>
      </c>
      <c r="H512" t="s">
        <v>14</v>
      </c>
      <c r="I512" s="2">
        <v>73925</v>
      </c>
      <c r="J512">
        <v>264542</v>
      </c>
      <c r="K512" t="s">
        <v>30</v>
      </c>
      <c r="L512" t="str">
        <f t="shared" si="21"/>
        <v>Available</v>
      </c>
      <c r="M512">
        <f t="shared" si="22"/>
        <v>0</v>
      </c>
      <c r="N512">
        <f t="shared" si="23"/>
        <v>1</v>
      </c>
    </row>
    <row r="513" spans="1:14" x14ac:dyDescent="0.35">
      <c r="A513" t="s">
        <v>2069</v>
      </c>
      <c r="B513" t="s">
        <v>112</v>
      </c>
      <c r="C513" t="s">
        <v>732</v>
      </c>
      <c r="D513">
        <v>25.5</v>
      </c>
      <c r="E513" t="s">
        <v>13</v>
      </c>
      <c r="F513" s="1">
        <v>44497</v>
      </c>
      <c r="G513" s="1">
        <v>46059</v>
      </c>
      <c r="H513" t="s">
        <v>14</v>
      </c>
      <c r="I513" s="2">
        <v>24835</v>
      </c>
      <c r="J513">
        <v>264716</v>
      </c>
      <c r="K513" t="s">
        <v>30</v>
      </c>
      <c r="L513" t="str">
        <f t="shared" si="21"/>
        <v>Available</v>
      </c>
      <c r="M513">
        <f t="shared" si="22"/>
        <v>0</v>
      </c>
      <c r="N513">
        <f t="shared" si="23"/>
        <v>1</v>
      </c>
    </row>
    <row r="514" spans="1:14" x14ac:dyDescent="0.35">
      <c r="A514" t="s">
        <v>2070</v>
      </c>
      <c r="B514" t="s">
        <v>2825</v>
      </c>
      <c r="C514" t="s">
        <v>733</v>
      </c>
      <c r="F514" s="1">
        <v>44501</v>
      </c>
      <c r="G514" s="1">
        <v>46059</v>
      </c>
      <c r="H514" t="s">
        <v>14</v>
      </c>
      <c r="I514" t="s">
        <v>2778</v>
      </c>
      <c r="J514">
        <v>264686</v>
      </c>
      <c r="K514" t="s">
        <v>15</v>
      </c>
      <c r="L514" t="str">
        <f t="shared" si="21"/>
        <v>Available</v>
      </c>
      <c r="M514">
        <f t="shared" si="22"/>
        <v>1</v>
      </c>
      <c r="N514">
        <f t="shared" si="23"/>
        <v>1</v>
      </c>
    </row>
    <row r="515" spans="1:14" x14ac:dyDescent="0.35">
      <c r="A515" t="s">
        <v>2071</v>
      </c>
      <c r="B515" t="s">
        <v>735</v>
      </c>
      <c r="C515" t="s">
        <v>734</v>
      </c>
      <c r="D515">
        <v>25</v>
      </c>
      <c r="E515" t="s">
        <v>13</v>
      </c>
      <c r="F515" s="1">
        <v>44497</v>
      </c>
      <c r="G515" s="1">
        <v>46059</v>
      </c>
      <c r="H515" t="s">
        <v>14</v>
      </c>
      <c r="I515" s="2">
        <v>3240105</v>
      </c>
      <c r="J515">
        <v>262210</v>
      </c>
      <c r="K515" t="s">
        <v>30</v>
      </c>
      <c r="L515" t="str">
        <f t="shared" ref="L515:L578" si="24">IF(OR(B515="",ISBLANK(B515)),"Missing","Available")</f>
        <v>Available</v>
      </c>
      <c r="M515">
        <f t="shared" ref="M515:M578" si="25">IF(K515="Mapped",1,0)</f>
        <v>0</v>
      </c>
      <c r="N515">
        <f t="shared" ref="N515:N578" si="26">IF(AND(B515&lt;&gt;"",A515&lt;&gt;""),1,0)</f>
        <v>1</v>
      </c>
    </row>
    <row r="516" spans="1:14" x14ac:dyDescent="0.35">
      <c r="A516" t="s">
        <v>2072</v>
      </c>
      <c r="B516" t="s">
        <v>2857</v>
      </c>
      <c r="C516" t="s">
        <v>736</v>
      </c>
      <c r="D516">
        <v>24</v>
      </c>
      <c r="E516" t="s">
        <v>13</v>
      </c>
      <c r="F516" s="1">
        <v>45389</v>
      </c>
      <c r="G516" s="1">
        <v>46005</v>
      </c>
      <c r="H516" t="s">
        <v>14</v>
      </c>
      <c r="I516" t="s">
        <v>2778</v>
      </c>
      <c r="J516">
        <v>266573</v>
      </c>
      <c r="K516" t="s">
        <v>30</v>
      </c>
      <c r="L516" t="str">
        <f t="shared" si="24"/>
        <v>Available</v>
      </c>
      <c r="M516">
        <f t="shared" si="25"/>
        <v>0</v>
      </c>
      <c r="N516">
        <f t="shared" si="26"/>
        <v>1</v>
      </c>
    </row>
    <row r="517" spans="1:14" x14ac:dyDescent="0.35">
      <c r="A517" t="s">
        <v>2073</v>
      </c>
      <c r="B517" t="s">
        <v>2778</v>
      </c>
      <c r="C517" t="s">
        <v>738</v>
      </c>
      <c r="D517">
        <v>24</v>
      </c>
      <c r="E517" t="s">
        <v>13</v>
      </c>
      <c r="F517" s="1">
        <v>45277</v>
      </c>
      <c r="G517" s="1">
        <v>46054</v>
      </c>
      <c r="H517" t="s">
        <v>14</v>
      </c>
      <c r="I517" s="2">
        <v>36513289</v>
      </c>
      <c r="J517">
        <v>264141</v>
      </c>
      <c r="K517" t="s">
        <v>30</v>
      </c>
      <c r="L517" t="str">
        <f t="shared" si="24"/>
        <v>Missing</v>
      </c>
      <c r="M517">
        <f t="shared" si="25"/>
        <v>0</v>
      </c>
      <c r="N517">
        <f t="shared" si="26"/>
        <v>0</v>
      </c>
    </row>
    <row r="518" spans="1:14" x14ac:dyDescent="0.35">
      <c r="A518" t="s">
        <v>2074</v>
      </c>
      <c r="B518" t="s">
        <v>2858</v>
      </c>
      <c r="C518" t="s">
        <v>739</v>
      </c>
      <c r="D518">
        <v>16</v>
      </c>
      <c r="E518" t="s">
        <v>13</v>
      </c>
      <c r="F518" s="1">
        <v>44500</v>
      </c>
      <c r="G518" s="1">
        <v>45295</v>
      </c>
      <c r="H518" t="s">
        <v>14</v>
      </c>
      <c r="I518" t="s">
        <v>2778</v>
      </c>
      <c r="J518">
        <v>264434</v>
      </c>
      <c r="K518" t="s">
        <v>15</v>
      </c>
      <c r="L518" t="str">
        <f t="shared" si="24"/>
        <v>Available</v>
      </c>
      <c r="M518">
        <f t="shared" si="25"/>
        <v>1</v>
      </c>
      <c r="N518">
        <f t="shared" si="26"/>
        <v>1</v>
      </c>
    </row>
    <row r="519" spans="1:14" x14ac:dyDescent="0.35">
      <c r="A519" t="s">
        <v>2075</v>
      </c>
      <c r="B519" t="s">
        <v>27</v>
      </c>
      <c r="C519" t="s">
        <v>741</v>
      </c>
      <c r="D519">
        <v>24</v>
      </c>
      <c r="E519" t="s">
        <v>13</v>
      </c>
      <c r="F519" s="1">
        <v>44497</v>
      </c>
      <c r="G519" s="1">
        <v>46060</v>
      </c>
      <c r="H519" t="s">
        <v>14</v>
      </c>
      <c r="I519" s="2">
        <v>21428144</v>
      </c>
      <c r="J519">
        <v>264290</v>
      </c>
      <c r="K519" t="s">
        <v>15</v>
      </c>
      <c r="L519" t="str">
        <f t="shared" si="24"/>
        <v>Available</v>
      </c>
      <c r="M519">
        <f t="shared" si="25"/>
        <v>1</v>
      </c>
      <c r="N519">
        <f t="shared" si="26"/>
        <v>1</v>
      </c>
    </row>
    <row r="520" spans="1:14" x14ac:dyDescent="0.35">
      <c r="A520" t="s">
        <v>2076</v>
      </c>
      <c r="B520" t="s">
        <v>668</v>
      </c>
      <c r="C520" t="s">
        <v>742</v>
      </c>
      <c r="D520">
        <v>24</v>
      </c>
      <c r="E520" t="s">
        <v>13</v>
      </c>
      <c r="F520" s="1">
        <v>44497</v>
      </c>
      <c r="G520" s="1">
        <v>46059</v>
      </c>
      <c r="H520" t="s">
        <v>14</v>
      </c>
      <c r="I520" s="2">
        <v>98533</v>
      </c>
      <c r="J520">
        <v>264032</v>
      </c>
      <c r="K520" t="s">
        <v>30</v>
      </c>
      <c r="L520" t="str">
        <f t="shared" si="24"/>
        <v>Available</v>
      </c>
      <c r="M520">
        <f t="shared" si="25"/>
        <v>0</v>
      </c>
      <c r="N520">
        <f t="shared" si="26"/>
        <v>1</v>
      </c>
    </row>
    <row r="521" spans="1:14" x14ac:dyDescent="0.35">
      <c r="A521" t="s">
        <v>2077</v>
      </c>
      <c r="B521" t="s">
        <v>186</v>
      </c>
      <c r="C521" t="s">
        <v>743</v>
      </c>
      <c r="D521">
        <v>40</v>
      </c>
      <c r="E521" t="s">
        <v>13</v>
      </c>
      <c r="F521" s="1">
        <v>44499</v>
      </c>
      <c r="G521" s="1">
        <v>46059</v>
      </c>
      <c r="H521" t="s">
        <v>14</v>
      </c>
      <c r="I521" s="2">
        <v>541891</v>
      </c>
      <c r="J521">
        <v>266387</v>
      </c>
      <c r="K521" t="s">
        <v>30</v>
      </c>
      <c r="L521" t="str">
        <f t="shared" si="24"/>
        <v>Available</v>
      </c>
      <c r="M521">
        <f t="shared" si="25"/>
        <v>0</v>
      </c>
      <c r="N521">
        <f t="shared" si="26"/>
        <v>1</v>
      </c>
    </row>
    <row r="522" spans="1:14" x14ac:dyDescent="0.35">
      <c r="A522" t="s">
        <v>2078</v>
      </c>
      <c r="B522" t="s">
        <v>132</v>
      </c>
      <c r="C522" t="s">
        <v>744</v>
      </c>
      <c r="D522">
        <v>24</v>
      </c>
      <c r="E522" t="s">
        <v>13</v>
      </c>
      <c r="F522" s="1">
        <v>44497</v>
      </c>
      <c r="G522" s="1">
        <v>46059</v>
      </c>
      <c r="H522" t="s">
        <v>14</v>
      </c>
      <c r="I522" t="s">
        <v>2778</v>
      </c>
      <c r="J522">
        <v>262122</v>
      </c>
      <c r="K522" t="s">
        <v>30</v>
      </c>
      <c r="L522" t="str">
        <f t="shared" si="24"/>
        <v>Available</v>
      </c>
      <c r="M522">
        <f t="shared" si="25"/>
        <v>0</v>
      </c>
      <c r="N522">
        <f t="shared" si="26"/>
        <v>1</v>
      </c>
    </row>
    <row r="523" spans="1:14" x14ac:dyDescent="0.35">
      <c r="A523" t="s">
        <v>2079</v>
      </c>
      <c r="B523" t="s">
        <v>746</v>
      </c>
      <c r="C523" t="s">
        <v>745</v>
      </c>
      <c r="D523">
        <v>32</v>
      </c>
      <c r="E523" t="s">
        <v>13</v>
      </c>
      <c r="F523" s="1">
        <v>44497</v>
      </c>
      <c r="G523" s="1">
        <v>46059</v>
      </c>
      <c r="H523" t="s">
        <v>14</v>
      </c>
      <c r="I523" t="s">
        <v>2778</v>
      </c>
      <c r="J523">
        <v>266491</v>
      </c>
      <c r="K523" t="s">
        <v>15</v>
      </c>
      <c r="L523" t="str">
        <f t="shared" si="24"/>
        <v>Available</v>
      </c>
      <c r="M523">
        <f t="shared" si="25"/>
        <v>1</v>
      </c>
      <c r="N523">
        <f t="shared" si="26"/>
        <v>1</v>
      </c>
    </row>
    <row r="524" spans="1:14" x14ac:dyDescent="0.35">
      <c r="A524" t="s">
        <v>2080</v>
      </c>
      <c r="B524" t="s">
        <v>147</v>
      </c>
      <c r="C524" t="s">
        <v>747</v>
      </c>
      <c r="D524">
        <v>25</v>
      </c>
      <c r="E524" t="s">
        <v>13</v>
      </c>
      <c r="F524" s="1">
        <v>44497</v>
      </c>
      <c r="G524" s="1">
        <v>46060</v>
      </c>
      <c r="H524" t="s">
        <v>14</v>
      </c>
      <c r="I524" s="2">
        <v>10008</v>
      </c>
      <c r="J524">
        <v>264555</v>
      </c>
      <c r="K524" t="s">
        <v>15</v>
      </c>
      <c r="L524" t="str">
        <f t="shared" si="24"/>
        <v>Available</v>
      </c>
      <c r="M524">
        <f t="shared" si="25"/>
        <v>1</v>
      </c>
      <c r="N524">
        <f t="shared" si="26"/>
        <v>1</v>
      </c>
    </row>
    <row r="525" spans="1:14" x14ac:dyDescent="0.35">
      <c r="A525" t="s">
        <v>2081</v>
      </c>
      <c r="B525" t="s">
        <v>609</v>
      </c>
      <c r="C525" t="s">
        <v>748</v>
      </c>
      <c r="D525">
        <v>24</v>
      </c>
      <c r="E525" t="s">
        <v>13</v>
      </c>
      <c r="F525" s="1">
        <v>44497</v>
      </c>
      <c r="G525" s="1">
        <v>46059</v>
      </c>
      <c r="H525" t="s">
        <v>14</v>
      </c>
      <c r="I525" s="2">
        <v>16970032</v>
      </c>
      <c r="J525">
        <v>262627</v>
      </c>
      <c r="K525" t="s">
        <v>15</v>
      </c>
      <c r="L525" t="str">
        <f t="shared" si="24"/>
        <v>Available</v>
      </c>
      <c r="M525">
        <f t="shared" si="25"/>
        <v>1</v>
      </c>
      <c r="N525">
        <f t="shared" si="26"/>
        <v>1</v>
      </c>
    </row>
    <row r="526" spans="1:14" x14ac:dyDescent="0.35">
      <c r="A526" t="s">
        <v>2082</v>
      </c>
      <c r="B526" t="s">
        <v>750</v>
      </c>
      <c r="C526" t="s">
        <v>749</v>
      </c>
      <c r="D526">
        <v>25</v>
      </c>
      <c r="E526" t="s">
        <v>13</v>
      </c>
      <c r="F526" s="1">
        <v>44498</v>
      </c>
      <c r="G526" s="1">
        <v>46058</v>
      </c>
      <c r="H526" t="s">
        <v>14</v>
      </c>
      <c r="I526" t="s">
        <v>2778</v>
      </c>
      <c r="J526">
        <v>261844</v>
      </c>
      <c r="K526" t="s">
        <v>15</v>
      </c>
      <c r="L526" t="str">
        <f t="shared" si="24"/>
        <v>Available</v>
      </c>
      <c r="M526">
        <f t="shared" si="25"/>
        <v>1</v>
      </c>
      <c r="N526">
        <f t="shared" si="26"/>
        <v>1</v>
      </c>
    </row>
    <row r="527" spans="1:14" x14ac:dyDescent="0.35">
      <c r="A527" t="s">
        <v>2083</v>
      </c>
      <c r="B527" t="s">
        <v>261</v>
      </c>
      <c r="C527" t="s">
        <v>751</v>
      </c>
      <c r="D527">
        <v>22.993169999999999</v>
      </c>
      <c r="E527" t="s">
        <v>35</v>
      </c>
      <c r="F527" s="1">
        <v>45233</v>
      </c>
      <c r="G527" s="1">
        <v>45995</v>
      </c>
      <c r="H527" t="s">
        <v>14</v>
      </c>
      <c r="I527" t="s">
        <v>2778</v>
      </c>
      <c r="J527">
        <v>267015</v>
      </c>
      <c r="K527" t="s">
        <v>30</v>
      </c>
      <c r="L527" t="str">
        <f t="shared" si="24"/>
        <v>Available</v>
      </c>
      <c r="M527">
        <f t="shared" si="25"/>
        <v>0</v>
      </c>
      <c r="N527">
        <f t="shared" si="26"/>
        <v>1</v>
      </c>
    </row>
    <row r="528" spans="1:14" x14ac:dyDescent="0.35">
      <c r="A528" t="s">
        <v>2084</v>
      </c>
      <c r="B528" t="s">
        <v>58</v>
      </c>
      <c r="C528" t="s">
        <v>752</v>
      </c>
      <c r="D528">
        <v>21.978764999999999</v>
      </c>
      <c r="E528" t="s">
        <v>35</v>
      </c>
      <c r="F528" s="1">
        <v>44497</v>
      </c>
      <c r="G528" s="1">
        <v>45613</v>
      </c>
      <c r="H528" t="s">
        <v>14</v>
      </c>
      <c r="I528" t="s">
        <v>2778</v>
      </c>
      <c r="J528">
        <v>264430</v>
      </c>
      <c r="K528" t="s">
        <v>15</v>
      </c>
      <c r="L528" t="str">
        <f t="shared" si="24"/>
        <v>Available</v>
      </c>
      <c r="M528">
        <f t="shared" si="25"/>
        <v>1</v>
      </c>
      <c r="N528">
        <f t="shared" si="26"/>
        <v>1</v>
      </c>
    </row>
    <row r="529" spans="1:14" x14ac:dyDescent="0.35">
      <c r="A529" t="s">
        <v>2085</v>
      </c>
      <c r="B529" t="s">
        <v>47</v>
      </c>
      <c r="C529" t="s">
        <v>753</v>
      </c>
      <c r="D529">
        <v>6.6667000000000004E-2</v>
      </c>
      <c r="E529" t="s">
        <v>13</v>
      </c>
      <c r="F529" s="1">
        <v>44497</v>
      </c>
      <c r="G529" s="1">
        <v>46045</v>
      </c>
      <c r="H529" t="s">
        <v>14</v>
      </c>
      <c r="I529" t="s">
        <v>2778</v>
      </c>
      <c r="J529">
        <v>264055</v>
      </c>
      <c r="K529" t="s">
        <v>15</v>
      </c>
      <c r="L529" t="str">
        <f t="shared" si="24"/>
        <v>Available</v>
      </c>
      <c r="M529">
        <f t="shared" si="25"/>
        <v>1</v>
      </c>
      <c r="N529">
        <f t="shared" si="26"/>
        <v>1</v>
      </c>
    </row>
    <row r="530" spans="1:14" x14ac:dyDescent="0.35">
      <c r="A530" t="s">
        <v>2086</v>
      </c>
      <c r="B530" t="s">
        <v>112</v>
      </c>
      <c r="C530" t="s">
        <v>754</v>
      </c>
      <c r="D530">
        <v>23.5</v>
      </c>
      <c r="E530" t="s">
        <v>13</v>
      </c>
      <c r="F530" s="1">
        <v>44497</v>
      </c>
      <c r="G530" s="1">
        <v>46059</v>
      </c>
      <c r="H530" t="s">
        <v>14</v>
      </c>
      <c r="I530" s="2">
        <v>27747421</v>
      </c>
      <c r="J530">
        <v>261587</v>
      </c>
      <c r="K530" t="s">
        <v>30</v>
      </c>
      <c r="L530" t="str">
        <f t="shared" si="24"/>
        <v>Available</v>
      </c>
      <c r="M530">
        <f t="shared" si="25"/>
        <v>0</v>
      </c>
      <c r="N530">
        <f t="shared" si="26"/>
        <v>1</v>
      </c>
    </row>
    <row r="531" spans="1:14" x14ac:dyDescent="0.35">
      <c r="A531" t="s">
        <v>2087</v>
      </c>
      <c r="B531" t="s">
        <v>2859</v>
      </c>
      <c r="C531" t="s">
        <v>755</v>
      </c>
      <c r="D531">
        <v>15.5</v>
      </c>
      <c r="E531" t="s">
        <v>13</v>
      </c>
      <c r="F531" s="1">
        <v>44497</v>
      </c>
      <c r="G531" s="1">
        <v>45983</v>
      </c>
      <c r="H531" t="s">
        <v>14</v>
      </c>
      <c r="I531" t="s">
        <v>2778</v>
      </c>
      <c r="J531">
        <v>262156</v>
      </c>
      <c r="K531" t="s">
        <v>15</v>
      </c>
      <c r="L531" t="str">
        <f t="shared" si="24"/>
        <v>Available</v>
      </c>
      <c r="M531">
        <f t="shared" si="25"/>
        <v>1</v>
      </c>
      <c r="N531">
        <f t="shared" si="26"/>
        <v>1</v>
      </c>
    </row>
    <row r="532" spans="1:14" x14ac:dyDescent="0.35">
      <c r="A532" t="s">
        <v>2088</v>
      </c>
      <c r="B532" t="s">
        <v>47</v>
      </c>
      <c r="C532" t="s">
        <v>757</v>
      </c>
      <c r="D532">
        <v>23.9</v>
      </c>
      <c r="E532" t="s">
        <v>13</v>
      </c>
      <c r="F532" s="1">
        <v>44497</v>
      </c>
      <c r="G532" s="1">
        <v>46059</v>
      </c>
      <c r="H532" t="s">
        <v>14</v>
      </c>
      <c r="I532" s="2">
        <v>143296</v>
      </c>
      <c r="J532">
        <v>261624</v>
      </c>
      <c r="K532" t="s">
        <v>15</v>
      </c>
      <c r="L532" t="str">
        <f t="shared" si="24"/>
        <v>Available</v>
      </c>
      <c r="M532">
        <f t="shared" si="25"/>
        <v>1</v>
      </c>
      <c r="N532">
        <f t="shared" si="26"/>
        <v>1</v>
      </c>
    </row>
    <row r="533" spans="1:14" x14ac:dyDescent="0.35">
      <c r="A533" t="s">
        <v>2089</v>
      </c>
      <c r="B533" t="s">
        <v>2836</v>
      </c>
      <c r="C533" t="s">
        <v>758</v>
      </c>
      <c r="F533" s="1">
        <v>44866</v>
      </c>
      <c r="G533" s="1">
        <v>45099</v>
      </c>
      <c r="H533" t="s">
        <v>14</v>
      </c>
      <c r="I533" t="s">
        <v>2778</v>
      </c>
      <c r="J533">
        <v>262039</v>
      </c>
      <c r="K533" t="s">
        <v>15</v>
      </c>
      <c r="L533" t="str">
        <f t="shared" si="24"/>
        <v>Available</v>
      </c>
      <c r="M533">
        <f t="shared" si="25"/>
        <v>1</v>
      </c>
      <c r="N533">
        <f t="shared" si="26"/>
        <v>1</v>
      </c>
    </row>
    <row r="534" spans="1:14" x14ac:dyDescent="0.35">
      <c r="A534" t="s">
        <v>2090</v>
      </c>
      <c r="B534" t="s">
        <v>12</v>
      </c>
      <c r="C534" t="s">
        <v>759</v>
      </c>
      <c r="D534">
        <v>45</v>
      </c>
      <c r="E534" t="s">
        <v>13</v>
      </c>
      <c r="F534" s="1">
        <v>44497</v>
      </c>
      <c r="G534" s="1">
        <v>46059</v>
      </c>
      <c r="H534" t="s">
        <v>14</v>
      </c>
      <c r="I534" s="2">
        <v>333922</v>
      </c>
      <c r="J534">
        <v>264550</v>
      </c>
      <c r="K534" t="s">
        <v>15</v>
      </c>
      <c r="L534" t="str">
        <f t="shared" si="24"/>
        <v>Available</v>
      </c>
      <c r="M534">
        <f t="shared" si="25"/>
        <v>1</v>
      </c>
      <c r="N534">
        <f t="shared" si="26"/>
        <v>1</v>
      </c>
    </row>
    <row r="535" spans="1:14" x14ac:dyDescent="0.35">
      <c r="A535" t="s">
        <v>2091</v>
      </c>
      <c r="B535" t="s">
        <v>37</v>
      </c>
      <c r="C535" t="s">
        <v>760</v>
      </c>
      <c r="D535">
        <v>24</v>
      </c>
      <c r="E535" t="s">
        <v>13</v>
      </c>
      <c r="F535" s="1">
        <v>44499</v>
      </c>
      <c r="G535" s="1">
        <v>46059</v>
      </c>
      <c r="H535" t="s">
        <v>14</v>
      </c>
      <c r="I535" t="s">
        <v>2778</v>
      </c>
      <c r="J535">
        <v>264594</v>
      </c>
      <c r="K535" t="s">
        <v>30</v>
      </c>
      <c r="L535" t="str">
        <f t="shared" si="24"/>
        <v>Available</v>
      </c>
      <c r="M535">
        <f t="shared" si="25"/>
        <v>0</v>
      </c>
      <c r="N535">
        <f t="shared" si="26"/>
        <v>1</v>
      </c>
    </row>
    <row r="536" spans="1:14" x14ac:dyDescent="0.35">
      <c r="A536" t="s">
        <v>2092</v>
      </c>
      <c r="B536" t="s">
        <v>240</v>
      </c>
      <c r="C536" t="s">
        <v>761</v>
      </c>
      <c r="D536">
        <v>16</v>
      </c>
      <c r="E536" t="s">
        <v>13</v>
      </c>
      <c r="F536" s="1">
        <v>44500</v>
      </c>
      <c r="G536" s="1">
        <v>46057</v>
      </c>
      <c r="H536" t="s">
        <v>14</v>
      </c>
      <c r="I536" t="s">
        <v>2778</v>
      </c>
      <c r="J536">
        <v>264306</v>
      </c>
      <c r="K536" t="s">
        <v>30</v>
      </c>
      <c r="L536" t="str">
        <f t="shared" si="24"/>
        <v>Available</v>
      </c>
      <c r="M536">
        <f t="shared" si="25"/>
        <v>0</v>
      </c>
      <c r="N536">
        <f t="shared" si="26"/>
        <v>1</v>
      </c>
    </row>
    <row r="537" spans="1:14" x14ac:dyDescent="0.35">
      <c r="A537" t="s">
        <v>2093</v>
      </c>
      <c r="B537" t="s">
        <v>2860</v>
      </c>
      <c r="C537" t="s">
        <v>762</v>
      </c>
      <c r="D537">
        <v>24</v>
      </c>
      <c r="E537" t="s">
        <v>13</v>
      </c>
      <c r="F537" s="1">
        <v>44498</v>
      </c>
      <c r="G537" s="1">
        <v>45952</v>
      </c>
      <c r="H537" t="s">
        <v>14</v>
      </c>
      <c r="I537" t="s">
        <v>2778</v>
      </c>
      <c r="J537">
        <v>266442</v>
      </c>
      <c r="K537" t="s">
        <v>30</v>
      </c>
      <c r="L537" t="str">
        <f t="shared" si="24"/>
        <v>Available</v>
      </c>
      <c r="M537">
        <f t="shared" si="25"/>
        <v>0</v>
      </c>
      <c r="N537">
        <f t="shared" si="26"/>
        <v>1</v>
      </c>
    </row>
    <row r="538" spans="1:14" x14ac:dyDescent="0.35">
      <c r="A538" t="s">
        <v>2094</v>
      </c>
      <c r="B538" t="s">
        <v>2861</v>
      </c>
      <c r="C538" t="s">
        <v>764</v>
      </c>
      <c r="D538">
        <v>24</v>
      </c>
      <c r="E538" t="s">
        <v>13</v>
      </c>
      <c r="F538" s="1">
        <v>45679</v>
      </c>
      <c r="G538" s="1">
        <v>46057</v>
      </c>
      <c r="H538" t="s">
        <v>14</v>
      </c>
      <c r="I538" s="2">
        <v>54972709</v>
      </c>
      <c r="J538">
        <v>262260</v>
      </c>
      <c r="K538" t="s">
        <v>15</v>
      </c>
      <c r="L538" t="str">
        <f t="shared" si="24"/>
        <v>Available</v>
      </c>
      <c r="M538">
        <f t="shared" si="25"/>
        <v>1</v>
      </c>
      <c r="N538">
        <f t="shared" si="26"/>
        <v>1</v>
      </c>
    </row>
    <row r="539" spans="1:14" x14ac:dyDescent="0.35">
      <c r="A539" t="s">
        <v>2095</v>
      </c>
      <c r="B539" t="s">
        <v>575</v>
      </c>
      <c r="C539" t="s">
        <v>766</v>
      </c>
      <c r="D539">
        <v>25</v>
      </c>
      <c r="E539" t="s">
        <v>13</v>
      </c>
      <c r="F539" s="1">
        <v>44500</v>
      </c>
      <c r="G539" s="1">
        <v>46059</v>
      </c>
      <c r="H539" t="s">
        <v>14</v>
      </c>
      <c r="I539" s="2">
        <v>463048</v>
      </c>
      <c r="J539">
        <v>264737</v>
      </c>
      <c r="K539" t="s">
        <v>30</v>
      </c>
      <c r="L539" t="str">
        <f t="shared" si="24"/>
        <v>Available</v>
      </c>
      <c r="M539">
        <f t="shared" si="25"/>
        <v>0</v>
      </c>
      <c r="N539">
        <f t="shared" si="26"/>
        <v>1</v>
      </c>
    </row>
    <row r="540" spans="1:14" x14ac:dyDescent="0.35">
      <c r="A540" t="s">
        <v>2096</v>
      </c>
      <c r="B540" t="s">
        <v>768</v>
      </c>
      <c r="C540" t="s">
        <v>767</v>
      </c>
      <c r="D540">
        <v>25</v>
      </c>
      <c r="E540" t="s">
        <v>13</v>
      </c>
      <c r="F540" s="1">
        <v>44497</v>
      </c>
      <c r="G540" s="1">
        <v>46059</v>
      </c>
      <c r="H540" t="s">
        <v>14</v>
      </c>
      <c r="I540" s="2">
        <v>73921</v>
      </c>
      <c r="J540">
        <v>266817</v>
      </c>
      <c r="K540" t="s">
        <v>15</v>
      </c>
      <c r="L540" t="str">
        <f t="shared" si="24"/>
        <v>Available</v>
      </c>
      <c r="M540">
        <f t="shared" si="25"/>
        <v>1</v>
      </c>
      <c r="N540">
        <f t="shared" si="26"/>
        <v>1</v>
      </c>
    </row>
    <row r="541" spans="1:14" x14ac:dyDescent="0.35">
      <c r="A541" t="s">
        <v>2097</v>
      </c>
      <c r="B541" t="s">
        <v>43</v>
      </c>
      <c r="C541" t="s">
        <v>769</v>
      </c>
      <c r="D541">
        <v>40</v>
      </c>
      <c r="E541" t="s">
        <v>13</v>
      </c>
      <c r="F541" s="1">
        <v>44498</v>
      </c>
      <c r="G541" s="1">
        <v>46058</v>
      </c>
      <c r="H541" t="s">
        <v>14</v>
      </c>
      <c r="I541" s="2">
        <v>19734542</v>
      </c>
      <c r="J541">
        <v>264037</v>
      </c>
      <c r="K541" t="s">
        <v>30</v>
      </c>
      <c r="L541" t="str">
        <f t="shared" si="24"/>
        <v>Available</v>
      </c>
      <c r="M541">
        <f t="shared" si="25"/>
        <v>0</v>
      </c>
      <c r="N541">
        <f t="shared" si="26"/>
        <v>1</v>
      </c>
    </row>
    <row r="542" spans="1:14" x14ac:dyDescent="0.35">
      <c r="A542" t="s">
        <v>2098</v>
      </c>
      <c r="B542" t="s">
        <v>771</v>
      </c>
      <c r="C542" t="s">
        <v>770</v>
      </c>
      <c r="D542">
        <v>24</v>
      </c>
      <c r="E542" t="s">
        <v>13</v>
      </c>
      <c r="F542" s="1">
        <v>44497</v>
      </c>
      <c r="G542" s="1">
        <v>46059</v>
      </c>
      <c r="H542" t="s">
        <v>14</v>
      </c>
      <c r="I542" t="s">
        <v>2778</v>
      </c>
      <c r="J542">
        <v>261623</v>
      </c>
      <c r="K542" t="s">
        <v>30</v>
      </c>
      <c r="L542" t="str">
        <f t="shared" si="24"/>
        <v>Available</v>
      </c>
      <c r="M542">
        <f t="shared" si="25"/>
        <v>0</v>
      </c>
      <c r="N542">
        <f t="shared" si="26"/>
        <v>1</v>
      </c>
    </row>
    <row r="543" spans="1:14" x14ac:dyDescent="0.35">
      <c r="A543" t="s">
        <v>2099</v>
      </c>
      <c r="B543" t="s">
        <v>43</v>
      </c>
      <c r="C543" t="s">
        <v>772</v>
      </c>
      <c r="D543">
        <v>25</v>
      </c>
      <c r="E543" t="s">
        <v>13</v>
      </c>
      <c r="F543" s="1">
        <v>44498</v>
      </c>
      <c r="G543" s="1">
        <v>46059</v>
      </c>
      <c r="H543" t="s">
        <v>14</v>
      </c>
      <c r="I543" s="2">
        <v>16240882</v>
      </c>
      <c r="J543">
        <v>262543</v>
      </c>
      <c r="K543" t="s">
        <v>30</v>
      </c>
      <c r="L543" t="str">
        <f t="shared" si="24"/>
        <v>Available</v>
      </c>
      <c r="M543">
        <f t="shared" si="25"/>
        <v>0</v>
      </c>
      <c r="N543">
        <f t="shared" si="26"/>
        <v>1</v>
      </c>
    </row>
    <row r="544" spans="1:14" x14ac:dyDescent="0.35">
      <c r="A544" t="s">
        <v>2100</v>
      </c>
      <c r="B544" t="s">
        <v>439</v>
      </c>
      <c r="C544" t="s">
        <v>773</v>
      </c>
      <c r="D544">
        <v>26</v>
      </c>
      <c r="E544" t="s">
        <v>13</v>
      </c>
      <c r="F544" s="1">
        <v>44497</v>
      </c>
      <c r="G544" s="1">
        <v>46059</v>
      </c>
      <c r="H544" t="s">
        <v>14</v>
      </c>
      <c r="I544" s="2">
        <v>95026</v>
      </c>
      <c r="J544">
        <v>266545</v>
      </c>
      <c r="K544" t="s">
        <v>15</v>
      </c>
      <c r="L544" t="str">
        <f t="shared" si="24"/>
        <v>Available</v>
      </c>
      <c r="M544">
        <f t="shared" si="25"/>
        <v>1</v>
      </c>
      <c r="N544">
        <f t="shared" si="26"/>
        <v>1</v>
      </c>
    </row>
    <row r="545" spans="1:14" x14ac:dyDescent="0.35">
      <c r="A545" t="s">
        <v>2101</v>
      </c>
      <c r="B545" t="s">
        <v>445</v>
      </c>
      <c r="C545" t="s">
        <v>774</v>
      </c>
      <c r="D545">
        <v>16</v>
      </c>
      <c r="E545" t="s">
        <v>13</v>
      </c>
      <c r="F545" s="1">
        <v>44969</v>
      </c>
      <c r="G545" s="1">
        <v>46058</v>
      </c>
      <c r="H545" t="s">
        <v>14</v>
      </c>
      <c r="I545" s="2">
        <v>27910528</v>
      </c>
      <c r="J545">
        <v>264053</v>
      </c>
      <c r="K545" t="s">
        <v>15</v>
      </c>
      <c r="L545" t="str">
        <f t="shared" si="24"/>
        <v>Available</v>
      </c>
      <c r="M545">
        <f t="shared" si="25"/>
        <v>1</v>
      </c>
      <c r="N545">
        <f t="shared" si="26"/>
        <v>1</v>
      </c>
    </row>
    <row r="546" spans="1:14" x14ac:dyDescent="0.35">
      <c r="A546" t="s">
        <v>2102</v>
      </c>
      <c r="B546" t="s">
        <v>2778</v>
      </c>
      <c r="C546" t="s">
        <v>775</v>
      </c>
      <c r="D546">
        <v>32</v>
      </c>
      <c r="E546" t="s">
        <v>13</v>
      </c>
      <c r="F546" s="1">
        <v>44497</v>
      </c>
      <c r="G546" s="1">
        <v>46059</v>
      </c>
      <c r="H546" t="s">
        <v>14</v>
      </c>
      <c r="I546" s="2">
        <v>98575</v>
      </c>
      <c r="J546">
        <v>261511</v>
      </c>
      <c r="K546" t="s">
        <v>15</v>
      </c>
      <c r="L546" t="str">
        <f t="shared" si="24"/>
        <v>Missing</v>
      </c>
      <c r="M546">
        <f t="shared" si="25"/>
        <v>1</v>
      </c>
      <c r="N546">
        <f t="shared" si="26"/>
        <v>0</v>
      </c>
    </row>
    <row r="547" spans="1:14" x14ac:dyDescent="0.35">
      <c r="A547" t="s">
        <v>2103</v>
      </c>
      <c r="B547" t="s">
        <v>615</v>
      </c>
      <c r="C547" t="s">
        <v>776</v>
      </c>
      <c r="D547">
        <v>24</v>
      </c>
      <c r="E547" t="s">
        <v>13</v>
      </c>
      <c r="F547" s="1">
        <v>45165</v>
      </c>
      <c r="G547" s="1">
        <v>46058</v>
      </c>
      <c r="H547" t="s">
        <v>14</v>
      </c>
      <c r="I547" s="2">
        <v>19403194</v>
      </c>
      <c r="J547">
        <v>266978</v>
      </c>
      <c r="K547" t="s">
        <v>30</v>
      </c>
      <c r="L547" t="str">
        <f t="shared" si="24"/>
        <v>Available</v>
      </c>
      <c r="M547">
        <f t="shared" si="25"/>
        <v>0</v>
      </c>
      <c r="N547">
        <f t="shared" si="26"/>
        <v>1</v>
      </c>
    </row>
    <row r="548" spans="1:14" x14ac:dyDescent="0.35">
      <c r="A548" t="s">
        <v>2104</v>
      </c>
      <c r="B548" t="s">
        <v>2778</v>
      </c>
      <c r="C548" t="s">
        <v>777</v>
      </c>
      <c r="D548">
        <v>24</v>
      </c>
      <c r="E548" t="s">
        <v>13</v>
      </c>
      <c r="F548" s="1">
        <v>44596</v>
      </c>
      <c r="G548" s="1">
        <v>45524</v>
      </c>
      <c r="H548" t="s">
        <v>14</v>
      </c>
      <c r="I548" t="s">
        <v>2778</v>
      </c>
      <c r="J548">
        <v>266444</v>
      </c>
      <c r="K548" t="s">
        <v>30</v>
      </c>
      <c r="L548" t="str">
        <f t="shared" si="24"/>
        <v>Missing</v>
      </c>
      <c r="M548">
        <f t="shared" si="25"/>
        <v>0</v>
      </c>
      <c r="N548">
        <f t="shared" si="26"/>
        <v>0</v>
      </c>
    </row>
    <row r="549" spans="1:14" x14ac:dyDescent="0.35">
      <c r="A549" t="s">
        <v>2105</v>
      </c>
      <c r="B549" t="s">
        <v>2862</v>
      </c>
      <c r="C549" t="s">
        <v>778</v>
      </c>
      <c r="D549">
        <v>26</v>
      </c>
      <c r="E549" t="s">
        <v>13</v>
      </c>
      <c r="F549" s="1">
        <v>44497</v>
      </c>
      <c r="G549" s="1">
        <v>46058</v>
      </c>
      <c r="H549" t="s">
        <v>14</v>
      </c>
      <c r="I549" s="2">
        <v>232484</v>
      </c>
      <c r="J549">
        <v>261902</v>
      </c>
      <c r="K549" t="s">
        <v>15</v>
      </c>
      <c r="L549" t="str">
        <f t="shared" si="24"/>
        <v>Available</v>
      </c>
      <c r="M549">
        <f t="shared" si="25"/>
        <v>1</v>
      </c>
      <c r="N549">
        <f t="shared" si="26"/>
        <v>1</v>
      </c>
    </row>
    <row r="550" spans="1:14" x14ac:dyDescent="0.35">
      <c r="A550" t="s">
        <v>2106</v>
      </c>
      <c r="B550" t="s">
        <v>2808</v>
      </c>
      <c r="C550" t="s">
        <v>780</v>
      </c>
      <c r="D550">
        <v>23.75</v>
      </c>
      <c r="E550" t="s">
        <v>13</v>
      </c>
      <c r="F550" s="1">
        <v>45728</v>
      </c>
      <c r="G550" s="1">
        <v>46060</v>
      </c>
      <c r="H550" t="s">
        <v>14</v>
      </c>
      <c r="I550" s="2">
        <v>64453314</v>
      </c>
      <c r="J550">
        <v>261851</v>
      </c>
      <c r="K550" t="s">
        <v>30</v>
      </c>
      <c r="L550" t="str">
        <f t="shared" si="24"/>
        <v>Available</v>
      </c>
      <c r="M550">
        <f t="shared" si="25"/>
        <v>0</v>
      </c>
      <c r="N550">
        <f t="shared" si="26"/>
        <v>1</v>
      </c>
    </row>
    <row r="551" spans="1:14" x14ac:dyDescent="0.35">
      <c r="A551" t="s">
        <v>2107</v>
      </c>
      <c r="B551" t="s">
        <v>58</v>
      </c>
      <c r="C551" t="s">
        <v>781</v>
      </c>
      <c r="D551">
        <v>24</v>
      </c>
      <c r="E551" t="s">
        <v>13</v>
      </c>
      <c r="F551" s="1">
        <v>44497</v>
      </c>
      <c r="G551" s="1">
        <v>46059</v>
      </c>
      <c r="H551" t="s">
        <v>14</v>
      </c>
      <c r="I551" s="2">
        <v>98534</v>
      </c>
      <c r="J551">
        <v>266358</v>
      </c>
      <c r="K551" t="s">
        <v>15</v>
      </c>
      <c r="L551" t="str">
        <f t="shared" si="24"/>
        <v>Available</v>
      </c>
      <c r="M551">
        <f t="shared" si="25"/>
        <v>1</v>
      </c>
      <c r="N551">
        <f t="shared" si="26"/>
        <v>1</v>
      </c>
    </row>
    <row r="552" spans="1:14" x14ac:dyDescent="0.35">
      <c r="A552" t="s">
        <v>2108</v>
      </c>
      <c r="B552" t="s">
        <v>2778</v>
      </c>
      <c r="C552" t="s">
        <v>782</v>
      </c>
      <c r="D552">
        <v>24</v>
      </c>
      <c r="E552" t="s">
        <v>13</v>
      </c>
      <c r="F552" s="1">
        <v>44500</v>
      </c>
      <c r="G552" s="1">
        <v>46058</v>
      </c>
      <c r="H552" t="s">
        <v>14</v>
      </c>
      <c r="I552" s="2">
        <v>270500</v>
      </c>
      <c r="J552">
        <v>261891</v>
      </c>
      <c r="K552" t="s">
        <v>30</v>
      </c>
      <c r="L552" t="str">
        <f t="shared" si="24"/>
        <v>Missing</v>
      </c>
      <c r="M552">
        <f t="shared" si="25"/>
        <v>0</v>
      </c>
      <c r="N552">
        <f t="shared" si="26"/>
        <v>0</v>
      </c>
    </row>
    <row r="553" spans="1:14" x14ac:dyDescent="0.35">
      <c r="A553" t="s">
        <v>2109</v>
      </c>
      <c r="B553" t="s">
        <v>58</v>
      </c>
      <c r="C553" t="s">
        <v>783</v>
      </c>
      <c r="D553">
        <v>20.288091000000001</v>
      </c>
      <c r="E553" t="s">
        <v>35</v>
      </c>
      <c r="F553" s="1">
        <v>45631</v>
      </c>
      <c r="G553" s="1">
        <v>46058</v>
      </c>
      <c r="H553" t="s">
        <v>14</v>
      </c>
      <c r="I553" t="s">
        <v>2778</v>
      </c>
      <c r="J553">
        <v>261676</v>
      </c>
      <c r="K553" t="s">
        <v>30</v>
      </c>
      <c r="L553" t="str">
        <f t="shared" si="24"/>
        <v>Available</v>
      </c>
      <c r="M553">
        <f t="shared" si="25"/>
        <v>0</v>
      </c>
      <c r="N553">
        <f t="shared" si="26"/>
        <v>1</v>
      </c>
    </row>
    <row r="554" spans="1:14" x14ac:dyDescent="0.35">
      <c r="A554" t="s">
        <v>2110</v>
      </c>
      <c r="B554" t="s">
        <v>51</v>
      </c>
      <c r="C554" t="s">
        <v>784</v>
      </c>
      <c r="D554">
        <v>28</v>
      </c>
      <c r="E554" t="s">
        <v>13</v>
      </c>
      <c r="F554" s="1">
        <v>44497</v>
      </c>
      <c r="G554" s="1">
        <v>46059</v>
      </c>
      <c r="H554" t="s">
        <v>14</v>
      </c>
      <c r="I554" s="2">
        <v>29624621</v>
      </c>
      <c r="J554">
        <v>264147</v>
      </c>
      <c r="K554" t="s">
        <v>15</v>
      </c>
      <c r="L554" t="str">
        <f t="shared" si="24"/>
        <v>Available</v>
      </c>
      <c r="M554">
        <f t="shared" si="25"/>
        <v>1</v>
      </c>
      <c r="N554">
        <f t="shared" si="26"/>
        <v>1</v>
      </c>
    </row>
    <row r="555" spans="1:14" x14ac:dyDescent="0.35">
      <c r="A555" t="s">
        <v>2111</v>
      </c>
      <c r="B555" t="s">
        <v>186</v>
      </c>
      <c r="C555" t="s">
        <v>786</v>
      </c>
      <c r="D555">
        <v>24</v>
      </c>
      <c r="E555" t="s">
        <v>13</v>
      </c>
      <c r="F555" s="1">
        <v>44500</v>
      </c>
      <c r="G555" s="1">
        <v>46059</v>
      </c>
      <c r="H555" t="s">
        <v>14</v>
      </c>
      <c r="I555" s="2">
        <v>91464</v>
      </c>
      <c r="J555">
        <v>264752</v>
      </c>
      <c r="K555" t="s">
        <v>30</v>
      </c>
      <c r="L555" t="str">
        <f t="shared" si="24"/>
        <v>Available</v>
      </c>
      <c r="M555">
        <f t="shared" si="25"/>
        <v>0</v>
      </c>
      <c r="N555">
        <f t="shared" si="26"/>
        <v>1</v>
      </c>
    </row>
    <row r="556" spans="1:14" x14ac:dyDescent="0.35">
      <c r="A556" t="s">
        <v>2112</v>
      </c>
      <c r="B556" t="s">
        <v>156</v>
      </c>
      <c r="C556" t="s">
        <v>787</v>
      </c>
      <c r="D556">
        <v>24</v>
      </c>
      <c r="E556" t="s">
        <v>13</v>
      </c>
      <c r="F556" s="1">
        <v>44497</v>
      </c>
      <c r="G556" s="1">
        <v>46059</v>
      </c>
      <c r="H556" t="s">
        <v>14</v>
      </c>
      <c r="I556" s="2">
        <v>24598554</v>
      </c>
      <c r="J556">
        <v>264717</v>
      </c>
      <c r="K556" t="s">
        <v>30</v>
      </c>
      <c r="L556" t="str">
        <f t="shared" si="24"/>
        <v>Available</v>
      </c>
      <c r="M556">
        <f t="shared" si="25"/>
        <v>0</v>
      </c>
      <c r="N556">
        <f t="shared" si="26"/>
        <v>1</v>
      </c>
    </row>
    <row r="557" spans="1:14" x14ac:dyDescent="0.35">
      <c r="A557" t="s">
        <v>2113</v>
      </c>
      <c r="B557" t="s">
        <v>302</v>
      </c>
      <c r="C557" t="s">
        <v>788</v>
      </c>
      <c r="D557">
        <v>24</v>
      </c>
      <c r="E557" t="s">
        <v>13</v>
      </c>
      <c r="F557" s="1">
        <v>44500</v>
      </c>
      <c r="G557" s="1">
        <v>46059</v>
      </c>
      <c r="H557" t="s">
        <v>14</v>
      </c>
      <c r="I557" s="2">
        <v>18074854</v>
      </c>
      <c r="J557">
        <v>264552</v>
      </c>
      <c r="K557" t="s">
        <v>15</v>
      </c>
      <c r="L557" t="str">
        <f t="shared" si="24"/>
        <v>Available</v>
      </c>
      <c r="M557">
        <f t="shared" si="25"/>
        <v>1</v>
      </c>
      <c r="N557">
        <f t="shared" si="26"/>
        <v>1</v>
      </c>
    </row>
    <row r="558" spans="1:14" x14ac:dyDescent="0.35">
      <c r="A558" t="s">
        <v>2114</v>
      </c>
      <c r="B558" t="s">
        <v>790</v>
      </c>
      <c r="C558" t="s">
        <v>789</v>
      </c>
      <c r="D558">
        <v>24</v>
      </c>
      <c r="E558" t="s">
        <v>13</v>
      </c>
      <c r="F558" s="1">
        <v>44497</v>
      </c>
      <c r="G558" s="1">
        <v>46059</v>
      </c>
      <c r="H558" t="s">
        <v>14</v>
      </c>
      <c r="I558" s="2">
        <v>53391</v>
      </c>
      <c r="J558">
        <v>266898</v>
      </c>
      <c r="K558" t="s">
        <v>15</v>
      </c>
      <c r="L558" t="str">
        <f t="shared" si="24"/>
        <v>Available</v>
      </c>
      <c r="M558">
        <f t="shared" si="25"/>
        <v>1</v>
      </c>
      <c r="N558">
        <f t="shared" si="26"/>
        <v>1</v>
      </c>
    </row>
    <row r="559" spans="1:14" x14ac:dyDescent="0.35">
      <c r="A559" t="s">
        <v>2115</v>
      </c>
      <c r="B559" t="s">
        <v>771</v>
      </c>
      <c r="C559" t="s">
        <v>791</v>
      </c>
      <c r="D559">
        <v>24</v>
      </c>
      <c r="E559" t="s">
        <v>13</v>
      </c>
      <c r="F559" s="1">
        <v>44497</v>
      </c>
      <c r="G559" s="1">
        <v>46057</v>
      </c>
      <c r="H559" t="s">
        <v>14</v>
      </c>
      <c r="I559" s="2">
        <v>3132090</v>
      </c>
      <c r="J559">
        <v>266404</v>
      </c>
      <c r="K559" t="s">
        <v>30</v>
      </c>
      <c r="L559" t="str">
        <f t="shared" si="24"/>
        <v>Available</v>
      </c>
      <c r="M559">
        <f t="shared" si="25"/>
        <v>0</v>
      </c>
      <c r="N559">
        <f t="shared" si="26"/>
        <v>1</v>
      </c>
    </row>
    <row r="560" spans="1:14" x14ac:dyDescent="0.35">
      <c r="A560" t="s">
        <v>2116</v>
      </c>
      <c r="B560" t="s">
        <v>472</v>
      </c>
      <c r="C560" t="s">
        <v>792</v>
      </c>
      <c r="D560">
        <v>24</v>
      </c>
      <c r="E560" t="s">
        <v>13</v>
      </c>
      <c r="F560" s="1">
        <v>44497</v>
      </c>
      <c r="G560" s="1">
        <v>46059</v>
      </c>
      <c r="H560" t="s">
        <v>14</v>
      </c>
      <c r="I560" s="2">
        <v>252569</v>
      </c>
      <c r="J560">
        <v>266379</v>
      </c>
      <c r="K560" t="s">
        <v>15</v>
      </c>
      <c r="L560" t="str">
        <f t="shared" si="24"/>
        <v>Available</v>
      </c>
      <c r="M560">
        <f t="shared" si="25"/>
        <v>1</v>
      </c>
      <c r="N560">
        <f t="shared" si="26"/>
        <v>1</v>
      </c>
    </row>
    <row r="561" spans="1:14" x14ac:dyDescent="0.35">
      <c r="A561" t="s">
        <v>2117</v>
      </c>
      <c r="B561" t="s">
        <v>2851</v>
      </c>
      <c r="C561" t="s">
        <v>793</v>
      </c>
      <c r="D561">
        <v>25</v>
      </c>
      <c r="E561" t="s">
        <v>13</v>
      </c>
      <c r="F561" s="1">
        <v>44497</v>
      </c>
      <c r="G561" s="1">
        <v>46057</v>
      </c>
      <c r="H561" t="s">
        <v>14</v>
      </c>
      <c r="I561" s="2">
        <v>18520748</v>
      </c>
      <c r="J561">
        <v>261761</v>
      </c>
      <c r="K561" t="s">
        <v>15</v>
      </c>
      <c r="L561" t="str">
        <f t="shared" si="24"/>
        <v>Available</v>
      </c>
      <c r="M561">
        <f t="shared" si="25"/>
        <v>1</v>
      </c>
      <c r="N561">
        <f t="shared" si="26"/>
        <v>1</v>
      </c>
    </row>
    <row r="562" spans="1:14" x14ac:dyDescent="0.35">
      <c r="A562" t="s">
        <v>2118</v>
      </c>
      <c r="B562" t="s">
        <v>186</v>
      </c>
      <c r="C562" t="s">
        <v>794</v>
      </c>
      <c r="D562">
        <v>24</v>
      </c>
      <c r="E562" t="s">
        <v>13</v>
      </c>
      <c r="F562" s="1">
        <v>45231</v>
      </c>
      <c r="G562" s="1">
        <v>46059</v>
      </c>
      <c r="H562" t="s">
        <v>14</v>
      </c>
      <c r="I562" s="2">
        <v>98567</v>
      </c>
      <c r="J562">
        <v>267029</v>
      </c>
      <c r="K562" t="s">
        <v>30</v>
      </c>
      <c r="L562" t="str">
        <f t="shared" si="24"/>
        <v>Available</v>
      </c>
      <c r="M562">
        <f t="shared" si="25"/>
        <v>0</v>
      </c>
      <c r="N562">
        <f t="shared" si="26"/>
        <v>1</v>
      </c>
    </row>
    <row r="563" spans="1:14" x14ac:dyDescent="0.35">
      <c r="A563" t="s">
        <v>2119</v>
      </c>
      <c r="B563" t="s">
        <v>58</v>
      </c>
      <c r="C563" t="s">
        <v>795</v>
      </c>
      <c r="D563">
        <v>24</v>
      </c>
      <c r="E563" t="s">
        <v>13</v>
      </c>
      <c r="F563" s="1">
        <v>44497</v>
      </c>
      <c r="G563" s="1">
        <v>46060</v>
      </c>
      <c r="H563" t="s">
        <v>14</v>
      </c>
      <c r="I563" s="2">
        <v>73914</v>
      </c>
      <c r="J563">
        <v>266348</v>
      </c>
      <c r="K563" t="s">
        <v>15</v>
      </c>
      <c r="L563" t="str">
        <f t="shared" si="24"/>
        <v>Available</v>
      </c>
      <c r="M563">
        <f t="shared" si="25"/>
        <v>1</v>
      </c>
      <c r="N563">
        <f t="shared" si="26"/>
        <v>1</v>
      </c>
    </row>
    <row r="564" spans="1:14" x14ac:dyDescent="0.35">
      <c r="A564" t="s">
        <v>2120</v>
      </c>
      <c r="B564" t="s">
        <v>439</v>
      </c>
      <c r="C564" t="s">
        <v>796</v>
      </c>
      <c r="D564">
        <v>26</v>
      </c>
      <c r="E564" t="s">
        <v>13</v>
      </c>
      <c r="F564" s="1">
        <v>44497</v>
      </c>
      <c r="G564" s="1">
        <v>46058</v>
      </c>
      <c r="H564" t="s">
        <v>14</v>
      </c>
      <c r="I564" s="2">
        <v>135700</v>
      </c>
      <c r="J564">
        <v>261896</v>
      </c>
      <c r="K564" t="s">
        <v>15</v>
      </c>
      <c r="L564" t="str">
        <f t="shared" si="24"/>
        <v>Available</v>
      </c>
      <c r="M564">
        <f t="shared" si="25"/>
        <v>1</v>
      </c>
      <c r="N564">
        <f t="shared" si="26"/>
        <v>1</v>
      </c>
    </row>
    <row r="565" spans="1:14" x14ac:dyDescent="0.35">
      <c r="A565" t="s">
        <v>2121</v>
      </c>
      <c r="B565" t="s">
        <v>121</v>
      </c>
      <c r="C565" t="s">
        <v>797</v>
      </c>
      <c r="D565">
        <v>24</v>
      </c>
      <c r="E565" t="s">
        <v>13</v>
      </c>
      <c r="F565" s="1">
        <v>44497</v>
      </c>
      <c r="G565" s="1">
        <v>46059</v>
      </c>
      <c r="H565" t="s">
        <v>14</v>
      </c>
      <c r="I565" s="2">
        <v>24826872</v>
      </c>
      <c r="J565">
        <v>266399</v>
      </c>
      <c r="K565" t="s">
        <v>15</v>
      </c>
      <c r="L565" t="str">
        <f t="shared" si="24"/>
        <v>Available</v>
      </c>
      <c r="M565">
        <f t="shared" si="25"/>
        <v>1</v>
      </c>
      <c r="N565">
        <f t="shared" si="26"/>
        <v>1</v>
      </c>
    </row>
    <row r="566" spans="1:14" x14ac:dyDescent="0.35">
      <c r="A566" t="s">
        <v>2122</v>
      </c>
      <c r="B566" t="s">
        <v>2778</v>
      </c>
      <c r="C566" t="s">
        <v>798</v>
      </c>
      <c r="D566">
        <v>24</v>
      </c>
      <c r="E566" t="s">
        <v>13</v>
      </c>
      <c r="F566" s="1">
        <v>44501</v>
      </c>
      <c r="G566" s="1">
        <v>46056</v>
      </c>
      <c r="H566" t="s">
        <v>14</v>
      </c>
      <c r="I566" s="2">
        <v>91481</v>
      </c>
      <c r="J566">
        <v>266369</v>
      </c>
      <c r="K566" t="s">
        <v>15</v>
      </c>
      <c r="L566" t="str">
        <f t="shared" si="24"/>
        <v>Missing</v>
      </c>
      <c r="M566">
        <f t="shared" si="25"/>
        <v>1</v>
      </c>
      <c r="N566">
        <f t="shared" si="26"/>
        <v>0</v>
      </c>
    </row>
    <row r="567" spans="1:14" x14ac:dyDescent="0.35">
      <c r="A567" t="s">
        <v>2123</v>
      </c>
      <c r="B567" t="s">
        <v>768</v>
      </c>
      <c r="C567" t="s">
        <v>799</v>
      </c>
      <c r="D567">
        <v>25</v>
      </c>
      <c r="E567" t="s">
        <v>13</v>
      </c>
      <c r="F567" s="1">
        <v>44497</v>
      </c>
      <c r="G567" s="1">
        <v>46059</v>
      </c>
      <c r="H567" t="s">
        <v>14</v>
      </c>
      <c r="I567" s="2">
        <v>73919</v>
      </c>
      <c r="J567">
        <v>262261</v>
      </c>
      <c r="K567" t="s">
        <v>15</v>
      </c>
      <c r="L567" t="str">
        <f t="shared" si="24"/>
        <v>Available</v>
      </c>
      <c r="M567">
        <f t="shared" si="25"/>
        <v>1</v>
      </c>
      <c r="N567">
        <f t="shared" si="26"/>
        <v>1</v>
      </c>
    </row>
    <row r="568" spans="1:14" x14ac:dyDescent="0.35">
      <c r="A568" t="s">
        <v>2124</v>
      </c>
      <c r="B568" t="s">
        <v>2803</v>
      </c>
      <c r="C568" t="s">
        <v>800</v>
      </c>
      <c r="D568">
        <v>28</v>
      </c>
      <c r="E568" t="s">
        <v>13</v>
      </c>
      <c r="F568" s="1">
        <v>45026</v>
      </c>
      <c r="G568" s="1">
        <v>46059</v>
      </c>
      <c r="H568" t="s">
        <v>14</v>
      </c>
      <c r="I568" s="2">
        <v>29624460</v>
      </c>
      <c r="J568">
        <v>264216</v>
      </c>
      <c r="K568" t="s">
        <v>15</v>
      </c>
      <c r="L568" t="str">
        <f t="shared" si="24"/>
        <v>Available</v>
      </c>
      <c r="M568">
        <f t="shared" si="25"/>
        <v>1</v>
      </c>
      <c r="N568">
        <f t="shared" si="26"/>
        <v>1</v>
      </c>
    </row>
    <row r="569" spans="1:14" x14ac:dyDescent="0.35">
      <c r="A569" t="s">
        <v>2125</v>
      </c>
      <c r="B569" t="s">
        <v>130</v>
      </c>
      <c r="C569" t="s">
        <v>801</v>
      </c>
      <c r="D569">
        <v>25</v>
      </c>
      <c r="E569" t="s">
        <v>13</v>
      </c>
      <c r="F569" s="1">
        <v>44770</v>
      </c>
      <c r="G569" s="1">
        <v>46059</v>
      </c>
      <c r="H569" t="s">
        <v>14</v>
      </c>
      <c r="I569" s="2">
        <v>27804061</v>
      </c>
      <c r="J569">
        <v>264137</v>
      </c>
      <c r="K569" t="s">
        <v>15</v>
      </c>
      <c r="L569" t="str">
        <f t="shared" si="24"/>
        <v>Available</v>
      </c>
      <c r="M569">
        <f t="shared" si="25"/>
        <v>1</v>
      </c>
      <c r="N569">
        <f t="shared" si="26"/>
        <v>1</v>
      </c>
    </row>
    <row r="570" spans="1:14" x14ac:dyDescent="0.35">
      <c r="A570" t="s">
        <v>2126</v>
      </c>
      <c r="B570" t="s">
        <v>186</v>
      </c>
      <c r="C570" t="s">
        <v>802</v>
      </c>
      <c r="D570">
        <v>24</v>
      </c>
      <c r="E570" t="s">
        <v>13</v>
      </c>
      <c r="F570" s="1">
        <v>44497</v>
      </c>
      <c r="G570" s="1">
        <v>46059</v>
      </c>
      <c r="H570" t="s">
        <v>14</v>
      </c>
      <c r="I570" s="2">
        <v>91464</v>
      </c>
      <c r="J570">
        <v>261744</v>
      </c>
      <c r="K570" t="s">
        <v>15</v>
      </c>
      <c r="L570" t="str">
        <f t="shared" si="24"/>
        <v>Available</v>
      </c>
      <c r="M570">
        <f t="shared" si="25"/>
        <v>1</v>
      </c>
      <c r="N570">
        <f t="shared" si="26"/>
        <v>1</v>
      </c>
    </row>
    <row r="571" spans="1:14" x14ac:dyDescent="0.35">
      <c r="A571" t="s">
        <v>2127</v>
      </c>
      <c r="B571" t="s">
        <v>2778</v>
      </c>
      <c r="C571" t="s">
        <v>803</v>
      </c>
      <c r="D571">
        <v>26</v>
      </c>
      <c r="E571" t="s">
        <v>13</v>
      </c>
      <c r="F571" s="1">
        <v>44927</v>
      </c>
      <c r="G571" s="1">
        <v>46058</v>
      </c>
      <c r="H571" t="s">
        <v>14</v>
      </c>
      <c r="I571" s="2">
        <v>29142063</v>
      </c>
      <c r="J571">
        <v>264111</v>
      </c>
      <c r="K571" t="s">
        <v>30</v>
      </c>
      <c r="L571" t="str">
        <f t="shared" si="24"/>
        <v>Missing</v>
      </c>
      <c r="M571">
        <f t="shared" si="25"/>
        <v>0</v>
      </c>
      <c r="N571">
        <f t="shared" si="26"/>
        <v>0</v>
      </c>
    </row>
    <row r="572" spans="1:14" x14ac:dyDescent="0.35">
      <c r="A572" t="s">
        <v>2128</v>
      </c>
      <c r="B572" t="s">
        <v>483</v>
      </c>
      <c r="C572" t="s">
        <v>804</v>
      </c>
      <c r="D572">
        <v>16.906742000000001</v>
      </c>
      <c r="E572" t="s">
        <v>35</v>
      </c>
      <c r="F572" s="1">
        <v>44903</v>
      </c>
      <c r="G572" s="1">
        <v>46058</v>
      </c>
      <c r="H572" t="s">
        <v>14</v>
      </c>
      <c r="I572" t="s">
        <v>2778</v>
      </c>
      <c r="J572">
        <v>262026</v>
      </c>
      <c r="K572" t="s">
        <v>30</v>
      </c>
      <c r="L572" t="str">
        <f t="shared" si="24"/>
        <v>Available</v>
      </c>
      <c r="M572">
        <f t="shared" si="25"/>
        <v>0</v>
      </c>
      <c r="N572">
        <f t="shared" si="26"/>
        <v>1</v>
      </c>
    </row>
    <row r="573" spans="1:14" x14ac:dyDescent="0.35">
      <c r="A573" t="s">
        <v>2129</v>
      </c>
      <c r="B573" t="s">
        <v>2808</v>
      </c>
      <c r="C573" t="s">
        <v>805</v>
      </c>
      <c r="D573">
        <v>67</v>
      </c>
      <c r="E573" t="s">
        <v>13</v>
      </c>
      <c r="F573" s="1">
        <v>44497</v>
      </c>
      <c r="G573" s="1">
        <v>46060</v>
      </c>
      <c r="H573" t="s">
        <v>14</v>
      </c>
      <c r="I573" s="2">
        <v>91494</v>
      </c>
      <c r="J573">
        <v>264564</v>
      </c>
      <c r="K573" t="s">
        <v>30</v>
      </c>
      <c r="L573" t="str">
        <f t="shared" si="24"/>
        <v>Available</v>
      </c>
      <c r="M573">
        <f t="shared" si="25"/>
        <v>0</v>
      </c>
      <c r="N573">
        <f t="shared" si="26"/>
        <v>1</v>
      </c>
    </row>
    <row r="574" spans="1:14" x14ac:dyDescent="0.35">
      <c r="A574" t="s">
        <v>2130</v>
      </c>
      <c r="B574" t="s">
        <v>807</v>
      </c>
      <c r="C574" t="s">
        <v>806</v>
      </c>
      <c r="D574">
        <v>24</v>
      </c>
      <c r="E574" t="s">
        <v>13</v>
      </c>
      <c r="F574" s="1">
        <v>44497</v>
      </c>
      <c r="G574" s="1">
        <v>46059</v>
      </c>
      <c r="H574" t="s">
        <v>14</v>
      </c>
      <c r="I574" t="s">
        <v>2778</v>
      </c>
      <c r="J574">
        <v>261905</v>
      </c>
      <c r="K574" t="s">
        <v>30</v>
      </c>
      <c r="L574" t="str">
        <f t="shared" si="24"/>
        <v>Available</v>
      </c>
      <c r="M574">
        <f t="shared" si="25"/>
        <v>0</v>
      </c>
      <c r="N574">
        <f t="shared" si="26"/>
        <v>1</v>
      </c>
    </row>
    <row r="575" spans="1:14" x14ac:dyDescent="0.35">
      <c r="A575" t="s">
        <v>2131</v>
      </c>
      <c r="B575" t="s">
        <v>453</v>
      </c>
      <c r="C575" t="s">
        <v>808</v>
      </c>
      <c r="D575">
        <v>25</v>
      </c>
      <c r="E575" t="s">
        <v>13</v>
      </c>
      <c r="F575" s="1">
        <v>44497</v>
      </c>
      <c r="G575" s="1">
        <v>46059</v>
      </c>
      <c r="H575" t="s">
        <v>14</v>
      </c>
      <c r="I575" s="2">
        <v>98546</v>
      </c>
      <c r="J575">
        <v>266647</v>
      </c>
      <c r="K575" t="s">
        <v>15</v>
      </c>
      <c r="L575" t="str">
        <f t="shared" si="24"/>
        <v>Available</v>
      </c>
      <c r="M575">
        <f t="shared" si="25"/>
        <v>1</v>
      </c>
      <c r="N575">
        <f t="shared" si="26"/>
        <v>1</v>
      </c>
    </row>
    <row r="576" spans="1:14" x14ac:dyDescent="0.35">
      <c r="A576" t="s">
        <v>2132</v>
      </c>
      <c r="B576" t="s">
        <v>62</v>
      </c>
      <c r="C576" t="s">
        <v>809</v>
      </c>
      <c r="D576">
        <v>24</v>
      </c>
      <c r="E576" t="s">
        <v>13</v>
      </c>
      <c r="F576" s="1">
        <v>44497</v>
      </c>
      <c r="G576" s="1">
        <v>46059</v>
      </c>
      <c r="H576" t="s">
        <v>14</v>
      </c>
      <c r="I576" s="2">
        <v>18283098</v>
      </c>
      <c r="J576">
        <v>266616</v>
      </c>
      <c r="K576" t="s">
        <v>15</v>
      </c>
      <c r="L576" t="str">
        <f t="shared" si="24"/>
        <v>Available</v>
      </c>
      <c r="M576">
        <f t="shared" si="25"/>
        <v>1</v>
      </c>
      <c r="N576">
        <f t="shared" si="26"/>
        <v>1</v>
      </c>
    </row>
    <row r="577" spans="1:14" x14ac:dyDescent="0.35">
      <c r="A577" t="s">
        <v>2133</v>
      </c>
      <c r="B577" t="s">
        <v>811</v>
      </c>
      <c r="C577" t="s">
        <v>810</v>
      </c>
      <c r="D577">
        <v>24</v>
      </c>
      <c r="E577" t="s">
        <v>13</v>
      </c>
      <c r="F577" s="1">
        <v>44497</v>
      </c>
      <c r="G577" s="1">
        <v>46059</v>
      </c>
      <c r="H577" t="s">
        <v>14</v>
      </c>
      <c r="I577" s="2">
        <v>1838145</v>
      </c>
      <c r="J577">
        <v>261909</v>
      </c>
      <c r="K577" t="s">
        <v>15</v>
      </c>
      <c r="L577" t="str">
        <f t="shared" si="24"/>
        <v>Available</v>
      </c>
      <c r="M577">
        <f t="shared" si="25"/>
        <v>1</v>
      </c>
      <c r="N577">
        <f t="shared" si="26"/>
        <v>1</v>
      </c>
    </row>
    <row r="578" spans="1:14" x14ac:dyDescent="0.35">
      <c r="A578" t="s">
        <v>2134</v>
      </c>
      <c r="B578" t="s">
        <v>570</v>
      </c>
      <c r="C578" t="s">
        <v>812</v>
      </c>
      <c r="D578">
        <v>24</v>
      </c>
      <c r="E578" t="s">
        <v>13</v>
      </c>
      <c r="F578" s="1">
        <v>45532</v>
      </c>
      <c r="G578" s="1">
        <v>46057</v>
      </c>
      <c r="H578" t="s">
        <v>14</v>
      </c>
      <c r="I578" s="2">
        <v>25812890</v>
      </c>
      <c r="J578">
        <v>262607</v>
      </c>
      <c r="K578" t="s">
        <v>15</v>
      </c>
      <c r="L578" t="str">
        <f t="shared" si="24"/>
        <v>Available</v>
      </c>
      <c r="M578">
        <f t="shared" si="25"/>
        <v>1</v>
      </c>
      <c r="N578">
        <f t="shared" si="26"/>
        <v>1</v>
      </c>
    </row>
    <row r="579" spans="1:14" x14ac:dyDescent="0.35">
      <c r="A579" t="s">
        <v>2135</v>
      </c>
      <c r="B579" t="s">
        <v>814</v>
      </c>
      <c r="C579" t="s">
        <v>813</v>
      </c>
      <c r="D579">
        <v>24</v>
      </c>
      <c r="E579" t="s">
        <v>13</v>
      </c>
      <c r="F579" s="1">
        <v>45347</v>
      </c>
      <c r="G579" s="1">
        <v>46060</v>
      </c>
      <c r="H579" t="s">
        <v>14</v>
      </c>
      <c r="I579" s="2">
        <v>43727644</v>
      </c>
      <c r="J579">
        <v>264276</v>
      </c>
      <c r="K579" t="s">
        <v>15</v>
      </c>
      <c r="L579" t="str">
        <f t="shared" ref="L579:L642" si="27">IF(OR(B579="",ISBLANK(B579)),"Missing","Available")</f>
        <v>Available</v>
      </c>
      <c r="M579">
        <f t="shared" ref="M579:M642" si="28">IF(K579="Mapped",1,0)</f>
        <v>1</v>
      </c>
      <c r="N579">
        <f t="shared" ref="N579:N642" si="29">IF(AND(B579&lt;&gt;"",A579&lt;&gt;""),1,0)</f>
        <v>1</v>
      </c>
    </row>
    <row r="580" spans="1:14" x14ac:dyDescent="0.35">
      <c r="A580" t="s">
        <v>2136</v>
      </c>
      <c r="B580" t="s">
        <v>152</v>
      </c>
      <c r="C580" t="s">
        <v>815</v>
      </c>
      <c r="D580">
        <v>24</v>
      </c>
      <c r="E580" t="s">
        <v>13</v>
      </c>
      <c r="F580" s="1">
        <v>44497</v>
      </c>
      <c r="G580" s="1">
        <v>46057</v>
      </c>
      <c r="H580" t="s">
        <v>14</v>
      </c>
      <c r="I580" t="s">
        <v>2778</v>
      </c>
      <c r="J580">
        <v>261663</v>
      </c>
      <c r="K580" t="s">
        <v>30</v>
      </c>
      <c r="L580" t="str">
        <f t="shared" si="27"/>
        <v>Available</v>
      </c>
      <c r="M580">
        <f t="shared" si="28"/>
        <v>0</v>
      </c>
      <c r="N580">
        <f t="shared" si="29"/>
        <v>1</v>
      </c>
    </row>
    <row r="581" spans="1:14" x14ac:dyDescent="0.35">
      <c r="A581" t="s">
        <v>2137</v>
      </c>
      <c r="B581" t="s">
        <v>811</v>
      </c>
      <c r="C581" t="s">
        <v>816</v>
      </c>
      <c r="D581">
        <v>24</v>
      </c>
      <c r="E581" t="s">
        <v>13</v>
      </c>
      <c r="F581" s="1">
        <v>44497</v>
      </c>
      <c r="G581" s="1">
        <v>46059</v>
      </c>
      <c r="H581" t="s">
        <v>14</v>
      </c>
      <c r="I581" s="2">
        <v>287068</v>
      </c>
      <c r="J581">
        <v>264370</v>
      </c>
      <c r="K581" t="s">
        <v>15</v>
      </c>
      <c r="L581" t="str">
        <f t="shared" si="27"/>
        <v>Available</v>
      </c>
      <c r="M581">
        <f t="shared" si="28"/>
        <v>1</v>
      </c>
      <c r="N581">
        <f t="shared" si="29"/>
        <v>1</v>
      </c>
    </row>
    <row r="582" spans="1:14" x14ac:dyDescent="0.35">
      <c r="A582" t="s">
        <v>2138</v>
      </c>
      <c r="B582" t="s">
        <v>818</v>
      </c>
      <c r="C582" t="s">
        <v>817</v>
      </c>
      <c r="D582">
        <v>24</v>
      </c>
      <c r="E582" t="s">
        <v>13</v>
      </c>
      <c r="F582" s="1">
        <v>44500</v>
      </c>
      <c r="G582" s="1">
        <v>46059</v>
      </c>
      <c r="H582" t="s">
        <v>14</v>
      </c>
      <c r="I582" t="s">
        <v>2778</v>
      </c>
      <c r="J582">
        <v>264251</v>
      </c>
      <c r="K582" t="s">
        <v>30</v>
      </c>
      <c r="L582" t="str">
        <f t="shared" si="27"/>
        <v>Available</v>
      </c>
      <c r="M582">
        <f t="shared" si="28"/>
        <v>0</v>
      </c>
      <c r="N582">
        <f t="shared" si="29"/>
        <v>1</v>
      </c>
    </row>
    <row r="583" spans="1:14" x14ac:dyDescent="0.35">
      <c r="A583" t="s">
        <v>2139</v>
      </c>
      <c r="B583" t="s">
        <v>2778</v>
      </c>
      <c r="C583" t="s">
        <v>819</v>
      </c>
      <c r="D583">
        <v>25</v>
      </c>
      <c r="E583" t="s">
        <v>13</v>
      </c>
      <c r="F583" s="1">
        <v>45392</v>
      </c>
      <c r="G583" s="1">
        <v>45396</v>
      </c>
      <c r="H583" t="s">
        <v>14</v>
      </c>
      <c r="I583" t="s">
        <v>2778</v>
      </c>
      <c r="J583">
        <v>264242</v>
      </c>
      <c r="K583" t="s">
        <v>30</v>
      </c>
      <c r="L583" t="str">
        <f t="shared" si="27"/>
        <v>Missing</v>
      </c>
      <c r="M583">
        <f t="shared" si="28"/>
        <v>0</v>
      </c>
      <c r="N583">
        <f t="shared" si="29"/>
        <v>0</v>
      </c>
    </row>
    <row r="584" spans="1:14" x14ac:dyDescent="0.35">
      <c r="A584" t="s">
        <v>2140</v>
      </c>
      <c r="B584" t="s">
        <v>2863</v>
      </c>
      <c r="C584" t="s">
        <v>820</v>
      </c>
      <c r="D584">
        <v>25</v>
      </c>
      <c r="E584" t="s">
        <v>13</v>
      </c>
      <c r="F584" s="1">
        <v>44497</v>
      </c>
      <c r="G584" s="1">
        <v>46059</v>
      </c>
      <c r="H584" t="s">
        <v>14</v>
      </c>
      <c r="I584" s="2">
        <v>98561</v>
      </c>
      <c r="J584">
        <v>267055</v>
      </c>
      <c r="K584" t="s">
        <v>15</v>
      </c>
      <c r="L584" t="str">
        <f t="shared" si="27"/>
        <v>Available</v>
      </c>
      <c r="M584">
        <f t="shared" si="28"/>
        <v>1</v>
      </c>
      <c r="N584">
        <f t="shared" si="29"/>
        <v>1</v>
      </c>
    </row>
    <row r="585" spans="1:14" x14ac:dyDescent="0.35">
      <c r="A585" t="s">
        <v>2141</v>
      </c>
      <c r="B585" t="s">
        <v>823</v>
      </c>
      <c r="C585" t="s">
        <v>822</v>
      </c>
      <c r="D585">
        <v>16</v>
      </c>
      <c r="E585" t="s">
        <v>13</v>
      </c>
      <c r="F585" s="1">
        <v>44500</v>
      </c>
      <c r="G585" s="1">
        <v>45983</v>
      </c>
      <c r="H585" t="s">
        <v>14</v>
      </c>
      <c r="I585" t="s">
        <v>2778</v>
      </c>
      <c r="J585">
        <v>266427</v>
      </c>
      <c r="K585" t="s">
        <v>15</v>
      </c>
      <c r="L585" t="str">
        <f t="shared" si="27"/>
        <v>Available</v>
      </c>
      <c r="M585">
        <f t="shared" si="28"/>
        <v>1</v>
      </c>
      <c r="N585">
        <f t="shared" si="29"/>
        <v>1</v>
      </c>
    </row>
    <row r="586" spans="1:14" x14ac:dyDescent="0.35">
      <c r="A586" t="s">
        <v>2142</v>
      </c>
      <c r="B586" t="s">
        <v>373</v>
      </c>
      <c r="C586" t="s">
        <v>824</v>
      </c>
      <c r="D586">
        <v>17.921147000000001</v>
      </c>
      <c r="E586" t="s">
        <v>35</v>
      </c>
      <c r="F586" s="1">
        <v>44497</v>
      </c>
      <c r="G586" s="1">
        <v>46047</v>
      </c>
      <c r="H586" t="s">
        <v>14</v>
      </c>
      <c r="I586" t="s">
        <v>2778</v>
      </c>
      <c r="J586">
        <v>261858</v>
      </c>
      <c r="K586" t="s">
        <v>15</v>
      </c>
      <c r="L586" t="str">
        <f t="shared" si="27"/>
        <v>Available</v>
      </c>
      <c r="M586">
        <f t="shared" si="28"/>
        <v>1</v>
      </c>
      <c r="N586">
        <f t="shared" si="29"/>
        <v>1</v>
      </c>
    </row>
    <row r="587" spans="1:14" x14ac:dyDescent="0.35">
      <c r="A587" t="s">
        <v>2143</v>
      </c>
      <c r="B587" t="s">
        <v>2809</v>
      </c>
      <c r="C587" t="s">
        <v>825</v>
      </c>
      <c r="D587">
        <v>19</v>
      </c>
      <c r="E587" t="s">
        <v>13</v>
      </c>
      <c r="F587" s="1">
        <v>44899</v>
      </c>
      <c r="G587" s="1">
        <v>46059</v>
      </c>
      <c r="H587" t="s">
        <v>14</v>
      </c>
      <c r="I587" s="2">
        <v>28954638</v>
      </c>
      <c r="J587">
        <v>262384</v>
      </c>
      <c r="K587" t="s">
        <v>15</v>
      </c>
      <c r="L587" t="str">
        <f t="shared" si="27"/>
        <v>Available</v>
      </c>
      <c r="M587">
        <f t="shared" si="28"/>
        <v>1</v>
      </c>
      <c r="N587">
        <f t="shared" si="29"/>
        <v>1</v>
      </c>
    </row>
    <row r="588" spans="1:14" x14ac:dyDescent="0.35">
      <c r="A588" t="s">
        <v>2144</v>
      </c>
      <c r="B588" t="s">
        <v>2778</v>
      </c>
      <c r="C588" t="s">
        <v>826</v>
      </c>
      <c r="D588">
        <v>24</v>
      </c>
      <c r="E588" t="s">
        <v>13</v>
      </c>
      <c r="F588" s="1">
        <v>45911</v>
      </c>
      <c r="G588" s="1">
        <v>46058</v>
      </c>
      <c r="H588" t="s">
        <v>14</v>
      </c>
      <c r="I588" s="2">
        <v>86860435</v>
      </c>
      <c r="J588">
        <v>264713</v>
      </c>
      <c r="K588" t="s">
        <v>30</v>
      </c>
      <c r="L588" t="str">
        <f t="shared" si="27"/>
        <v>Missing</v>
      </c>
      <c r="M588">
        <f t="shared" si="28"/>
        <v>0</v>
      </c>
      <c r="N588">
        <f t="shared" si="29"/>
        <v>0</v>
      </c>
    </row>
    <row r="589" spans="1:14" x14ac:dyDescent="0.35">
      <c r="A589" t="s">
        <v>2145</v>
      </c>
      <c r="B589" t="s">
        <v>2864</v>
      </c>
      <c r="C589" t="s">
        <v>827</v>
      </c>
      <c r="D589">
        <v>24</v>
      </c>
      <c r="E589" t="s">
        <v>13</v>
      </c>
      <c r="F589" s="1">
        <v>44498</v>
      </c>
      <c r="G589" s="1">
        <v>45952</v>
      </c>
      <c r="H589" t="s">
        <v>14</v>
      </c>
      <c r="I589" t="s">
        <v>2778</v>
      </c>
      <c r="J589">
        <v>264240</v>
      </c>
      <c r="K589" t="s">
        <v>15</v>
      </c>
      <c r="L589" t="str">
        <f t="shared" si="27"/>
        <v>Available</v>
      </c>
      <c r="M589">
        <f t="shared" si="28"/>
        <v>1</v>
      </c>
      <c r="N589">
        <f t="shared" si="29"/>
        <v>1</v>
      </c>
    </row>
    <row r="590" spans="1:14" x14ac:dyDescent="0.35">
      <c r="A590" t="s">
        <v>2146</v>
      </c>
      <c r="B590" t="s">
        <v>628</v>
      </c>
      <c r="C590" t="s">
        <v>829</v>
      </c>
      <c r="D590">
        <v>24</v>
      </c>
      <c r="E590" t="s">
        <v>13</v>
      </c>
      <c r="F590" s="1">
        <v>44952</v>
      </c>
      <c r="G590" s="1">
        <v>46059</v>
      </c>
      <c r="H590" t="s">
        <v>14</v>
      </c>
      <c r="I590" s="2">
        <v>19964459</v>
      </c>
      <c r="J590">
        <v>266597</v>
      </c>
      <c r="K590" t="s">
        <v>30</v>
      </c>
      <c r="L590" t="str">
        <f t="shared" si="27"/>
        <v>Available</v>
      </c>
      <c r="M590">
        <f t="shared" si="28"/>
        <v>0</v>
      </c>
      <c r="N590">
        <f t="shared" si="29"/>
        <v>1</v>
      </c>
    </row>
    <row r="591" spans="1:14" x14ac:dyDescent="0.35">
      <c r="A591" t="s">
        <v>2147</v>
      </c>
      <c r="B591" t="s">
        <v>439</v>
      </c>
      <c r="C591" t="s">
        <v>830</v>
      </c>
      <c r="D591">
        <v>24</v>
      </c>
      <c r="E591" t="s">
        <v>13</v>
      </c>
      <c r="F591" s="1">
        <v>44497</v>
      </c>
      <c r="G591" s="1">
        <v>46059</v>
      </c>
      <c r="H591" t="s">
        <v>14</v>
      </c>
      <c r="I591" s="2">
        <v>3364122</v>
      </c>
      <c r="J591">
        <v>264760</v>
      </c>
      <c r="K591" t="s">
        <v>15</v>
      </c>
      <c r="L591" t="str">
        <f t="shared" si="27"/>
        <v>Available</v>
      </c>
      <c r="M591">
        <f t="shared" si="28"/>
        <v>1</v>
      </c>
      <c r="N591">
        <f t="shared" si="29"/>
        <v>1</v>
      </c>
    </row>
    <row r="592" spans="1:14" x14ac:dyDescent="0.35">
      <c r="A592" t="s">
        <v>2148</v>
      </c>
      <c r="B592" t="s">
        <v>2855</v>
      </c>
      <c r="C592" t="s">
        <v>831</v>
      </c>
      <c r="D592">
        <v>24</v>
      </c>
      <c r="E592" t="s">
        <v>13</v>
      </c>
      <c r="F592" s="1">
        <v>44497</v>
      </c>
      <c r="G592" s="1">
        <v>46059</v>
      </c>
      <c r="H592" t="s">
        <v>14</v>
      </c>
      <c r="I592" s="2">
        <v>21669849</v>
      </c>
      <c r="J592">
        <v>267104</v>
      </c>
      <c r="K592" t="s">
        <v>30</v>
      </c>
      <c r="L592" t="str">
        <f t="shared" si="27"/>
        <v>Available</v>
      </c>
      <c r="M592">
        <f t="shared" si="28"/>
        <v>0</v>
      </c>
      <c r="N592">
        <f t="shared" si="29"/>
        <v>1</v>
      </c>
    </row>
    <row r="593" spans="1:14" x14ac:dyDescent="0.35">
      <c r="A593" t="s">
        <v>2149</v>
      </c>
      <c r="B593" t="s">
        <v>481</v>
      </c>
      <c r="C593" t="s">
        <v>832</v>
      </c>
      <c r="D593">
        <v>25</v>
      </c>
      <c r="E593" t="s">
        <v>13</v>
      </c>
      <c r="F593" s="1">
        <v>44497</v>
      </c>
      <c r="G593" s="1">
        <v>46058</v>
      </c>
      <c r="H593" t="s">
        <v>14</v>
      </c>
      <c r="I593" s="2">
        <v>23517386</v>
      </c>
      <c r="J593">
        <v>261883</v>
      </c>
      <c r="K593" t="s">
        <v>15</v>
      </c>
      <c r="L593" t="str">
        <f t="shared" si="27"/>
        <v>Available</v>
      </c>
      <c r="M593">
        <f t="shared" si="28"/>
        <v>1</v>
      </c>
      <c r="N593">
        <f t="shared" si="29"/>
        <v>1</v>
      </c>
    </row>
    <row r="594" spans="1:14" x14ac:dyDescent="0.35">
      <c r="A594" t="s">
        <v>2150</v>
      </c>
      <c r="B594" t="s">
        <v>205</v>
      </c>
      <c r="C594" t="s">
        <v>833</v>
      </c>
      <c r="D594">
        <v>24</v>
      </c>
      <c r="E594" t="s">
        <v>13</v>
      </c>
      <c r="F594" s="1">
        <v>44497</v>
      </c>
      <c r="G594" s="1">
        <v>46058</v>
      </c>
      <c r="H594" t="s">
        <v>14</v>
      </c>
      <c r="I594" s="2">
        <v>91498</v>
      </c>
      <c r="J594">
        <v>266866</v>
      </c>
      <c r="K594" t="s">
        <v>30</v>
      </c>
      <c r="L594" t="str">
        <f t="shared" si="27"/>
        <v>Available</v>
      </c>
      <c r="M594">
        <f t="shared" si="28"/>
        <v>0</v>
      </c>
      <c r="N594">
        <f t="shared" si="29"/>
        <v>1</v>
      </c>
    </row>
    <row r="595" spans="1:14" x14ac:dyDescent="0.35">
      <c r="A595" t="s">
        <v>2151</v>
      </c>
      <c r="B595" t="s">
        <v>147</v>
      </c>
      <c r="C595" t="s">
        <v>834</v>
      </c>
      <c r="D595">
        <v>24</v>
      </c>
      <c r="E595" t="s">
        <v>13</v>
      </c>
      <c r="F595" s="1">
        <v>44497</v>
      </c>
      <c r="G595" s="1">
        <v>46059</v>
      </c>
      <c r="H595" t="s">
        <v>14</v>
      </c>
      <c r="I595" s="2">
        <v>23897848</v>
      </c>
      <c r="J595">
        <v>266321</v>
      </c>
      <c r="K595" t="s">
        <v>30</v>
      </c>
      <c r="L595" t="str">
        <f t="shared" si="27"/>
        <v>Available</v>
      </c>
      <c r="M595">
        <f t="shared" si="28"/>
        <v>0</v>
      </c>
      <c r="N595">
        <f t="shared" si="29"/>
        <v>1</v>
      </c>
    </row>
    <row r="596" spans="1:14" x14ac:dyDescent="0.35">
      <c r="A596" t="s">
        <v>2152</v>
      </c>
      <c r="B596" t="s">
        <v>369</v>
      </c>
      <c r="C596" t="s">
        <v>835</v>
      </c>
      <c r="D596">
        <v>32</v>
      </c>
      <c r="E596" t="s">
        <v>13</v>
      </c>
      <c r="F596" s="1">
        <v>44497</v>
      </c>
      <c r="G596" s="1">
        <v>46059</v>
      </c>
      <c r="H596" t="s">
        <v>14</v>
      </c>
      <c r="I596" t="s">
        <v>2778</v>
      </c>
      <c r="J596">
        <v>261725</v>
      </c>
      <c r="K596" t="s">
        <v>15</v>
      </c>
      <c r="L596" t="str">
        <f t="shared" si="27"/>
        <v>Available</v>
      </c>
      <c r="M596">
        <f t="shared" si="28"/>
        <v>1</v>
      </c>
      <c r="N596">
        <f t="shared" si="29"/>
        <v>1</v>
      </c>
    </row>
    <row r="597" spans="1:14" x14ac:dyDescent="0.35">
      <c r="A597" t="s">
        <v>2153</v>
      </c>
      <c r="B597" t="s">
        <v>2852</v>
      </c>
      <c r="C597" t="s">
        <v>836</v>
      </c>
      <c r="D597">
        <v>15.3</v>
      </c>
      <c r="E597" t="s">
        <v>13</v>
      </c>
      <c r="F597" s="1">
        <v>44497</v>
      </c>
      <c r="G597" s="1">
        <v>46059</v>
      </c>
      <c r="H597" t="s">
        <v>14</v>
      </c>
      <c r="I597" t="s">
        <v>2778</v>
      </c>
      <c r="J597">
        <v>266943</v>
      </c>
      <c r="K597" t="s">
        <v>15</v>
      </c>
      <c r="L597" t="str">
        <f t="shared" si="27"/>
        <v>Available</v>
      </c>
      <c r="M597">
        <f t="shared" si="28"/>
        <v>1</v>
      </c>
      <c r="N597">
        <f t="shared" si="29"/>
        <v>1</v>
      </c>
    </row>
    <row r="598" spans="1:14" x14ac:dyDescent="0.35">
      <c r="A598" t="s">
        <v>2154</v>
      </c>
      <c r="B598" t="s">
        <v>2778</v>
      </c>
      <c r="C598" t="s">
        <v>838</v>
      </c>
      <c r="D598">
        <v>24</v>
      </c>
      <c r="E598" t="s">
        <v>13</v>
      </c>
      <c r="F598" s="1">
        <v>44497</v>
      </c>
      <c r="G598" s="1">
        <v>46059</v>
      </c>
      <c r="H598" t="s">
        <v>14</v>
      </c>
      <c r="I598" t="s">
        <v>2778</v>
      </c>
      <c r="J598">
        <v>266414</v>
      </c>
      <c r="K598" t="s">
        <v>15</v>
      </c>
      <c r="L598" t="str">
        <f t="shared" si="27"/>
        <v>Missing</v>
      </c>
      <c r="M598">
        <f t="shared" si="28"/>
        <v>1</v>
      </c>
      <c r="N598">
        <f t="shared" si="29"/>
        <v>0</v>
      </c>
    </row>
    <row r="599" spans="1:14" x14ac:dyDescent="0.35">
      <c r="A599" t="s">
        <v>2155</v>
      </c>
      <c r="B599" t="s">
        <v>132</v>
      </c>
      <c r="C599" t="s">
        <v>839</v>
      </c>
      <c r="D599">
        <v>24</v>
      </c>
      <c r="E599" t="s">
        <v>13</v>
      </c>
      <c r="F599" s="1">
        <v>44500</v>
      </c>
      <c r="G599" s="1">
        <v>46059</v>
      </c>
      <c r="H599" t="s">
        <v>14</v>
      </c>
      <c r="I599" s="2">
        <v>16403040</v>
      </c>
      <c r="J599">
        <v>267075</v>
      </c>
      <c r="K599" t="s">
        <v>30</v>
      </c>
      <c r="L599" t="str">
        <f t="shared" si="27"/>
        <v>Available</v>
      </c>
      <c r="M599">
        <f t="shared" si="28"/>
        <v>0</v>
      </c>
      <c r="N599">
        <f t="shared" si="29"/>
        <v>1</v>
      </c>
    </row>
    <row r="600" spans="1:14" x14ac:dyDescent="0.35">
      <c r="A600" t="s">
        <v>2156</v>
      </c>
      <c r="B600" t="s">
        <v>2778</v>
      </c>
      <c r="C600" t="s">
        <v>840</v>
      </c>
      <c r="D600">
        <v>26</v>
      </c>
      <c r="E600" t="s">
        <v>13</v>
      </c>
      <c r="F600" s="1">
        <v>44500</v>
      </c>
      <c r="G600" s="1">
        <v>46058</v>
      </c>
      <c r="H600" t="s">
        <v>14</v>
      </c>
      <c r="I600" s="2">
        <v>266092</v>
      </c>
      <c r="J600">
        <v>262285</v>
      </c>
      <c r="K600" t="s">
        <v>15</v>
      </c>
      <c r="L600" t="str">
        <f t="shared" si="27"/>
        <v>Missing</v>
      </c>
      <c r="M600">
        <f t="shared" si="28"/>
        <v>1</v>
      </c>
      <c r="N600">
        <f t="shared" si="29"/>
        <v>0</v>
      </c>
    </row>
    <row r="601" spans="1:14" x14ac:dyDescent="0.35">
      <c r="A601" t="s">
        <v>2157</v>
      </c>
      <c r="B601" t="s">
        <v>472</v>
      </c>
      <c r="C601" t="s">
        <v>841</v>
      </c>
      <c r="D601">
        <v>24</v>
      </c>
      <c r="E601" t="s">
        <v>13</v>
      </c>
      <c r="F601" s="1">
        <v>44497</v>
      </c>
      <c r="G601" s="1">
        <v>46059</v>
      </c>
      <c r="H601" t="s">
        <v>14</v>
      </c>
      <c r="I601" s="2">
        <v>1860223</v>
      </c>
      <c r="J601">
        <v>264287</v>
      </c>
      <c r="K601" t="s">
        <v>15</v>
      </c>
      <c r="L601" t="str">
        <f t="shared" si="27"/>
        <v>Available</v>
      </c>
      <c r="M601">
        <f t="shared" si="28"/>
        <v>1</v>
      </c>
      <c r="N601">
        <f t="shared" si="29"/>
        <v>1</v>
      </c>
    </row>
    <row r="602" spans="1:14" x14ac:dyDescent="0.35">
      <c r="A602" t="s">
        <v>2158</v>
      </c>
      <c r="B602" t="s">
        <v>2865</v>
      </c>
      <c r="C602" t="s">
        <v>843</v>
      </c>
      <c r="D602">
        <v>24</v>
      </c>
      <c r="E602" t="s">
        <v>13</v>
      </c>
      <c r="F602" s="1">
        <v>44497</v>
      </c>
      <c r="G602" s="1">
        <v>46058</v>
      </c>
      <c r="H602" t="s">
        <v>14</v>
      </c>
      <c r="I602" s="2">
        <v>170939</v>
      </c>
      <c r="J602">
        <v>264208</v>
      </c>
      <c r="K602" t="s">
        <v>15</v>
      </c>
      <c r="L602" t="str">
        <f t="shared" si="27"/>
        <v>Available</v>
      </c>
      <c r="M602">
        <f t="shared" si="28"/>
        <v>1</v>
      </c>
      <c r="N602">
        <f t="shared" si="29"/>
        <v>1</v>
      </c>
    </row>
    <row r="603" spans="1:14" x14ac:dyDescent="0.35">
      <c r="A603" t="s">
        <v>2159</v>
      </c>
      <c r="B603" t="s">
        <v>53</v>
      </c>
      <c r="C603" t="s">
        <v>845</v>
      </c>
      <c r="D603">
        <v>25</v>
      </c>
      <c r="E603" t="s">
        <v>13</v>
      </c>
      <c r="F603" s="1">
        <v>44502</v>
      </c>
      <c r="G603" s="1">
        <v>46057</v>
      </c>
      <c r="H603" t="s">
        <v>14</v>
      </c>
      <c r="I603" s="2">
        <v>17996170</v>
      </c>
      <c r="J603">
        <v>264253</v>
      </c>
      <c r="K603" t="s">
        <v>15</v>
      </c>
      <c r="L603" t="str">
        <f t="shared" si="27"/>
        <v>Available</v>
      </c>
      <c r="M603">
        <f t="shared" si="28"/>
        <v>1</v>
      </c>
      <c r="N603">
        <f t="shared" si="29"/>
        <v>1</v>
      </c>
    </row>
    <row r="604" spans="1:14" x14ac:dyDescent="0.35">
      <c r="A604" t="s">
        <v>2160</v>
      </c>
      <c r="B604" t="s">
        <v>2833</v>
      </c>
      <c r="C604" t="s">
        <v>846</v>
      </c>
      <c r="D604">
        <v>24</v>
      </c>
      <c r="E604" t="s">
        <v>13</v>
      </c>
      <c r="F604" s="1">
        <v>44500</v>
      </c>
      <c r="G604" s="1">
        <v>46030</v>
      </c>
      <c r="H604" t="s">
        <v>14</v>
      </c>
      <c r="I604" t="s">
        <v>2778</v>
      </c>
      <c r="J604">
        <v>266878</v>
      </c>
      <c r="K604" t="s">
        <v>30</v>
      </c>
      <c r="L604" t="str">
        <f t="shared" si="27"/>
        <v>Available</v>
      </c>
      <c r="M604">
        <f t="shared" si="28"/>
        <v>0</v>
      </c>
      <c r="N604">
        <f t="shared" si="29"/>
        <v>1</v>
      </c>
    </row>
    <row r="605" spans="1:14" x14ac:dyDescent="0.35">
      <c r="A605" t="s">
        <v>2161</v>
      </c>
      <c r="B605" t="s">
        <v>2866</v>
      </c>
      <c r="C605" t="s">
        <v>847</v>
      </c>
      <c r="D605">
        <v>24</v>
      </c>
      <c r="E605" t="s">
        <v>13</v>
      </c>
      <c r="F605" s="1">
        <v>45013</v>
      </c>
      <c r="G605" s="1">
        <v>46059</v>
      </c>
      <c r="H605" t="s">
        <v>14</v>
      </c>
      <c r="I605" s="2">
        <v>34792996</v>
      </c>
      <c r="J605">
        <v>264724</v>
      </c>
      <c r="K605" t="s">
        <v>30</v>
      </c>
      <c r="L605" t="str">
        <f t="shared" si="27"/>
        <v>Available</v>
      </c>
      <c r="M605">
        <f t="shared" si="28"/>
        <v>0</v>
      </c>
      <c r="N605">
        <f t="shared" si="29"/>
        <v>1</v>
      </c>
    </row>
    <row r="606" spans="1:14" x14ac:dyDescent="0.35">
      <c r="A606" t="s">
        <v>2162</v>
      </c>
      <c r="B606" t="s">
        <v>156</v>
      </c>
      <c r="C606" t="s">
        <v>849</v>
      </c>
      <c r="D606">
        <v>24</v>
      </c>
      <c r="E606" t="s">
        <v>13</v>
      </c>
      <c r="F606" s="1">
        <v>45585</v>
      </c>
      <c r="G606" s="1">
        <v>46059</v>
      </c>
      <c r="H606" t="s">
        <v>14</v>
      </c>
      <c r="I606" s="2">
        <v>61861382</v>
      </c>
      <c r="J606">
        <v>262630</v>
      </c>
      <c r="K606" t="s">
        <v>30</v>
      </c>
      <c r="L606" t="str">
        <f t="shared" si="27"/>
        <v>Available</v>
      </c>
      <c r="M606">
        <f t="shared" si="28"/>
        <v>0</v>
      </c>
      <c r="N606">
        <f t="shared" si="29"/>
        <v>1</v>
      </c>
    </row>
    <row r="607" spans="1:14" x14ac:dyDescent="0.35">
      <c r="A607" t="s">
        <v>2163</v>
      </c>
      <c r="B607" t="s">
        <v>41</v>
      </c>
      <c r="C607" t="s">
        <v>850</v>
      </c>
      <c r="D607">
        <v>24.3</v>
      </c>
      <c r="E607" t="s">
        <v>13</v>
      </c>
      <c r="F607" s="1">
        <v>44497</v>
      </c>
      <c r="G607" s="1">
        <v>46023</v>
      </c>
      <c r="H607" t="s">
        <v>14</v>
      </c>
      <c r="I607" t="s">
        <v>2778</v>
      </c>
      <c r="J607">
        <v>262383</v>
      </c>
      <c r="K607" t="s">
        <v>30</v>
      </c>
      <c r="L607" t="str">
        <f t="shared" si="27"/>
        <v>Available</v>
      </c>
      <c r="M607">
        <f t="shared" si="28"/>
        <v>0</v>
      </c>
      <c r="N607">
        <f t="shared" si="29"/>
        <v>1</v>
      </c>
    </row>
    <row r="608" spans="1:14" x14ac:dyDescent="0.35">
      <c r="A608" t="s">
        <v>2164</v>
      </c>
      <c r="B608" t="s">
        <v>852</v>
      </c>
      <c r="C608" t="s">
        <v>851</v>
      </c>
      <c r="D608">
        <v>24</v>
      </c>
      <c r="E608" t="s">
        <v>13</v>
      </c>
      <c r="F608" s="1">
        <v>45578</v>
      </c>
      <c r="G608" s="1">
        <v>46059</v>
      </c>
      <c r="H608" t="s">
        <v>14</v>
      </c>
      <c r="I608" t="s">
        <v>2778</v>
      </c>
      <c r="J608">
        <v>266292</v>
      </c>
      <c r="K608" t="s">
        <v>30</v>
      </c>
      <c r="L608" t="str">
        <f t="shared" si="27"/>
        <v>Available</v>
      </c>
      <c r="M608">
        <f t="shared" si="28"/>
        <v>0</v>
      </c>
      <c r="N608">
        <f t="shared" si="29"/>
        <v>1</v>
      </c>
    </row>
    <row r="609" spans="1:14" x14ac:dyDescent="0.35">
      <c r="A609" t="s">
        <v>2165</v>
      </c>
      <c r="B609" t="s">
        <v>156</v>
      </c>
      <c r="C609" t="s">
        <v>853</v>
      </c>
      <c r="D609">
        <v>44</v>
      </c>
      <c r="E609" t="s">
        <v>13</v>
      </c>
      <c r="F609" s="1">
        <v>45751</v>
      </c>
      <c r="G609" s="1">
        <v>46058</v>
      </c>
      <c r="H609" t="s">
        <v>14</v>
      </c>
      <c r="I609" t="s">
        <v>2778</v>
      </c>
      <c r="J609">
        <v>264316</v>
      </c>
      <c r="K609" t="s">
        <v>15</v>
      </c>
      <c r="L609" t="str">
        <f t="shared" si="27"/>
        <v>Available</v>
      </c>
      <c r="M609">
        <f t="shared" si="28"/>
        <v>1</v>
      </c>
      <c r="N609">
        <f t="shared" si="29"/>
        <v>1</v>
      </c>
    </row>
    <row r="610" spans="1:14" x14ac:dyDescent="0.35">
      <c r="A610" t="s">
        <v>2166</v>
      </c>
      <c r="B610" t="s">
        <v>130</v>
      </c>
      <c r="C610" t="s">
        <v>854</v>
      </c>
      <c r="D610">
        <v>24.5</v>
      </c>
      <c r="E610" t="s">
        <v>13</v>
      </c>
      <c r="F610" s="1">
        <v>45859</v>
      </c>
      <c r="G610" s="1">
        <v>46059</v>
      </c>
      <c r="H610" t="s">
        <v>14</v>
      </c>
      <c r="I610" s="2">
        <v>76603192</v>
      </c>
      <c r="J610">
        <v>264571</v>
      </c>
      <c r="K610" t="s">
        <v>30</v>
      </c>
      <c r="L610" t="str">
        <f t="shared" si="27"/>
        <v>Available</v>
      </c>
      <c r="M610">
        <f t="shared" si="28"/>
        <v>0</v>
      </c>
      <c r="N610">
        <f t="shared" si="29"/>
        <v>1</v>
      </c>
    </row>
    <row r="611" spans="1:14" x14ac:dyDescent="0.35">
      <c r="A611" t="s">
        <v>2167</v>
      </c>
      <c r="B611" t="s">
        <v>2867</v>
      </c>
      <c r="C611" t="s">
        <v>855</v>
      </c>
      <c r="D611">
        <v>24</v>
      </c>
      <c r="E611" t="s">
        <v>13</v>
      </c>
      <c r="F611" s="1">
        <v>45337</v>
      </c>
      <c r="G611" s="1">
        <v>46055</v>
      </c>
      <c r="H611" t="s">
        <v>14</v>
      </c>
      <c r="I611" s="2">
        <v>35042765</v>
      </c>
      <c r="J611">
        <v>266359</v>
      </c>
      <c r="K611" t="s">
        <v>30</v>
      </c>
      <c r="L611" t="str">
        <f t="shared" si="27"/>
        <v>Available</v>
      </c>
      <c r="M611">
        <f t="shared" si="28"/>
        <v>0</v>
      </c>
      <c r="N611">
        <f t="shared" si="29"/>
        <v>1</v>
      </c>
    </row>
    <row r="612" spans="1:14" x14ac:dyDescent="0.35">
      <c r="A612" t="s">
        <v>2168</v>
      </c>
      <c r="B612" t="s">
        <v>58</v>
      </c>
      <c r="C612" t="s">
        <v>857</v>
      </c>
      <c r="D612">
        <v>20.288091000000001</v>
      </c>
      <c r="E612" t="s">
        <v>35</v>
      </c>
      <c r="F612" s="1">
        <v>45562</v>
      </c>
      <c r="G612" s="1">
        <v>46058</v>
      </c>
      <c r="H612" t="s">
        <v>14</v>
      </c>
      <c r="I612" t="s">
        <v>2778</v>
      </c>
      <c r="J612">
        <v>261893</v>
      </c>
      <c r="K612" t="s">
        <v>15</v>
      </c>
      <c r="L612" t="str">
        <f t="shared" si="27"/>
        <v>Available</v>
      </c>
      <c r="M612">
        <f t="shared" si="28"/>
        <v>1</v>
      </c>
      <c r="N612">
        <f t="shared" si="29"/>
        <v>1</v>
      </c>
    </row>
    <row r="613" spans="1:14" x14ac:dyDescent="0.35">
      <c r="A613" t="s">
        <v>2169</v>
      </c>
      <c r="B613" t="s">
        <v>2778</v>
      </c>
      <c r="C613" t="s">
        <v>858</v>
      </c>
      <c r="D613">
        <v>20</v>
      </c>
      <c r="E613" t="s">
        <v>13</v>
      </c>
      <c r="F613" s="1">
        <v>44497</v>
      </c>
      <c r="G613" s="1">
        <v>46059</v>
      </c>
      <c r="H613" t="s">
        <v>14</v>
      </c>
      <c r="I613" t="s">
        <v>2778</v>
      </c>
      <c r="J613">
        <v>264261</v>
      </c>
      <c r="K613" t="s">
        <v>15</v>
      </c>
      <c r="L613" t="str">
        <f t="shared" si="27"/>
        <v>Missing</v>
      </c>
      <c r="M613">
        <f t="shared" si="28"/>
        <v>1</v>
      </c>
      <c r="N613">
        <f t="shared" si="29"/>
        <v>0</v>
      </c>
    </row>
    <row r="614" spans="1:14" x14ac:dyDescent="0.35">
      <c r="A614" t="s">
        <v>2170</v>
      </c>
      <c r="B614" t="s">
        <v>2801</v>
      </c>
      <c r="C614" t="s">
        <v>859</v>
      </c>
      <c r="D614">
        <v>26</v>
      </c>
      <c r="E614" t="s">
        <v>13</v>
      </c>
      <c r="F614" s="1">
        <v>44497</v>
      </c>
      <c r="G614" s="1">
        <v>46055</v>
      </c>
      <c r="H614" t="s">
        <v>14</v>
      </c>
      <c r="I614" s="2">
        <v>2812517</v>
      </c>
      <c r="J614">
        <v>264579</v>
      </c>
      <c r="K614" t="s">
        <v>30</v>
      </c>
      <c r="L614" t="str">
        <f t="shared" si="27"/>
        <v>Available</v>
      </c>
      <c r="M614">
        <f t="shared" si="28"/>
        <v>0</v>
      </c>
      <c r="N614">
        <f t="shared" si="29"/>
        <v>1</v>
      </c>
    </row>
    <row r="615" spans="1:14" x14ac:dyDescent="0.35">
      <c r="A615" t="s">
        <v>2171</v>
      </c>
      <c r="B615" t="s">
        <v>2803</v>
      </c>
      <c r="C615" t="s">
        <v>861</v>
      </c>
      <c r="D615">
        <v>28</v>
      </c>
      <c r="E615" t="s">
        <v>13</v>
      </c>
      <c r="F615" s="1">
        <v>44497</v>
      </c>
      <c r="G615" s="1">
        <v>46059</v>
      </c>
      <c r="H615" t="s">
        <v>14</v>
      </c>
      <c r="I615" s="2">
        <v>29373236</v>
      </c>
      <c r="J615">
        <v>266579</v>
      </c>
      <c r="K615" t="s">
        <v>15</v>
      </c>
      <c r="L615" t="str">
        <f t="shared" si="27"/>
        <v>Available</v>
      </c>
      <c r="M615">
        <f t="shared" si="28"/>
        <v>1</v>
      </c>
      <c r="N615">
        <f t="shared" si="29"/>
        <v>1</v>
      </c>
    </row>
    <row r="616" spans="1:14" x14ac:dyDescent="0.35">
      <c r="A616" t="s">
        <v>2172</v>
      </c>
      <c r="B616" t="s">
        <v>2798</v>
      </c>
      <c r="C616" t="s">
        <v>862</v>
      </c>
      <c r="D616">
        <v>136</v>
      </c>
      <c r="E616" t="s">
        <v>13</v>
      </c>
      <c r="F616" s="1">
        <v>44497</v>
      </c>
      <c r="G616" s="1">
        <v>46060</v>
      </c>
      <c r="H616" t="s">
        <v>14</v>
      </c>
      <c r="I616" s="2">
        <v>16983138</v>
      </c>
      <c r="J616">
        <v>266405</v>
      </c>
      <c r="K616" t="s">
        <v>15</v>
      </c>
      <c r="L616" t="str">
        <f t="shared" si="27"/>
        <v>Available</v>
      </c>
      <c r="M616">
        <f t="shared" si="28"/>
        <v>1</v>
      </c>
      <c r="N616">
        <f t="shared" si="29"/>
        <v>1</v>
      </c>
    </row>
    <row r="617" spans="1:14" x14ac:dyDescent="0.35">
      <c r="A617" t="s">
        <v>2173</v>
      </c>
      <c r="B617" t="s">
        <v>156</v>
      </c>
      <c r="C617" t="s">
        <v>863</v>
      </c>
      <c r="D617">
        <v>24</v>
      </c>
      <c r="E617" t="s">
        <v>13</v>
      </c>
      <c r="F617" s="1">
        <v>45434</v>
      </c>
      <c r="G617" s="1">
        <v>46059</v>
      </c>
      <c r="H617" t="s">
        <v>14</v>
      </c>
      <c r="I617" s="2">
        <v>45274659</v>
      </c>
      <c r="J617">
        <v>264567</v>
      </c>
      <c r="K617" t="s">
        <v>15</v>
      </c>
      <c r="L617" t="str">
        <f t="shared" si="27"/>
        <v>Available</v>
      </c>
      <c r="M617">
        <f t="shared" si="28"/>
        <v>1</v>
      </c>
      <c r="N617">
        <f t="shared" si="29"/>
        <v>1</v>
      </c>
    </row>
    <row r="618" spans="1:14" x14ac:dyDescent="0.35">
      <c r="A618" t="s">
        <v>2174</v>
      </c>
      <c r="B618" t="s">
        <v>25</v>
      </c>
      <c r="C618" t="s">
        <v>864</v>
      </c>
      <c r="D618">
        <v>135</v>
      </c>
      <c r="E618" t="s">
        <v>13</v>
      </c>
      <c r="F618" s="1">
        <v>44497</v>
      </c>
      <c r="G618" s="1">
        <v>46058</v>
      </c>
      <c r="H618" t="s">
        <v>14</v>
      </c>
      <c r="I618" t="s">
        <v>2778</v>
      </c>
      <c r="J618">
        <v>266561</v>
      </c>
      <c r="K618" t="s">
        <v>15</v>
      </c>
      <c r="L618" t="str">
        <f t="shared" si="27"/>
        <v>Available</v>
      </c>
      <c r="M618">
        <f t="shared" si="28"/>
        <v>1</v>
      </c>
      <c r="N618">
        <f t="shared" si="29"/>
        <v>1</v>
      </c>
    </row>
    <row r="619" spans="1:14" x14ac:dyDescent="0.35">
      <c r="A619" t="s">
        <v>2175</v>
      </c>
      <c r="B619" t="s">
        <v>2790</v>
      </c>
      <c r="C619" t="s">
        <v>865</v>
      </c>
      <c r="D619">
        <v>24</v>
      </c>
      <c r="E619" t="s">
        <v>13</v>
      </c>
      <c r="F619" s="1">
        <v>44497</v>
      </c>
      <c r="G619" s="1">
        <v>46060</v>
      </c>
      <c r="H619" t="s">
        <v>14</v>
      </c>
      <c r="I619" s="2">
        <v>91465</v>
      </c>
      <c r="J619">
        <v>264280</v>
      </c>
      <c r="K619" t="s">
        <v>15</v>
      </c>
      <c r="L619" t="str">
        <f t="shared" si="27"/>
        <v>Available</v>
      </c>
      <c r="M619">
        <f t="shared" si="28"/>
        <v>1</v>
      </c>
      <c r="N619">
        <f t="shared" si="29"/>
        <v>1</v>
      </c>
    </row>
    <row r="620" spans="1:14" x14ac:dyDescent="0.35">
      <c r="A620" t="s">
        <v>2176</v>
      </c>
      <c r="B620" t="s">
        <v>481</v>
      </c>
      <c r="C620" t="s">
        <v>866</v>
      </c>
      <c r="D620">
        <v>25</v>
      </c>
      <c r="E620" t="s">
        <v>13</v>
      </c>
      <c r="F620" s="1">
        <v>44497</v>
      </c>
      <c r="G620" s="1">
        <v>46058</v>
      </c>
      <c r="H620" t="s">
        <v>14</v>
      </c>
      <c r="I620" s="2">
        <v>23525761</v>
      </c>
      <c r="J620">
        <v>261739</v>
      </c>
      <c r="K620" t="s">
        <v>30</v>
      </c>
      <c r="L620" t="str">
        <f t="shared" si="27"/>
        <v>Available</v>
      </c>
      <c r="M620">
        <f t="shared" si="28"/>
        <v>0</v>
      </c>
      <c r="N620">
        <f t="shared" si="29"/>
        <v>1</v>
      </c>
    </row>
    <row r="621" spans="1:14" x14ac:dyDescent="0.35">
      <c r="A621" t="s">
        <v>2177</v>
      </c>
      <c r="B621" t="s">
        <v>2803</v>
      </c>
      <c r="C621" t="s">
        <v>861</v>
      </c>
      <c r="D621">
        <v>32</v>
      </c>
      <c r="E621" t="s">
        <v>13</v>
      </c>
      <c r="F621" s="1">
        <v>44497</v>
      </c>
      <c r="G621" s="1">
        <v>46057</v>
      </c>
      <c r="H621" t="s">
        <v>14</v>
      </c>
      <c r="I621" s="2">
        <v>29373236</v>
      </c>
      <c r="J621">
        <v>264226</v>
      </c>
      <c r="K621" t="s">
        <v>15</v>
      </c>
      <c r="L621" t="str">
        <f t="shared" si="27"/>
        <v>Available</v>
      </c>
      <c r="M621">
        <f t="shared" si="28"/>
        <v>1</v>
      </c>
      <c r="N621">
        <f t="shared" si="29"/>
        <v>1</v>
      </c>
    </row>
    <row r="622" spans="1:14" x14ac:dyDescent="0.35">
      <c r="A622" t="s">
        <v>2178</v>
      </c>
      <c r="B622" t="s">
        <v>628</v>
      </c>
      <c r="C622" t="s">
        <v>867</v>
      </c>
      <c r="D622">
        <v>24</v>
      </c>
      <c r="E622" t="s">
        <v>13</v>
      </c>
      <c r="F622" s="1">
        <v>44937</v>
      </c>
      <c r="G622" s="1">
        <v>46055</v>
      </c>
      <c r="H622" t="s">
        <v>14</v>
      </c>
      <c r="I622" t="s">
        <v>2778</v>
      </c>
      <c r="J622">
        <v>261483</v>
      </c>
      <c r="K622" t="s">
        <v>30</v>
      </c>
      <c r="L622" t="str">
        <f t="shared" si="27"/>
        <v>Available</v>
      </c>
      <c r="M622">
        <f t="shared" si="28"/>
        <v>0</v>
      </c>
      <c r="N622">
        <f t="shared" si="29"/>
        <v>1</v>
      </c>
    </row>
    <row r="623" spans="1:14" x14ac:dyDescent="0.35">
      <c r="A623" t="s">
        <v>2179</v>
      </c>
      <c r="B623" t="s">
        <v>2817</v>
      </c>
      <c r="C623" t="s">
        <v>868</v>
      </c>
      <c r="D623">
        <v>25.5</v>
      </c>
      <c r="E623" t="s">
        <v>13</v>
      </c>
      <c r="F623" s="1">
        <v>44497</v>
      </c>
      <c r="G623" s="1">
        <v>46059</v>
      </c>
      <c r="H623" t="s">
        <v>14</v>
      </c>
      <c r="I623" s="2">
        <v>24830</v>
      </c>
      <c r="J623">
        <v>264207</v>
      </c>
      <c r="K623" t="s">
        <v>15</v>
      </c>
      <c r="L623" t="str">
        <f t="shared" si="27"/>
        <v>Available</v>
      </c>
      <c r="M623">
        <f t="shared" si="28"/>
        <v>1</v>
      </c>
      <c r="N623">
        <f t="shared" si="29"/>
        <v>1</v>
      </c>
    </row>
    <row r="624" spans="1:14" x14ac:dyDescent="0.35">
      <c r="A624" t="s">
        <v>2180</v>
      </c>
      <c r="B624" t="s">
        <v>870</v>
      </c>
      <c r="C624" t="s">
        <v>869</v>
      </c>
      <c r="D624">
        <v>24</v>
      </c>
      <c r="E624" t="s">
        <v>13</v>
      </c>
      <c r="F624" s="1">
        <v>44497</v>
      </c>
      <c r="G624" s="1">
        <v>45785</v>
      </c>
      <c r="H624" t="s">
        <v>14</v>
      </c>
      <c r="I624" t="s">
        <v>2778</v>
      </c>
      <c r="J624">
        <v>262044</v>
      </c>
      <c r="K624" t="s">
        <v>30</v>
      </c>
      <c r="L624" t="str">
        <f t="shared" si="27"/>
        <v>Available</v>
      </c>
      <c r="M624">
        <f t="shared" si="28"/>
        <v>0</v>
      </c>
      <c r="N624">
        <f t="shared" si="29"/>
        <v>1</v>
      </c>
    </row>
    <row r="625" spans="1:14" x14ac:dyDescent="0.35">
      <c r="A625" t="s">
        <v>2181</v>
      </c>
      <c r="B625" t="s">
        <v>2801</v>
      </c>
      <c r="C625" t="s">
        <v>871</v>
      </c>
      <c r="D625">
        <v>24</v>
      </c>
      <c r="E625" t="s">
        <v>13</v>
      </c>
      <c r="F625" s="1">
        <v>44497</v>
      </c>
      <c r="G625" s="1">
        <v>46056</v>
      </c>
      <c r="H625" t="s">
        <v>14</v>
      </c>
      <c r="I625" s="2">
        <v>16743249</v>
      </c>
      <c r="J625">
        <v>264119</v>
      </c>
      <c r="K625" t="s">
        <v>15</v>
      </c>
      <c r="L625" t="str">
        <f t="shared" si="27"/>
        <v>Available</v>
      </c>
      <c r="M625">
        <f t="shared" si="28"/>
        <v>1</v>
      </c>
      <c r="N625">
        <f t="shared" si="29"/>
        <v>1</v>
      </c>
    </row>
    <row r="626" spans="1:14" x14ac:dyDescent="0.35">
      <c r="A626" t="s">
        <v>2182</v>
      </c>
      <c r="B626" t="s">
        <v>2855</v>
      </c>
      <c r="C626" t="s">
        <v>872</v>
      </c>
      <c r="D626">
        <v>24</v>
      </c>
      <c r="E626" t="s">
        <v>13</v>
      </c>
      <c r="F626" s="1">
        <v>44497</v>
      </c>
      <c r="G626" s="1">
        <v>46059</v>
      </c>
      <c r="H626" t="s">
        <v>14</v>
      </c>
      <c r="I626" s="2">
        <v>18474763</v>
      </c>
      <c r="J626">
        <v>264081</v>
      </c>
      <c r="K626" t="s">
        <v>15</v>
      </c>
      <c r="L626" t="str">
        <f t="shared" si="27"/>
        <v>Available</v>
      </c>
      <c r="M626">
        <f t="shared" si="28"/>
        <v>1</v>
      </c>
      <c r="N626">
        <f t="shared" si="29"/>
        <v>1</v>
      </c>
    </row>
    <row r="627" spans="1:14" x14ac:dyDescent="0.35">
      <c r="A627" t="s">
        <v>2183</v>
      </c>
      <c r="B627" t="s">
        <v>439</v>
      </c>
      <c r="C627" t="s">
        <v>873</v>
      </c>
      <c r="D627">
        <v>24</v>
      </c>
      <c r="E627" t="s">
        <v>13</v>
      </c>
      <c r="F627" s="1">
        <v>44497</v>
      </c>
      <c r="G627" s="1">
        <v>46059</v>
      </c>
      <c r="H627" t="s">
        <v>14</v>
      </c>
      <c r="I627" s="2">
        <v>16987092</v>
      </c>
      <c r="J627">
        <v>261687</v>
      </c>
      <c r="K627" t="s">
        <v>30</v>
      </c>
      <c r="L627" t="str">
        <f t="shared" si="27"/>
        <v>Available</v>
      </c>
      <c r="M627">
        <f t="shared" si="28"/>
        <v>0</v>
      </c>
      <c r="N627">
        <f t="shared" si="29"/>
        <v>1</v>
      </c>
    </row>
    <row r="628" spans="1:14" x14ac:dyDescent="0.35">
      <c r="A628" t="s">
        <v>2184</v>
      </c>
      <c r="B628" t="s">
        <v>875</v>
      </c>
      <c r="C628" t="s">
        <v>874</v>
      </c>
      <c r="D628">
        <v>24</v>
      </c>
      <c r="E628" t="s">
        <v>13</v>
      </c>
      <c r="F628" s="1">
        <v>44713</v>
      </c>
      <c r="G628" s="1">
        <v>46057</v>
      </c>
      <c r="H628" t="s">
        <v>14</v>
      </c>
      <c r="I628" s="2">
        <v>21461326</v>
      </c>
      <c r="J628">
        <v>264728</v>
      </c>
      <c r="K628" t="s">
        <v>30</v>
      </c>
      <c r="L628" t="str">
        <f t="shared" si="27"/>
        <v>Available</v>
      </c>
      <c r="M628">
        <f t="shared" si="28"/>
        <v>0</v>
      </c>
      <c r="N628">
        <f t="shared" si="29"/>
        <v>1</v>
      </c>
    </row>
    <row r="629" spans="1:14" x14ac:dyDescent="0.35">
      <c r="A629" t="s">
        <v>2185</v>
      </c>
      <c r="B629" t="s">
        <v>2778</v>
      </c>
      <c r="C629" t="s">
        <v>876</v>
      </c>
      <c r="D629">
        <v>24</v>
      </c>
      <c r="E629" t="s">
        <v>13</v>
      </c>
      <c r="F629" s="1">
        <v>44500</v>
      </c>
      <c r="G629" s="1">
        <v>45952</v>
      </c>
      <c r="H629" t="s">
        <v>14</v>
      </c>
      <c r="I629" t="s">
        <v>2778</v>
      </c>
      <c r="J629">
        <v>264700</v>
      </c>
      <c r="K629" t="s">
        <v>15</v>
      </c>
      <c r="L629" t="str">
        <f t="shared" si="27"/>
        <v>Missing</v>
      </c>
      <c r="M629">
        <f t="shared" si="28"/>
        <v>1</v>
      </c>
      <c r="N629">
        <f t="shared" si="29"/>
        <v>0</v>
      </c>
    </row>
    <row r="630" spans="1:14" x14ac:dyDescent="0.35">
      <c r="A630" t="s">
        <v>2186</v>
      </c>
      <c r="B630" t="s">
        <v>12</v>
      </c>
      <c r="C630" t="s">
        <v>877</v>
      </c>
      <c r="D630">
        <v>45</v>
      </c>
      <c r="E630" t="s">
        <v>13</v>
      </c>
      <c r="F630" s="1">
        <v>44497</v>
      </c>
      <c r="G630" s="1">
        <v>46058</v>
      </c>
      <c r="H630" t="s">
        <v>14</v>
      </c>
      <c r="I630" s="2">
        <v>3240151</v>
      </c>
      <c r="J630">
        <v>266392</v>
      </c>
      <c r="K630" t="s">
        <v>15</v>
      </c>
      <c r="L630" t="str">
        <f t="shared" si="27"/>
        <v>Available</v>
      </c>
      <c r="M630">
        <f t="shared" si="28"/>
        <v>1</v>
      </c>
      <c r="N630">
        <f t="shared" si="29"/>
        <v>1</v>
      </c>
    </row>
    <row r="631" spans="1:14" x14ac:dyDescent="0.35">
      <c r="A631" t="s">
        <v>2187</v>
      </c>
      <c r="B631" t="s">
        <v>242</v>
      </c>
      <c r="C631" t="s">
        <v>879</v>
      </c>
      <c r="D631">
        <v>32</v>
      </c>
      <c r="E631" t="s">
        <v>13</v>
      </c>
      <c r="F631" s="1">
        <v>44500</v>
      </c>
      <c r="G631" s="1">
        <v>46059</v>
      </c>
      <c r="H631" t="s">
        <v>14</v>
      </c>
      <c r="I631" s="2">
        <v>227975</v>
      </c>
      <c r="J631">
        <v>262280</v>
      </c>
      <c r="K631" t="s">
        <v>30</v>
      </c>
      <c r="L631" t="str">
        <f t="shared" si="27"/>
        <v>Available</v>
      </c>
      <c r="M631">
        <f t="shared" si="28"/>
        <v>0</v>
      </c>
      <c r="N631">
        <f t="shared" si="29"/>
        <v>1</v>
      </c>
    </row>
    <row r="632" spans="1:14" x14ac:dyDescent="0.35">
      <c r="A632" t="s">
        <v>2188</v>
      </c>
      <c r="B632" t="s">
        <v>2778</v>
      </c>
      <c r="C632" t="s">
        <v>880</v>
      </c>
      <c r="D632">
        <v>12</v>
      </c>
      <c r="E632" t="s">
        <v>13</v>
      </c>
      <c r="F632" s="1">
        <v>45466</v>
      </c>
      <c r="G632" s="1">
        <v>46058</v>
      </c>
      <c r="H632" t="s">
        <v>14</v>
      </c>
      <c r="I632" t="s">
        <v>2778</v>
      </c>
      <c r="J632">
        <v>261529</v>
      </c>
      <c r="K632" t="s">
        <v>15</v>
      </c>
      <c r="L632" t="str">
        <f t="shared" si="27"/>
        <v>Missing</v>
      </c>
      <c r="M632">
        <f t="shared" si="28"/>
        <v>1</v>
      </c>
      <c r="N632">
        <f t="shared" si="29"/>
        <v>0</v>
      </c>
    </row>
    <row r="633" spans="1:14" x14ac:dyDescent="0.35">
      <c r="A633" t="s">
        <v>2189</v>
      </c>
      <c r="B633" t="s">
        <v>261</v>
      </c>
      <c r="C633" t="s">
        <v>881</v>
      </c>
      <c r="D633">
        <v>22.993169999999999</v>
      </c>
      <c r="E633" t="s">
        <v>35</v>
      </c>
      <c r="F633" s="1">
        <v>45233</v>
      </c>
      <c r="G633" s="1">
        <v>45995</v>
      </c>
      <c r="H633" t="s">
        <v>14</v>
      </c>
      <c r="I633" t="s">
        <v>2778</v>
      </c>
      <c r="J633">
        <v>264322</v>
      </c>
      <c r="K633" t="s">
        <v>30</v>
      </c>
      <c r="L633" t="str">
        <f t="shared" si="27"/>
        <v>Available</v>
      </c>
      <c r="M633">
        <f t="shared" si="28"/>
        <v>0</v>
      </c>
      <c r="N633">
        <f t="shared" si="29"/>
        <v>1</v>
      </c>
    </row>
    <row r="634" spans="1:14" x14ac:dyDescent="0.35">
      <c r="A634" t="s">
        <v>2190</v>
      </c>
      <c r="B634" t="s">
        <v>2790</v>
      </c>
      <c r="C634" t="s">
        <v>882</v>
      </c>
      <c r="D634">
        <v>24</v>
      </c>
      <c r="E634" t="s">
        <v>13</v>
      </c>
      <c r="F634" s="1">
        <v>44497</v>
      </c>
      <c r="G634" s="1">
        <v>46060</v>
      </c>
      <c r="H634" t="s">
        <v>14</v>
      </c>
      <c r="I634" s="2">
        <v>24808</v>
      </c>
      <c r="J634">
        <v>261749</v>
      </c>
      <c r="K634" t="s">
        <v>30</v>
      </c>
      <c r="L634" t="str">
        <f t="shared" si="27"/>
        <v>Available</v>
      </c>
      <c r="M634">
        <f t="shared" si="28"/>
        <v>0</v>
      </c>
      <c r="N634">
        <f t="shared" si="29"/>
        <v>1</v>
      </c>
    </row>
    <row r="635" spans="1:14" x14ac:dyDescent="0.35">
      <c r="A635" t="s">
        <v>2191</v>
      </c>
      <c r="B635" t="s">
        <v>2778</v>
      </c>
      <c r="C635" t="s">
        <v>883</v>
      </c>
      <c r="D635">
        <v>12.5</v>
      </c>
      <c r="E635" t="s">
        <v>13</v>
      </c>
      <c r="F635" s="1">
        <v>44551</v>
      </c>
      <c r="G635" s="1">
        <v>46059</v>
      </c>
      <c r="H635" t="s">
        <v>14</v>
      </c>
      <c r="I635" s="2">
        <v>25531376</v>
      </c>
      <c r="J635">
        <v>264374</v>
      </c>
      <c r="K635" t="s">
        <v>15</v>
      </c>
      <c r="L635" t="str">
        <f t="shared" si="27"/>
        <v>Missing</v>
      </c>
      <c r="M635">
        <f t="shared" si="28"/>
        <v>1</v>
      </c>
      <c r="N635">
        <f t="shared" si="29"/>
        <v>0</v>
      </c>
    </row>
    <row r="636" spans="1:14" x14ac:dyDescent="0.35">
      <c r="A636" t="s">
        <v>2192</v>
      </c>
      <c r="B636" t="s">
        <v>885</v>
      </c>
      <c r="C636" t="s">
        <v>884</v>
      </c>
      <c r="D636">
        <v>1</v>
      </c>
      <c r="E636" t="s">
        <v>13</v>
      </c>
      <c r="F636" s="1">
        <v>44497</v>
      </c>
      <c r="G636" s="1">
        <v>46059</v>
      </c>
      <c r="H636" t="s">
        <v>14</v>
      </c>
      <c r="I636" s="2">
        <v>1860340</v>
      </c>
      <c r="J636">
        <v>264376</v>
      </c>
      <c r="K636" t="s">
        <v>30</v>
      </c>
      <c r="L636" t="str">
        <f t="shared" si="27"/>
        <v>Available</v>
      </c>
      <c r="M636">
        <f t="shared" si="28"/>
        <v>0</v>
      </c>
      <c r="N636">
        <f t="shared" si="29"/>
        <v>1</v>
      </c>
    </row>
    <row r="637" spans="1:14" x14ac:dyDescent="0.35">
      <c r="A637" t="s">
        <v>2193</v>
      </c>
      <c r="B637" t="s">
        <v>2836</v>
      </c>
      <c r="C637" t="s">
        <v>886</v>
      </c>
      <c r="F637" s="1">
        <v>44866</v>
      </c>
      <c r="G637" s="1">
        <v>45099</v>
      </c>
      <c r="H637" t="s">
        <v>14</v>
      </c>
      <c r="I637" t="s">
        <v>2778</v>
      </c>
      <c r="J637">
        <v>261485</v>
      </c>
      <c r="K637" t="s">
        <v>15</v>
      </c>
      <c r="L637" t="str">
        <f t="shared" si="27"/>
        <v>Available</v>
      </c>
      <c r="M637">
        <f t="shared" si="28"/>
        <v>1</v>
      </c>
      <c r="N637">
        <f t="shared" si="29"/>
        <v>1</v>
      </c>
    </row>
    <row r="638" spans="1:14" x14ac:dyDescent="0.35">
      <c r="A638" t="s">
        <v>2194</v>
      </c>
      <c r="B638" t="s">
        <v>25</v>
      </c>
      <c r="C638" t="s">
        <v>887</v>
      </c>
      <c r="D638">
        <v>23</v>
      </c>
      <c r="E638" t="s">
        <v>13</v>
      </c>
      <c r="F638" s="1">
        <v>44497</v>
      </c>
      <c r="G638" s="1">
        <v>46055</v>
      </c>
      <c r="H638" t="s">
        <v>14</v>
      </c>
      <c r="I638" t="s">
        <v>2778</v>
      </c>
      <c r="J638">
        <v>266854</v>
      </c>
      <c r="K638" t="s">
        <v>15</v>
      </c>
      <c r="L638" t="str">
        <f t="shared" si="27"/>
        <v>Available</v>
      </c>
      <c r="M638">
        <f t="shared" si="28"/>
        <v>1</v>
      </c>
      <c r="N638">
        <f t="shared" si="29"/>
        <v>1</v>
      </c>
    </row>
    <row r="639" spans="1:14" x14ac:dyDescent="0.35">
      <c r="A639" t="s">
        <v>2195</v>
      </c>
      <c r="B639" t="s">
        <v>2826</v>
      </c>
      <c r="C639" t="s">
        <v>888</v>
      </c>
      <c r="D639">
        <v>16.5</v>
      </c>
      <c r="E639" t="s">
        <v>13</v>
      </c>
      <c r="F639" s="1">
        <v>45141</v>
      </c>
      <c r="G639" s="1">
        <v>46059</v>
      </c>
      <c r="H639" t="s">
        <v>14</v>
      </c>
      <c r="I639" s="2">
        <v>35586581</v>
      </c>
      <c r="J639">
        <v>264732</v>
      </c>
      <c r="K639" t="s">
        <v>15</v>
      </c>
      <c r="L639" t="str">
        <f t="shared" si="27"/>
        <v>Available</v>
      </c>
      <c r="M639">
        <f t="shared" si="28"/>
        <v>1</v>
      </c>
      <c r="N639">
        <f t="shared" si="29"/>
        <v>1</v>
      </c>
    </row>
    <row r="640" spans="1:14" x14ac:dyDescent="0.35">
      <c r="A640" t="s">
        <v>2196</v>
      </c>
      <c r="B640" t="s">
        <v>47</v>
      </c>
      <c r="C640" t="s">
        <v>889</v>
      </c>
      <c r="D640">
        <v>24</v>
      </c>
      <c r="E640" t="s">
        <v>13</v>
      </c>
      <c r="F640" s="1">
        <v>45013</v>
      </c>
      <c r="G640" s="1">
        <v>46060</v>
      </c>
      <c r="H640" t="s">
        <v>14</v>
      </c>
      <c r="I640" s="2">
        <v>29391723</v>
      </c>
      <c r="J640">
        <v>261819</v>
      </c>
      <c r="K640" t="s">
        <v>15</v>
      </c>
      <c r="L640" t="str">
        <f t="shared" si="27"/>
        <v>Available</v>
      </c>
      <c r="M640">
        <f t="shared" si="28"/>
        <v>1</v>
      </c>
      <c r="N640">
        <f t="shared" si="29"/>
        <v>1</v>
      </c>
    </row>
    <row r="641" spans="1:14" x14ac:dyDescent="0.35">
      <c r="A641" t="s">
        <v>2197</v>
      </c>
      <c r="B641" t="s">
        <v>25</v>
      </c>
      <c r="C641" t="s">
        <v>890</v>
      </c>
      <c r="D641">
        <v>45</v>
      </c>
      <c r="E641" t="s">
        <v>13</v>
      </c>
      <c r="F641" s="1">
        <v>44503</v>
      </c>
      <c r="G641" s="1">
        <v>46060</v>
      </c>
      <c r="H641" t="s">
        <v>14</v>
      </c>
      <c r="I641" s="2">
        <v>20020258</v>
      </c>
      <c r="J641">
        <v>267085</v>
      </c>
      <c r="K641" t="s">
        <v>30</v>
      </c>
      <c r="L641" t="str">
        <f t="shared" si="27"/>
        <v>Available</v>
      </c>
      <c r="M641">
        <f t="shared" si="28"/>
        <v>0</v>
      </c>
      <c r="N641">
        <f t="shared" si="29"/>
        <v>1</v>
      </c>
    </row>
    <row r="642" spans="1:14" x14ac:dyDescent="0.35">
      <c r="A642" t="s">
        <v>2198</v>
      </c>
      <c r="B642" t="s">
        <v>2790</v>
      </c>
      <c r="C642" t="s">
        <v>891</v>
      </c>
      <c r="D642">
        <v>32</v>
      </c>
      <c r="E642" t="s">
        <v>13</v>
      </c>
      <c r="F642" s="1">
        <v>44497</v>
      </c>
      <c r="G642" s="1">
        <v>46060</v>
      </c>
      <c r="H642" t="s">
        <v>14</v>
      </c>
      <c r="I642" s="2">
        <v>24809</v>
      </c>
      <c r="J642">
        <v>264298</v>
      </c>
      <c r="K642" t="s">
        <v>30</v>
      </c>
      <c r="L642" t="str">
        <f t="shared" si="27"/>
        <v>Available</v>
      </c>
      <c r="M642">
        <f t="shared" si="28"/>
        <v>0</v>
      </c>
      <c r="N642">
        <f t="shared" si="29"/>
        <v>1</v>
      </c>
    </row>
    <row r="643" spans="1:14" x14ac:dyDescent="0.35">
      <c r="A643" t="s">
        <v>2199</v>
      </c>
      <c r="B643" t="s">
        <v>2778</v>
      </c>
      <c r="C643" t="s">
        <v>892</v>
      </c>
      <c r="D643">
        <v>24</v>
      </c>
      <c r="E643" t="s">
        <v>13</v>
      </c>
      <c r="F643" s="1">
        <v>44697</v>
      </c>
      <c r="G643" s="1">
        <v>46059</v>
      </c>
      <c r="H643" t="s">
        <v>14</v>
      </c>
      <c r="I643" t="s">
        <v>2778</v>
      </c>
      <c r="J643">
        <v>264646</v>
      </c>
      <c r="K643" t="s">
        <v>30</v>
      </c>
      <c r="L643" t="str">
        <f t="shared" ref="L643:L706" si="30">IF(OR(B643="",ISBLANK(B643)),"Missing","Available")</f>
        <v>Missing</v>
      </c>
      <c r="M643">
        <f t="shared" ref="M643:M706" si="31">IF(K643="Mapped",1,0)</f>
        <v>0</v>
      </c>
      <c r="N643">
        <f t="shared" ref="N643:N706" si="32">IF(AND(B643&lt;&gt;"",A643&lt;&gt;""),1,0)</f>
        <v>0</v>
      </c>
    </row>
    <row r="644" spans="1:14" x14ac:dyDescent="0.35">
      <c r="A644" t="s">
        <v>2200</v>
      </c>
      <c r="B644" t="s">
        <v>2810</v>
      </c>
      <c r="C644" t="s">
        <v>893</v>
      </c>
      <c r="D644">
        <v>25</v>
      </c>
      <c r="E644" t="s">
        <v>13</v>
      </c>
      <c r="F644" s="1">
        <v>44497</v>
      </c>
      <c r="G644" s="1">
        <v>46059</v>
      </c>
      <c r="H644" t="s">
        <v>14</v>
      </c>
      <c r="I644" s="2">
        <v>53396</v>
      </c>
      <c r="J644">
        <v>262250</v>
      </c>
      <c r="K644" t="s">
        <v>30</v>
      </c>
      <c r="L644" t="str">
        <f t="shared" si="30"/>
        <v>Available</v>
      </c>
      <c r="M644">
        <f t="shared" si="31"/>
        <v>0</v>
      </c>
      <c r="N644">
        <f t="shared" si="32"/>
        <v>1</v>
      </c>
    </row>
    <row r="645" spans="1:14" x14ac:dyDescent="0.35">
      <c r="A645" t="s">
        <v>2201</v>
      </c>
      <c r="B645" t="s">
        <v>2868</v>
      </c>
      <c r="C645" t="s">
        <v>894</v>
      </c>
      <c r="D645">
        <v>33</v>
      </c>
      <c r="E645" t="s">
        <v>13</v>
      </c>
      <c r="F645" s="1">
        <v>44497</v>
      </c>
      <c r="G645" s="1">
        <v>46057</v>
      </c>
      <c r="H645" t="s">
        <v>14</v>
      </c>
      <c r="I645" t="s">
        <v>2778</v>
      </c>
      <c r="J645">
        <v>266993</v>
      </c>
      <c r="K645" t="s">
        <v>15</v>
      </c>
      <c r="L645" t="str">
        <f t="shared" si="30"/>
        <v>Available</v>
      </c>
      <c r="M645">
        <f t="shared" si="31"/>
        <v>1</v>
      </c>
      <c r="N645">
        <f t="shared" si="32"/>
        <v>1</v>
      </c>
    </row>
    <row r="646" spans="1:14" x14ac:dyDescent="0.35">
      <c r="A646" t="s">
        <v>2202</v>
      </c>
      <c r="B646" t="s">
        <v>58</v>
      </c>
      <c r="C646" t="s">
        <v>896</v>
      </c>
      <c r="D646">
        <v>24</v>
      </c>
      <c r="E646" t="s">
        <v>13</v>
      </c>
      <c r="F646" s="1">
        <v>44497</v>
      </c>
      <c r="G646" s="1">
        <v>46060</v>
      </c>
      <c r="H646" t="s">
        <v>14</v>
      </c>
      <c r="I646" s="2">
        <v>39367</v>
      </c>
      <c r="J646">
        <v>264560</v>
      </c>
      <c r="K646" t="s">
        <v>30</v>
      </c>
      <c r="L646" t="str">
        <f t="shared" si="30"/>
        <v>Available</v>
      </c>
      <c r="M646">
        <f t="shared" si="31"/>
        <v>0</v>
      </c>
      <c r="N646">
        <f t="shared" si="32"/>
        <v>1</v>
      </c>
    </row>
    <row r="647" spans="1:14" x14ac:dyDescent="0.35">
      <c r="A647" t="s">
        <v>2203</v>
      </c>
      <c r="B647" t="s">
        <v>2869</v>
      </c>
      <c r="C647" t="s">
        <v>897</v>
      </c>
      <c r="D647">
        <v>26</v>
      </c>
      <c r="E647" t="s">
        <v>13</v>
      </c>
      <c r="F647" s="1">
        <v>44514</v>
      </c>
      <c r="G647" s="1">
        <v>46055</v>
      </c>
      <c r="H647" t="s">
        <v>14</v>
      </c>
      <c r="I647" t="s">
        <v>2778</v>
      </c>
      <c r="J647">
        <v>264222</v>
      </c>
      <c r="K647" t="s">
        <v>15</v>
      </c>
      <c r="L647" t="str">
        <f t="shared" si="30"/>
        <v>Available</v>
      </c>
      <c r="M647">
        <f t="shared" si="31"/>
        <v>1</v>
      </c>
      <c r="N647">
        <f t="shared" si="32"/>
        <v>1</v>
      </c>
    </row>
    <row r="648" spans="1:14" x14ac:dyDescent="0.35">
      <c r="A648" t="s">
        <v>2204</v>
      </c>
      <c r="B648" t="s">
        <v>186</v>
      </c>
      <c r="C648" t="s">
        <v>899</v>
      </c>
      <c r="D648">
        <v>40</v>
      </c>
      <c r="E648" t="s">
        <v>13</v>
      </c>
      <c r="F648" s="1">
        <v>44499</v>
      </c>
      <c r="G648" s="1">
        <v>46059</v>
      </c>
      <c r="H648" t="s">
        <v>14</v>
      </c>
      <c r="I648" s="2">
        <v>2750364</v>
      </c>
      <c r="J648">
        <v>266495</v>
      </c>
      <c r="K648" t="s">
        <v>30</v>
      </c>
      <c r="L648" t="str">
        <f t="shared" si="30"/>
        <v>Available</v>
      </c>
      <c r="M648">
        <f t="shared" si="31"/>
        <v>0</v>
      </c>
      <c r="N648">
        <f t="shared" si="32"/>
        <v>1</v>
      </c>
    </row>
    <row r="649" spans="1:14" x14ac:dyDescent="0.35">
      <c r="A649" t="s">
        <v>2205</v>
      </c>
      <c r="B649" t="s">
        <v>2870</v>
      </c>
      <c r="C649" t="s">
        <v>900</v>
      </c>
      <c r="D649">
        <v>24</v>
      </c>
      <c r="E649" t="s">
        <v>13</v>
      </c>
      <c r="F649" s="1">
        <v>44500</v>
      </c>
      <c r="G649" s="1">
        <v>46059</v>
      </c>
      <c r="H649" t="s">
        <v>14</v>
      </c>
      <c r="I649" s="2">
        <v>19403202</v>
      </c>
      <c r="J649">
        <v>264252</v>
      </c>
      <c r="K649" t="s">
        <v>15</v>
      </c>
      <c r="L649" t="str">
        <f t="shared" si="30"/>
        <v>Available</v>
      </c>
      <c r="M649">
        <f t="shared" si="31"/>
        <v>1</v>
      </c>
      <c r="N649">
        <f t="shared" si="32"/>
        <v>1</v>
      </c>
    </row>
    <row r="650" spans="1:14" x14ac:dyDescent="0.35">
      <c r="A650" t="s">
        <v>2206</v>
      </c>
      <c r="B650" t="s">
        <v>903</v>
      </c>
      <c r="C650" t="s">
        <v>902</v>
      </c>
      <c r="D650">
        <v>24.5</v>
      </c>
      <c r="E650" t="s">
        <v>13</v>
      </c>
      <c r="F650" s="1">
        <v>44500</v>
      </c>
      <c r="G650" s="1">
        <v>46059</v>
      </c>
      <c r="H650" t="s">
        <v>14</v>
      </c>
      <c r="I650" s="2">
        <v>17769586</v>
      </c>
      <c r="J650">
        <v>266453</v>
      </c>
      <c r="K650" t="s">
        <v>30</v>
      </c>
      <c r="L650" t="str">
        <f t="shared" si="30"/>
        <v>Available</v>
      </c>
      <c r="M650">
        <f t="shared" si="31"/>
        <v>0</v>
      </c>
      <c r="N650">
        <f t="shared" si="32"/>
        <v>1</v>
      </c>
    </row>
    <row r="651" spans="1:14" x14ac:dyDescent="0.35">
      <c r="A651" t="s">
        <v>2207</v>
      </c>
      <c r="B651" t="s">
        <v>2808</v>
      </c>
      <c r="C651" t="s">
        <v>904</v>
      </c>
      <c r="D651">
        <v>24</v>
      </c>
      <c r="E651" t="s">
        <v>13</v>
      </c>
      <c r="F651" s="1">
        <v>44497</v>
      </c>
      <c r="G651" s="1">
        <v>46059</v>
      </c>
      <c r="H651" t="s">
        <v>14</v>
      </c>
      <c r="I651" s="2">
        <v>91493</v>
      </c>
      <c r="J651">
        <v>264553</v>
      </c>
      <c r="K651" t="s">
        <v>30</v>
      </c>
      <c r="L651" t="str">
        <f t="shared" si="30"/>
        <v>Available</v>
      </c>
      <c r="M651">
        <f t="shared" si="31"/>
        <v>0</v>
      </c>
      <c r="N651">
        <f t="shared" si="32"/>
        <v>1</v>
      </c>
    </row>
    <row r="652" spans="1:14" x14ac:dyDescent="0.35">
      <c r="A652" t="s">
        <v>2208</v>
      </c>
      <c r="B652" t="s">
        <v>2871</v>
      </c>
      <c r="C652" t="s">
        <v>905</v>
      </c>
      <c r="D652">
        <v>15</v>
      </c>
      <c r="E652" t="s">
        <v>13</v>
      </c>
      <c r="F652" s="1">
        <v>44497</v>
      </c>
      <c r="G652" s="1">
        <v>46056</v>
      </c>
      <c r="H652" t="s">
        <v>14</v>
      </c>
      <c r="I652" s="2">
        <v>22614730</v>
      </c>
      <c r="J652">
        <v>264277</v>
      </c>
      <c r="K652" t="s">
        <v>30</v>
      </c>
      <c r="L652" t="str">
        <f t="shared" si="30"/>
        <v>Available</v>
      </c>
      <c r="M652">
        <f t="shared" si="31"/>
        <v>0</v>
      </c>
      <c r="N652">
        <f t="shared" si="32"/>
        <v>1</v>
      </c>
    </row>
    <row r="653" spans="1:14" x14ac:dyDescent="0.35">
      <c r="A653" t="s">
        <v>2209</v>
      </c>
      <c r="B653" t="s">
        <v>2852</v>
      </c>
      <c r="C653" t="s">
        <v>907</v>
      </c>
      <c r="D653">
        <v>15.3</v>
      </c>
      <c r="E653" t="s">
        <v>13</v>
      </c>
      <c r="F653" s="1">
        <v>44497</v>
      </c>
      <c r="G653" s="1">
        <v>46059</v>
      </c>
      <c r="H653" t="s">
        <v>14</v>
      </c>
      <c r="I653" s="2">
        <v>292703</v>
      </c>
      <c r="J653">
        <v>264531</v>
      </c>
      <c r="K653" t="s">
        <v>15</v>
      </c>
      <c r="L653" t="str">
        <f t="shared" si="30"/>
        <v>Available</v>
      </c>
      <c r="M653">
        <f t="shared" si="31"/>
        <v>1</v>
      </c>
      <c r="N653">
        <f t="shared" si="32"/>
        <v>1</v>
      </c>
    </row>
    <row r="654" spans="1:14" x14ac:dyDescent="0.35">
      <c r="A654" t="s">
        <v>2210</v>
      </c>
      <c r="B654" t="s">
        <v>2778</v>
      </c>
      <c r="C654" t="s">
        <v>908</v>
      </c>
      <c r="D654">
        <v>2</v>
      </c>
      <c r="E654" t="s">
        <v>640</v>
      </c>
      <c r="F654" s="1">
        <v>44497</v>
      </c>
      <c r="G654" s="1">
        <v>46058</v>
      </c>
      <c r="H654" t="s">
        <v>14</v>
      </c>
      <c r="I654" s="2">
        <v>19102722</v>
      </c>
      <c r="J654">
        <v>267026</v>
      </c>
      <c r="K654" t="s">
        <v>30</v>
      </c>
      <c r="L654" t="str">
        <f t="shared" si="30"/>
        <v>Missing</v>
      </c>
      <c r="M654">
        <f t="shared" si="31"/>
        <v>0</v>
      </c>
      <c r="N654">
        <f t="shared" si="32"/>
        <v>0</v>
      </c>
    </row>
    <row r="655" spans="1:14" x14ac:dyDescent="0.35">
      <c r="A655" t="s">
        <v>2211</v>
      </c>
      <c r="B655" t="s">
        <v>152</v>
      </c>
      <c r="C655" t="s">
        <v>909</v>
      </c>
      <c r="D655">
        <v>24</v>
      </c>
      <c r="E655" t="s">
        <v>13</v>
      </c>
      <c r="F655" s="1">
        <v>44497</v>
      </c>
      <c r="G655" s="1">
        <v>46057</v>
      </c>
      <c r="H655" t="s">
        <v>14</v>
      </c>
      <c r="I655" t="s">
        <v>2778</v>
      </c>
      <c r="J655">
        <v>264074</v>
      </c>
      <c r="K655" t="s">
        <v>30</v>
      </c>
      <c r="L655" t="str">
        <f t="shared" si="30"/>
        <v>Available</v>
      </c>
      <c r="M655">
        <f t="shared" si="31"/>
        <v>0</v>
      </c>
      <c r="N655">
        <f t="shared" si="32"/>
        <v>1</v>
      </c>
    </row>
    <row r="656" spans="1:14" x14ac:dyDescent="0.35">
      <c r="A656" t="s">
        <v>2212</v>
      </c>
      <c r="B656" t="s">
        <v>521</v>
      </c>
      <c r="C656" t="s">
        <v>910</v>
      </c>
      <c r="D656">
        <v>36</v>
      </c>
      <c r="E656" t="s">
        <v>13</v>
      </c>
      <c r="F656" s="1">
        <v>44497</v>
      </c>
      <c r="G656" s="1">
        <v>46059</v>
      </c>
      <c r="H656" t="s">
        <v>14</v>
      </c>
      <c r="I656" s="2">
        <v>2631968</v>
      </c>
      <c r="J656">
        <v>266568</v>
      </c>
      <c r="K656" t="s">
        <v>30</v>
      </c>
      <c r="L656" t="str">
        <f t="shared" si="30"/>
        <v>Available</v>
      </c>
      <c r="M656">
        <f t="shared" si="31"/>
        <v>0</v>
      </c>
      <c r="N656">
        <f t="shared" si="32"/>
        <v>1</v>
      </c>
    </row>
    <row r="657" spans="1:14" x14ac:dyDescent="0.35">
      <c r="A657" t="s">
        <v>2213</v>
      </c>
      <c r="B657" t="s">
        <v>2872</v>
      </c>
      <c r="C657" t="s">
        <v>911</v>
      </c>
      <c r="D657">
        <v>25</v>
      </c>
      <c r="E657" t="s">
        <v>13</v>
      </c>
      <c r="F657" s="1">
        <v>45364</v>
      </c>
      <c r="G657" s="1">
        <v>46059</v>
      </c>
      <c r="H657" t="s">
        <v>14</v>
      </c>
      <c r="I657" s="2">
        <v>32558227</v>
      </c>
      <c r="J657">
        <v>264327</v>
      </c>
      <c r="K657" t="s">
        <v>30</v>
      </c>
      <c r="L657" t="str">
        <f t="shared" si="30"/>
        <v>Available</v>
      </c>
      <c r="M657">
        <f t="shared" si="31"/>
        <v>0</v>
      </c>
      <c r="N657">
        <f t="shared" si="32"/>
        <v>1</v>
      </c>
    </row>
    <row r="658" spans="1:14" x14ac:dyDescent="0.35">
      <c r="A658" t="s">
        <v>2214</v>
      </c>
      <c r="B658" t="s">
        <v>2797</v>
      </c>
      <c r="C658" t="s">
        <v>913</v>
      </c>
      <c r="D658">
        <v>22.993169999999999</v>
      </c>
      <c r="E658" t="s">
        <v>35</v>
      </c>
      <c r="F658" s="1">
        <v>44497</v>
      </c>
      <c r="G658" s="1">
        <v>46058</v>
      </c>
      <c r="H658" t="s">
        <v>14</v>
      </c>
      <c r="I658" t="s">
        <v>2778</v>
      </c>
      <c r="J658">
        <v>267000</v>
      </c>
      <c r="K658" t="s">
        <v>15</v>
      </c>
      <c r="L658" t="str">
        <f t="shared" si="30"/>
        <v>Available</v>
      </c>
      <c r="M658">
        <f t="shared" si="31"/>
        <v>1</v>
      </c>
      <c r="N658">
        <f t="shared" si="32"/>
        <v>1</v>
      </c>
    </row>
    <row r="659" spans="1:14" x14ac:dyDescent="0.35">
      <c r="A659" t="s">
        <v>2215</v>
      </c>
      <c r="B659" t="s">
        <v>915</v>
      </c>
      <c r="C659" t="s">
        <v>914</v>
      </c>
      <c r="D659">
        <v>12.88</v>
      </c>
      <c r="E659" t="s">
        <v>13</v>
      </c>
      <c r="F659" s="1">
        <v>44854</v>
      </c>
      <c r="G659" s="1">
        <v>46056</v>
      </c>
      <c r="H659" t="s">
        <v>14</v>
      </c>
      <c r="I659" s="2">
        <v>28724900</v>
      </c>
      <c r="J659">
        <v>267093</v>
      </c>
      <c r="K659" t="s">
        <v>30</v>
      </c>
      <c r="L659" t="str">
        <f t="shared" si="30"/>
        <v>Available</v>
      </c>
      <c r="M659">
        <f t="shared" si="31"/>
        <v>0</v>
      </c>
      <c r="N659">
        <f t="shared" si="32"/>
        <v>1</v>
      </c>
    </row>
    <row r="660" spans="1:14" x14ac:dyDescent="0.35">
      <c r="A660" t="s">
        <v>2216</v>
      </c>
      <c r="B660" t="s">
        <v>2800</v>
      </c>
      <c r="C660" t="s">
        <v>916</v>
      </c>
      <c r="D660">
        <v>32</v>
      </c>
      <c r="E660" t="s">
        <v>13</v>
      </c>
      <c r="F660" s="1">
        <v>44497</v>
      </c>
      <c r="G660" s="1">
        <v>46058</v>
      </c>
      <c r="H660" t="s">
        <v>14</v>
      </c>
      <c r="I660" s="2">
        <v>21008214</v>
      </c>
      <c r="J660">
        <v>262157</v>
      </c>
      <c r="K660" t="s">
        <v>30</v>
      </c>
      <c r="L660" t="str">
        <f t="shared" si="30"/>
        <v>Available</v>
      </c>
      <c r="M660">
        <f t="shared" si="31"/>
        <v>0</v>
      </c>
      <c r="N660">
        <f t="shared" si="32"/>
        <v>1</v>
      </c>
    </row>
    <row r="661" spans="1:14" x14ac:dyDescent="0.35">
      <c r="A661" t="s">
        <v>2217</v>
      </c>
      <c r="B661" t="s">
        <v>12</v>
      </c>
      <c r="C661" t="s">
        <v>917</v>
      </c>
      <c r="D661">
        <v>23.5</v>
      </c>
      <c r="E661" t="s">
        <v>13</v>
      </c>
      <c r="F661" s="1">
        <v>44497</v>
      </c>
      <c r="G661" s="1">
        <v>46059</v>
      </c>
      <c r="H661" t="s">
        <v>14</v>
      </c>
      <c r="I661" s="2">
        <v>73922</v>
      </c>
      <c r="J661">
        <v>262190</v>
      </c>
      <c r="K661" t="s">
        <v>30</v>
      </c>
      <c r="L661" t="str">
        <f t="shared" si="30"/>
        <v>Available</v>
      </c>
      <c r="M661">
        <f t="shared" si="31"/>
        <v>0</v>
      </c>
      <c r="N661">
        <f t="shared" si="32"/>
        <v>1</v>
      </c>
    </row>
    <row r="662" spans="1:14" x14ac:dyDescent="0.35">
      <c r="A662" t="s">
        <v>2218</v>
      </c>
      <c r="B662" t="s">
        <v>112</v>
      </c>
      <c r="C662" t="s">
        <v>918</v>
      </c>
      <c r="D662">
        <v>23.5</v>
      </c>
      <c r="E662" t="s">
        <v>13</v>
      </c>
      <c r="F662" s="1">
        <v>44822</v>
      </c>
      <c r="G662" s="1">
        <v>46059</v>
      </c>
      <c r="H662" t="s">
        <v>14</v>
      </c>
      <c r="I662" s="2">
        <v>27760975</v>
      </c>
      <c r="J662">
        <v>261616</v>
      </c>
      <c r="K662" t="s">
        <v>30</v>
      </c>
      <c r="L662" t="str">
        <f t="shared" si="30"/>
        <v>Available</v>
      </c>
      <c r="M662">
        <f t="shared" si="31"/>
        <v>0</v>
      </c>
      <c r="N662">
        <f t="shared" si="32"/>
        <v>1</v>
      </c>
    </row>
    <row r="663" spans="1:14" x14ac:dyDescent="0.35">
      <c r="A663" t="s">
        <v>2219</v>
      </c>
      <c r="B663" t="s">
        <v>2778</v>
      </c>
      <c r="C663" t="s">
        <v>919</v>
      </c>
      <c r="D663">
        <v>16</v>
      </c>
      <c r="E663" t="s">
        <v>13</v>
      </c>
      <c r="F663" s="1">
        <v>45050</v>
      </c>
      <c r="G663" s="1">
        <v>46058</v>
      </c>
      <c r="H663" t="s">
        <v>14</v>
      </c>
      <c r="I663" t="s">
        <v>2778</v>
      </c>
      <c r="J663">
        <v>261594</v>
      </c>
      <c r="K663" t="s">
        <v>30</v>
      </c>
      <c r="L663" t="str">
        <f t="shared" si="30"/>
        <v>Missing</v>
      </c>
      <c r="M663">
        <f t="shared" si="31"/>
        <v>0</v>
      </c>
      <c r="N663">
        <f t="shared" si="32"/>
        <v>0</v>
      </c>
    </row>
    <row r="664" spans="1:14" x14ac:dyDescent="0.35">
      <c r="A664" t="s">
        <v>2220</v>
      </c>
      <c r="B664" t="s">
        <v>27</v>
      </c>
      <c r="C664" t="s">
        <v>920</v>
      </c>
      <c r="D664">
        <v>24</v>
      </c>
      <c r="E664" t="s">
        <v>13</v>
      </c>
      <c r="F664" s="1">
        <v>44497</v>
      </c>
      <c r="G664" s="1">
        <v>46058</v>
      </c>
      <c r="H664" t="s">
        <v>14</v>
      </c>
      <c r="I664" s="2">
        <v>3357878</v>
      </c>
      <c r="J664">
        <v>261534</v>
      </c>
      <c r="K664" t="s">
        <v>15</v>
      </c>
      <c r="L664" t="str">
        <f t="shared" si="30"/>
        <v>Available</v>
      </c>
      <c r="M664">
        <f t="shared" si="31"/>
        <v>1</v>
      </c>
      <c r="N664">
        <f t="shared" si="32"/>
        <v>1</v>
      </c>
    </row>
    <row r="665" spans="1:14" x14ac:dyDescent="0.35">
      <c r="A665" t="s">
        <v>2221</v>
      </c>
      <c r="B665" t="s">
        <v>41</v>
      </c>
      <c r="C665" t="s">
        <v>921</v>
      </c>
      <c r="D665">
        <v>9.8000000000000007</v>
      </c>
      <c r="E665" t="s">
        <v>13</v>
      </c>
      <c r="F665" s="1">
        <v>44497</v>
      </c>
      <c r="G665" s="1">
        <v>45841</v>
      </c>
      <c r="H665" t="s">
        <v>14</v>
      </c>
      <c r="I665" t="s">
        <v>2778</v>
      </c>
      <c r="J665">
        <v>262046</v>
      </c>
      <c r="K665" t="s">
        <v>30</v>
      </c>
      <c r="L665" t="str">
        <f t="shared" si="30"/>
        <v>Available</v>
      </c>
      <c r="M665">
        <f t="shared" si="31"/>
        <v>0</v>
      </c>
      <c r="N665">
        <f t="shared" si="32"/>
        <v>1</v>
      </c>
    </row>
    <row r="666" spans="1:14" x14ac:dyDescent="0.35">
      <c r="A666" t="s">
        <v>2222</v>
      </c>
      <c r="B666" t="s">
        <v>2778</v>
      </c>
      <c r="C666" t="s">
        <v>922</v>
      </c>
      <c r="D666">
        <v>24</v>
      </c>
      <c r="E666" t="s">
        <v>13</v>
      </c>
      <c r="F666" s="1">
        <v>45911</v>
      </c>
      <c r="G666" s="1">
        <v>46058</v>
      </c>
      <c r="H666" t="s">
        <v>14</v>
      </c>
      <c r="I666" s="2">
        <v>86859815</v>
      </c>
      <c r="J666">
        <v>261681</v>
      </c>
      <c r="K666" t="s">
        <v>30</v>
      </c>
      <c r="L666" t="str">
        <f t="shared" si="30"/>
        <v>Missing</v>
      </c>
      <c r="M666">
        <f t="shared" si="31"/>
        <v>0</v>
      </c>
      <c r="N666">
        <f t="shared" si="32"/>
        <v>0</v>
      </c>
    </row>
    <row r="667" spans="1:14" x14ac:dyDescent="0.35">
      <c r="A667" t="s">
        <v>2223</v>
      </c>
      <c r="B667" t="s">
        <v>152</v>
      </c>
      <c r="C667" t="s">
        <v>923</v>
      </c>
      <c r="D667">
        <v>26</v>
      </c>
      <c r="E667" t="s">
        <v>13</v>
      </c>
      <c r="F667" s="1">
        <v>44497</v>
      </c>
      <c r="G667" s="1">
        <v>46057</v>
      </c>
      <c r="H667" t="s">
        <v>14</v>
      </c>
      <c r="I667" t="s">
        <v>2778</v>
      </c>
      <c r="J667">
        <v>267020</v>
      </c>
      <c r="K667" t="s">
        <v>15</v>
      </c>
      <c r="L667" t="str">
        <f t="shared" si="30"/>
        <v>Available</v>
      </c>
      <c r="M667">
        <f t="shared" si="31"/>
        <v>1</v>
      </c>
      <c r="N667">
        <f t="shared" si="32"/>
        <v>1</v>
      </c>
    </row>
    <row r="668" spans="1:14" x14ac:dyDescent="0.35">
      <c r="A668" t="s">
        <v>2224</v>
      </c>
      <c r="B668" t="s">
        <v>27</v>
      </c>
      <c r="C668" t="s">
        <v>924</v>
      </c>
      <c r="D668">
        <v>24</v>
      </c>
      <c r="E668" t="s">
        <v>13</v>
      </c>
      <c r="F668" s="1">
        <v>44497</v>
      </c>
      <c r="G668" s="1">
        <v>46060</v>
      </c>
      <c r="H668" t="s">
        <v>14</v>
      </c>
      <c r="I668" s="2">
        <v>73889</v>
      </c>
      <c r="J668">
        <v>261489</v>
      </c>
      <c r="K668" t="s">
        <v>15</v>
      </c>
      <c r="L668" t="str">
        <f t="shared" si="30"/>
        <v>Available</v>
      </c>
      <c r="M668">
        <f t="shared" si="31"/>
        <v>1</v>
      </c>
      <c r="N668">
        <f t="shared" si="32"/>
        <v>1</v>
      </c>
    </row>
    <row r="669" spans="1:14" x14ac:dyDescent="0.35">
      <c r="A669" t="s">
        <v>2225</v>
      </c>
      <c r="B669" t="s">
        <v>926</v>
      </c>
      <c r="C669" t="s">
        <v>925</v>
      </c>
      <c r="D669">
        <v>24</v>
      </c>
      <c r="E669" t="s">
        <v>13</v>
      </c>
      <c r="F669" s="1">
        <v>44500</v>
      </c>
      <c r="G669" s="1">
        <v>46051</v>
      </c>
      <c r="H669" t="s">
        <v>14</v>
      </c>
      <c r="I669" t="s">
        <v>2778</v>
      </c>
      <c r="J669">
        <v>266375</v>
      </c>
      <c r="K669" t="s">
        <v>30</v>
      </c>
      <c r="L669" t="str">
        <f t="shared" si="30"/>
        <v>Available</v>
      </c>
      <c r="M669">
        <f t="shared" si="31"/>
        <v>0</v>
      </c>
      <c r="N669">
        <f t="shared" si="32"/>
        <v>1</v>
      </c>
    </row>
    <row r="670" spans="1:14" x14ac:dyDescent="0.35">
      <c r="A670" t="s">
        <v>2226</v>
      </c>
      <c r="B670" t="s">
        <v>2873</v>
      </c>
      <c r="C670" t="s">
        <v>928</v>
      </c>
      <c r="D670">
        <v>32</v>
      </c>
      <c r="E670" t="s">
        <v>13</v>
      </c>
      <c r="F670" s="1">
        <v>44497</v>
      </c>
      <c r="G670" s="1">
        <v>46059</v>
      </c>
      <c r="H670" t="s">
        <v>14</v>
      </c>
      <c r="I670" s="2">
        <v>303442</v>
      </c>
      <c r="J670">
        <v>261831</v>
      </c>
      <c r="K670" t="s">
        <v>30</v>
      </c>
      <c r="L670" t="str">
        <f t="shared" si="30"/>
        <v>Available</v>
      </c>
      <c r="M670">
        <f t="shared" si="31"/>
        <v>0</v>
      </c>
      <c r="N670">
        <f t="shared" si="32"/>
        <v>1</v>
      </c>
    </row>
    <row r="671" spans="1:14" x14ac:dyDescent="0.35">
      <c r="A671" t="s">
        <v>2227</v>
      </c>
      <c r="B671" t="s">
        <v>2791</v>
      </c>
      <c r="C671" t="s">
        <v>930</v>
      </c>
      <c r="D671">
        <v>23.25</v>
      </c>
      <c r="E671" t="s">
        <v>13</v>
      </c>
      <c r="F671" s="1">
        <v>45011</v>
      </c>
      <c r="G671" s="1">
        <v>46057</v>
      </c>
      <c r="H671" t="s">
        <v>14</v>
      </c>
      <c r="I671" s="2">
        <v>29476586</v>
      </c>
      <c r="J671">
        <v>262033</v>
      </c>
      <c r="K671" t="s">
        <v>15</v>
      </c>
      <c r="L671" t="str">
        <f t="shared" si="30"/>
        <v>Available</v>
      </c>
      <c r="M671">
        <f t="shared" si="31"/>
        <v>1</v>
      </c>
      <c r="N671">
        <f t="shared" si="32"/>
        <v>1</v>
      </c>
    </row>
    <row r="672" spans="1:14" x14ac:dyDescent="0.35">
      <c r="A672" t="s">
        <v>2228</v>
      </c>
      <c r="B672" t="s">
        <v>746</v>
      </c>
      <c r="C672" t="s">
        <v>931</v>
      </c>
      <c r="D672">
        <v>32</v>
      </c>
      <c r="E672" t="s">
        <v>13</v>
      </c>
      <c r="F672" s="1">
        <v>44497</v>
      </c>
      <c r="G672" s="1">
        <v>46059</v>
      </c>
      <c r="H672" t="s">
        <v>14</v>
      </c>
      <c r="I672" s="2">
        <v>16948735</v>
      </c>
      <c r="J672">
        <v>264341</v>
      </c>
      <c r="K672" t="s">
        <v>30</v>
      </c>
      <c r="L672" t="str">
        <f t="shared" si="30"/>
        <v>Available</v>
      </c>
      <c r="M672">
        <f t="shared" si="31"/>
        <v>0</v>
      </c>
      <c r="N672">
        <f t="shared" si="32"/>
        <v>1</v>
      </c>
    </row>
    <row r="673" spans="1:14" x14ac:dyDescent="0.35">
      <c r="A673" t="s">
        <v>2229</v>
      </c>
      <c r="B673" t="s">
        <v>2874</v>
      </c>
      <c r="C673" t="s">
        <v>932</v>
      </c>
      <c r="D673">
        <v>24</v>
      </c>
      <c r="E673" t="s">
        <v>13</v>
      </c>
      <c r="F673" s="1">
        <v>45337</v>
      </c>
      <c r="G673" s="1">
        <v>46055</v>
      </c>
      <c r="H673" t="s">
        <v>14</v>
      </c>
      <c r="I673" t="s">
        <v>2778</v>
      </c>
      <c r="J673">
        <v>264364</v>
      </c>
      <c r="K673" t="s">
        <v>30</v>
      </c>
      <c r="L673" t="str">
        <f t="shared" si="30"/>
        <v>Available</v>
      </c>
      <c r="M673">
        <f t="shared" si="31"/>
        <v>0</v>
      </c>
      <c r="N673">
        <f t="shared" si="32"/>
        <v>1</v>
      </c>
    </row>
    <row r="674" spans="1:14" x14ac:dyDescent="0.35">
      <c r="A674" t="s">
        <v>2230</v>
      </c>
      <c r="B674" t="s">
        <v>27</v>
      </c>
      <c r="C674" t="s">
        <v>934</v>
      </c>
      <c r="D674">
        <v>24</v>
      </c>
      <c r="E674" t="s">
        <v>13</v>
      </c>
      <c r="F674" s="1">
        <v>45347</v>
      </c>
      <c r="G674" s="1">
        <v>46059</v>
      </c>
      <c r="H674" t="s">
        <v>14</v>
      </c>
      <c r="I674" s="2">
        <v>44068247</v>
      </c>
      <c r="J674">
        <v>266320</v>
      </c>
      <c r="K674" t="s">
        <v>15</v>
      </c>
      <c r="L674" t="str">
        <f t="shared" si="30"/>
        <v>Available</v>
      </c>
      <c r="M674">
        <f t="shared" si="31"/>
        <v>1</v>
      </c>
      <c r="N674">
        <f t="shared" si="32"/>
        <v>1</v>
      </c>
    </row>
    <row r="675" spans="1:14" x14ac:dyDescent="0.35">
      <c r="A675" t="s">
        <v>2231</v>
      </c>
      <c r="B675" t="s">
        <v>25</v>
      </c>
      <c r="C675" t="s">
        <v>935</v>
      </c>
      <c r="D675">
        <v>23.5</v>
      </c>
      <c r="E675" t="s">
        <v>13</v>
      </c>
      <c r="F675" s="1">
        <v>45088</v>
      </c>
      <c r="G675" s="1">
        <v>46059</v>
      </c>
      <c r="H675" t="s">
        <v>14</v>
      </c>
      <c r="I675" s="2">
        <v>29627839</v>
      </c>
      <c r="J675">
        <v>264158</v>
      </c>
      <c r="K675" t="s">
        <v>15</v>
      </c>
      <c r="L675" t="str">
        <f t="shared" si="30"/>
        <v>Available</v>
      </c>
      <c r="M675">
        <f t="shared" si="31"/>
        <v>1</v>
      </c>
      <c r="N675">
        <f t="shared" si="32"/>
        <v>1</v>
      </c>
    </row>
    <row r="676" spans="1:14" x14ac:dyDescent="0.35">
      <c r="A676" t="s">
        <v>2232</v>
      </c>
      <c r="B676" t="s">
        <v>445</v>
      </c>
      <c r="C676" t="s">
        <v>937</v>
      </c>
      <c r="D676">
        <v>28</v>
      </c>
      <c r="E676" t="s">
        <v>13</v>
      </c>
      <c r="F676" s="1">
        <v>44497</v>
      </c>
      <c r="G676" s="1">
        <v>46059</v>
      </c>
      <c r="H676" t="s">
        <v>14</v>
      </c>
      <c r="I676" s="2">
        <v>16971687</v>
      </c>
      <c r="J676">
        <v>266281</v>
      </c>
      <c r="K676" t="s">
        <v>30</v>
      </c>
      <c r="L676" t="str">
        <f t="shared" si="30"/>
        <v>Available</v>
      </c>
      <c r="M676">
        <f t="shared" si="31"/>
        <v>0</v>
      </c>
      <c r="N676">
        <f t="shared" si="32"/>
        <v>1</v>
      </c>
    </row>
    <row r="677" spans="1:14" x14ac:dyDescent="0.35">
      <c r="A677" t="s">
        <v>2233</v>
      </c>
      <c r="B677" t="s">
        <v>118</v>
      </c>
      <c r="C677" t="s">
        <v>938</v>
      </c>
      <c r="D677">
        <v>24</v>
      </c>
      <c r="E677" t="s">
        <v>13</v>
      </c>
      <c r="F677" s="1">
        <v>45459</v>
      </c>
      <c r="G677" s="1">
        <v>46059</v>
      </c>
      <c r="H677" t="s">
        <v>14</v>
      </c>
      <c r="I677" s="2">
        <v>29358645</v>
      </c>
      <c r="J677">
        <v>264052</v>
      </c>
      <c r="K677" t="s">
        <v>30</v>
      </c>
      <c r="L677" t="str">
        <f t="shared" si="30"/>
        <v>Available</v>
      </c>
      <c r="M677">
        <f t="shared" si="31"/>
        <v>0</v>
      </c>
      <c r="N677">
        <f t="shared" si="32"/>
        <v>1</v>
      </c>
    </row>
    <row r="678" spans="1:14" x14ac:dyDescent="0.35">
      <c r="A678" t="s">
        <v>2234</v>
      </c>
      <c r="B678" t="s">
        <v>27</v>
      </c>
      <c r="C678" t="s">
        <v>939</v>
      </c>
      <c r="D678">
        <v>24.7</v>
      </c>
      <c r="E678" t="s">
        <v>13</v>
      </c>
      <c r="F678" s="1">
        <v>44497</v>
      </c>
      <c r="G678" s="1">
        <v>46059</v>
      </c>
      <c r="H678" t="s">
        <v>14</v>
      </c>
      <c r="I678" s="2">
        <v>23836539</v>
      </c>
      <c r="J678">
        <v>264340</v>
      </c>
      <c r="K678" t="s">
        <v>15</v>
      </c>
      <c r="L678" t="str">
        <f t="shared" si="30"/>
        <v>Available</v>
      </c>
      <c r="M678">
        <f t="shared" si="31"/>
        <v>1</v>
      </c>
      <c r="N678">
        <f t="shared" si="32"/>
        <v>1</v>
      </c>
    </row>
    <row r="679" spans="1:14" x14ac:dyDescent="0.35">
      <c r="A679" t="s">
        <v>2235</v>
      </c>
      <c r="B679" t="s">
        <v>2804</v>
      </c>
      <c r="C679" t="s">
        <v>940</v>
      </c>
      <c r="D679">
        <v>24</v>
      </c>
      <c r="E679" t="s">
        <v>13</v>
      </c>
      <c r="F679" s="1">
        <v>44497</v>
      </c>
      <c r="G679" s="1">
        <v>46059</v>
      </c>
      <c r="H679" t="s">
        <v>14</v>
      </c>
      <c r="I679" s="2">
        <v>19977903</v>
      </c>
      <c r="J679">
        <v>266594</v>
      </c>
      <c r="K679" t="s">
        <v>30</v>
      </c>
      <c r="L679" t="str">
        <f t="shared" si="30"/>
        <v>Available</v>
      </c>
      <c r="M679">
        <f t="shared" si="31"/>
        <v>0</v>
      </c>
      <c r="N679">
        <f t="shared" si="32"/>
        <v>1</v>
      </c>
    </row>
    <row r="680" spans="1:14" x14ac:dyDescent="0.35">
      <c r="A680" t="s">
        <v>2236</v>
      </c>
      <c r="B680" t="s">
        <v>261</v>
      </c>
      <c r="C680" t="s">
        <v>941</v>
      </c>
      <c r="D680">
        <v>16.906742000000001</v>
      </c>
      <c r="E680" t="s">
        <v>35</v>
      </c>
      <c r="F680" s="1">
        <v>45218</v>
      </c>
      <c r="G680" s="1">
        <v>46019</v>
      </c>
      <c r="H680" t="s">
        <v>14</v>
      </c>
      <c r="I680" t="s">
        <v>2778</v>
      </c>
      <c r="J680">
        <v>266311</v>
      </c>
      <c r="K680" t="s">
        <v>15</v>
      </c>
      <c r="L680" t="str">
        <f t="shared" si="30"/>
        <v>Available</v>
      </c>
      <c r="M680">
        <f t="shared" si="31"/>
        <v>1</v>
      </c>
      <c r="N680">
        <f t="shared" si="32"/>
        <v>1</v>
      </c>
    </row>
    <row r="681" spans="1:14" x14ac:dyDescent="0.35">
      <c r="A681" t="s">
        <v>2237</v>
      </c>
      <c r="B681" t="s">
        <v>58</v>
      </c>
      <c r="C681" t="s">
        <v>942</v>
      </c>
      <c r="D681">
        <v>3</v>
      </c>
      <c r="E681" t="s">
        <v>640</v>
      </c>
      <c r="F681" s="1">
        <v>44592</v>
      </c>
      <c r="G681" s="1">
        <v>46045</v>
      </c>
      <c r="H681" t="s">
        <v>14</v>
      </c>
      <c r="I681" s="2">
        <v>32840</v>
      </c>
      <c r="J681">
        <v>264715</v>
      </c>
      <c r="K681" t="s">
        <v>30</v>
      </c>
      <c r="L681" t="str">
        <f t="shared" si="30"/>
        <v>Available</v>
      </c>
      <c r="M681">
        <f t="shared" si="31"/>
        <v>0</v>
      </c>
      <c r="N681">
        <f t="shared" si="32"/>
        <v>1</v>
      </c>
    </row>
    <row r="682" spans="1:14" x14ac:dyDescent="0.35">
      <c r="A682" t="s">
        <v>2238</v>
      </c>
      <c r="B682" t="s">
        <v>2835</v>
      </c>
      <c r="C682" t="s">
        <v>943</v>
      </c>
      <c r="D682">
        <v>13.9</v>
      </c>
      <c r="E682" t="s">
        <v>13</v>
      </c>
      <c r="F682" s="1">
        <v>45721</v>
      </c>
      <c r="G682" s="1">
        <v>46057</v>
      </c>
      <c r="H682" t="s">
        <v>14</v>
      </c>
      <c r="I682" t="s">
        <v>2778</v>
      </c>
      <c r="J682">
        <v>264412</v>
      </c>
      <c r="K682" t="s">
        <v>15</v>
      </c>
      <c r="L682" t="str">
        <f t="shared" si="30"/>
        <v>Available</v>
      </c>
      <c r="M682">
        <f t="shared" si="31"/>
        <v>1</v>
      </c>
      <c r="N682">
        <f t="shared" si="32"/>
        <v>1</v>
      </c>
    </row>
    <row r="683" spans="1:14" x14ac:dyDescent="0.35">
      <c r="A683" t="s">
        <v>2239</v>
      </c>
      <c r="B683" t="s">
        <v>2819</v>
      </c>
      <c r="C683" t="s">
        <v>944</v>
      </c>
      <c r="D683">
        <v>24</v>
      </c>
      <c r="E683" t="s">
        <v>13</v>
      </c>
      <c r="F683" s="1">
        <v>45805</v>
      </c>
      <c r="G683" s="1">
        <v>45952</v>
      </c>
      <c r="H683" t="s">
        <v>14</v>
      </c>
      <c r="I683" t="s">
        <v>2778</v>
      </c>
      <c r="J683">
        <v>264097</v>
      </c>
      <c r="K683" t="s">
        <v>15</v>
      </c>
      <c r="L683" t="str">
        <f t="shared" si="30"/>
        <v>Available</v>
      </c>
      <c r="M683">
        <f t="shared" si="31"/>
        <v>1</v>
      </c>
      <c r="N683">
        <f t="shared" si="32"/>
        <v>1</v>
      </c>
    </row>
    <row r="684" spans="1:14" x14ac:dyDescent="0.35">
      <c r="A684" t="s">
        <v>2240</v>
      </c>
      <c r="B684" t="s">
        <v>708</v>
      </c>
      <c r="C684" t="s">
        <v>945</v>
      </c>
      <c r="D684">
        <v>24</v>
      </c>
      <c r="E684" t="s">
        <v>13</v>
      </c>
      <c r="F684" s="1">
        <v>44507</v>
      </c>
      <c r="G684" s="1">
        <v>46059</v>
      </c>
      <c r="H684" t="s">
        <v>14</v>
      </c>
      <c r="I684" s="2">
        <v>25029414</v>
      </c>
      <c r="J684">
        <v>264056</v>
      </c>
      <c r="K684" t="s">
        <v>30</v>
      </c>
      <c r="L684" t="str">
        <f t="shared" si="30"/>
        <v>Available</v>
      </c>
      <c r="M684">
        <f t="shared" si="31"/>
        <v>0</v>
      </c>
      <c r="N684">
        <f t="shared" si="32"/>
        <v>1</v>
      </c>
    </row>
    <row r="685" spans="1:14" x14ac:dyDescent="0.35">
      <c r="A685" t="s">
        <v>2241</v>
      </c>
      <c r="B685" t="s">
        <v>947</v>
      </c>
      <c r="C685" t="s">
        <v>946</v>
      </c>
      <c r="D685">
        <v>1</v>
      </c>
      <c r="E685" t="s">
        <v>640</v>
      </c>
      <c r="F685" s="1">
        <v>45189</v>
      </c>
      <c r="G685" s="1">
        <v>46059</v>
      </c>
      <c r="H685" t="s">
        <v>14</v>
      </c>
      <c r="I685" t="s">
        <v>2778</v>
      </c>
      <c r="J685">
        <v>266294</v>
      </c>
      <c r="K685" t="s">
        <v>15</v>
      </c>
      <c r="L685" t="str">
        <f t="shared" si="30"/>
        <v>Available</v>
      </c>
      <c r="M685">
        <f t="shared" si="31"/>
        <v>1</v>
      </c>
      <c r="N685">
        <f t="shared" si="32"/>
        <v>1</v>
      </c>
    </row>
    <row r="686" spans="1:14" x14ac:dyDescent="0.35">
      <c r="A686" t="s">
        <v>2242</v>
      </c>
      <c r="B686" t="s">
        <v>318</v>
      </c>
      <c r="C686" t="s">
        <v>948</v>
      </c>
      <c r="D686">
        <v>25.25</v>
      </c>
      <c r="E686" t="s">
        <v>13</v>
      </c>
      <c r="F686" s="1">
        <v>44497</v>
      </c>
      <c r="G686" s="1">
        <v>45961</v>
      </c>
      <c r="H686" t="s">
        <v>14</v>
      </c>
      <c r="I686" s="2">
        <v>152791</v>
      </c>
      <c r="J686">
        <v>261857</v>
      </c>
      <c r="K686" t="s">
        <v>30</v>
      </c>
      <c r="L686" t="str">
        <f t="shared" si="30"/>
        <v>Available</v>
      </c>
      <c r="M686">
        <f t="shared" si="31"/>
        <v>0</v>
      </c>
      <c r="N686">
        <f t="shared" si="32"/>
        <v>1</v>
      </c>
    </row>
    <row r="687" spans="1:14" x14ac:dyDescent="0.35">
      <c r="A687" t="s">
        <v>2243</v>
      </c>
      <c r="B687" t="s">
        <v>121</v>
      </c>
      <c r="C687" t="s">
        <v>949</v>
      </c>
      <c r="D687">
        <v>24</v>
      </c>
      <c r="E687" t="s">
        <v>13</v>
      </c>
      <c r="F687" s="1">
        <v>44497</v>
      </c>
      <c r="G687" s="1">
        <v>46059</v>
      </c>
      <c r="H687" t="s">
        <v>14</v>
      </c>
      <c r="I687" s="2">
        <v>22160853</v>
      </c>
      <c r="J687">
        <v>267091</v>
      </c>
      <c r="K687" t="s">
        <v>15</v>
      </c>
      <c r="L687" t="str">
        <f t="shared" si="30"/>
        <v>Available</v>
      </c>
      <c r="M687">
        <f t="shared" si="31"/>
        <v>1</v>
      </c>
      <c r="N687">
        <f t="shared" si="32"/>
        <v>1</v>
      </c>
    </row>
    <row r="688" spans="1:14" x14ac:dyDescent="0.35">
      <c r="A688" t="s">
        <v>2244</v>
      </c>
      <c r="B688" t="s">
        <v>47</v>
      </c>
      <c r="C688" t="s">
        <v>951</v>
      </c>
      <c r="D688">
        <v>24</v>
      </c>
      <c r="E688" t="s">
        <v>13</v>
      </c>
      <c r="F688" s="1">
        <v>44497</v>
      </c>
      <c r="G688" s="1">
        <v>46060</v>
      </c>
      <c r="H688" t="s">
        <v>14</v>
      </c>
      <c r="I688" s="2">
        <v>18581089</v>
      </c>
      <c r="J688">
        <v>266908</v>
      </c>
      <c r="K688" t="s">
        <v>15</v>
      </c>
      <c r="L688" t="str">
        <f t="shared" si="30"/>
        <v>Available</v>
      </c>
      <c r="M688">
        <f t="shared" si="31"/>
        <v>1</v>
      </c>
      <c r="N688">
        <f t="shared" si="32"/>
        <v>1</v>
      </c>
    </row>
    <row r="689" spans="1:14" x14ac:dyDescent="0.35">
      <c r="A689" t="s">
        <v>2245</v>
      </c>
      <c r="B689" t="s">
        <v>51</v>
      </c>
      <c r="C689" t="s">
        <v>952</v>
      </c>
      <c r="D689">
        <v>28</v>
      </c>
      <c r="E689" t="s">
        <v>13</v>
      </c>
      <c r="F689" s="1">
        <v>44497</v>
      </c>
      <c r="G689" s="1">
        <v>46059</v>
      </c>
      <c r="H689" t="s">
        <v>14</v>
      </c>
      <c r="I689" s="2">
        <v>30200841</v>
      </c>
      <c r="J689">
        <v>264196</v>
      </c>
      <c r="K689" t="s">
        <v>15</v>
      </c>
      <c r="L689" t="str">
        <f t="shared" si="30"/>
        <v>Available</v>
      </c>
      <c r="M689">
        <f t="shared" si="31"/>
        <v>1</v>
      </c>
      <c r="N689">
        <f t="shared" si="32"/>
        <v>1</v>
      </c>
    </row>
    <row r="690" spans="1:14" x14ac:dyDescent="0.35">
      <c r="A690" t="s">
        <v>2246</v>
      </c>
      <c r="B690" t="s">
        <v>814</v>
      </c>
      <c r="C690" t="s">
        <v>953</v>
      </c>
      <c r="D690">
        <v>24</v>
      </c>
      <c r="E690" t="s">
        <v>13</v>
      </c>
      <c r="F690" s="1">
        <v>45344</v>
      </c>
      <c r="G690" s="1">
        <v>46060</v>
      </c>
      <c r="H690" t="s">
        <v>14</v>
      </c>
      <c r="I690" s="2">
        <v>43727206</v>
      </c>
      <c r="J690">
        <v>262641</v>
      </c>
      <c r="K690" t="s">
        <v>30</v>
      </c>
      <c r="L690" t="str">
        <f t="shared" si="30"/>
        <v>Available</v>
      </c>
      <c r="M690">
        <f t="shared" si="31"/>
        <v>0</v>
      </c>
      <c r="N690">
        <f t="shared" si="32"/>
        <v>1</v>
      </c>
    </row>
    <row r="691" spans="1:14" x14ac:dyDescent="0.35">
      <c r="A691" t="s">
        <v>2247</v>
      </c>
      <c r="B691" t="s">
        <v>25</v>
      </c>
      <c r="C691" t="s">
        <v>954</v>
      </c>
      <c r="D691">
        <v>45</v>
      </c>
      <c r="E691" t="s">
        <v>13</v>
      </c>
      <c r="F691" s="1">
        <v>44500</v>
      </c>
      <c r="G691" s="1">
        <v>46060</v>
      </c>
      <c r="H691" t="s">
        <v>14</v>
      </c>
      <c r="I691" s="2">
        <v>36161</v>
      </c>
      <c r="J691">
        <v>266550</v>
      </c>
      <c r="K691" t="s">
        <v>30</v>
      </c>
      <c r="L691" t="str">
        <f t="shared" si="30"/>
        <v>Available</v>
      </c>
      <c r="M691">
        <f t="shared" si="31"/>
        <v>0</v>
      </c>
      <c r="N691">
        <f t="shared" si="32"/>
        <v>1</v>
      </c>
    </row>
    <row r="692" spans="1:14" x14ac:dyDescent="0.35">
      <c r="A692" t="s">
        <v>2248</v>
      </c>
      <c r="B692" t="s">
        <v>2792</v>
      </c>
      <c r="C692" t="s">
        <v>955</v>
      </c>
      <c r="D692">
        <v>24</v>
      </c>
      <c r="E692" t="s">
        <v>13</v>
      </c>
      <c r="F692" s="1">
        <v>44497</v>
      </c>
      <c r="G692" s="1">
        <v>46057</v>
      </c>
      <c r="H692" t="s">
        <v>14</v>
      </c>
      <c r="I692" s="2">
        <v>53413</v>
      </c>
      <c r="J692">
        <v>266313</v>
      </c>
      <c r="K692" t="s">
        <v>15</v>
      </c>
      <c r="L692" t="str">
        <f t="shared" si="30"/>
        <v>Available</v>
      </c>
      <c r="M692">
        <f t="shared" si="31"/>
        <v>1</v>
      </c>
      <c r="N692">
        <f t="shared" si="32"/>
        <v>1</v>
      </c>
    </row>
    <row r="693" spans="1:14" x14ac:dyDescent="0.35">
      <c r="A693" t="s">
        <v>2249</v>
      </c>
      <c r="B693" t="s">
        <v>41</v>
      </c>
      <c r="C693" t="s">
        <v>956</v>
      </c>
      <c r="D693">
        <v>22.9</v>
      </c>
      <c r="E693" t="s">
        <v>13</v>
      </c>
      <c r="F693" s="1">
        <v>44497</v>
      </c>
      <c r="G693" s="1">
        <v>45467</v>
      </c>
      <c r="H693" t="s">
        <v>14</v>
      </c>
      <c r="I693" t="s">
        <v>2778</v>
      </c>
      <c r="J693">
        <v>262048</v>
      </c>
      <c r="K693" t="s">
        <v>15</v>
      </c>
      <c r="L693" t="str">
        <f t="shared" si="30"/>
        <v>Available</v>
      </c>
      <c r="M693">
        <f t="shared" si="31"/>
        <v>1</v>
      </c>
      <c r="N693">
        <f t="shared" si="32"/>
        <v>1</v>
      </c>
    </row>
    <row r="694" spans="1:14" x14ac:dyDescent="0.35">
      <c r="A694" t="s">
        <v>2250</v>
      </c>
      <c r="B694" t="s">
        <v>156</v>
      </c>
      <c r="C694" t="s">
        <v>957</v>
      </c>
      <c r="D694">
        <v>24</v>
      </c>
      <c r="E694" t="s">
        <v>13</v>
      </c>
      <c r="F694" s="1">
        <v>44497</v>
      </c>
      <c r="G694" s="1">
        <v>46060</v>
      </c>
      <c r="H694" t="s">
        <v>14</v>
      </c>
      <c r="I694" s="2">
        <v>24370321</v>
      </c>
      <c r="J694">
        <v>261575</v>
      </c>
      <c r="K694" t="s">
        <v>15</v>
      </c>
      <c r="L694" t="str">
        <f t="shared" si="30"/>
        <v>Available</v>
      </c>
      <c r="M694">
        <f t="shared" si="31"/>
        <v>1</v>
      </c>
      <c r="N694">
        <f t="shared" si="32"/>
        <v>1</v>
      </c>
    </row>
    <row r="695" spans="1:14" x14ac:dyDescent="0.35">
      <c r="A695" t="s">
        <v>2251</v>
      </c>
      <c r="B695" t="s">
        <v>2836</v>
      </c>
      <c r="C695" t="s">
        <v>958</v>
      </c>
      <c r="F695" s="1">
        <v>44866</v>
      </c>
      <c r="G695" s="1">
        <v>45099</v>
      </c>
      <c r="H695" t="s">
        <v>14</v>
      </c>
      <c r="I695" t="s">
        <v>2778</v>
      </c>
      <c r="J695">
        <v>261481</v>
      </c>
      <c r="K695" t="s">
        <v>30</v>
      </c>
      <c r="L695" t="str">
        <f t="shared" si="30"/>
        <v>Available</v>
      </c>
      <c r="M695">
        <f t="shared" si="31"/>
        <v>0</v>
      </c>
      <c r="N695">
        <f t="shared" si="32"/>
        <v>1</v>
      </c>
    </row>
    <row r="696" spans="1:14" x14ac:dyDescent="0.35">
      <c r="A696" t="s">
        <v>2252</v>
      </c>
      <c r="B696" t="s">
        <v>12</v>
      </c>
      <c r="C696" t="s">
        <v>959</v>
      </c>
      <c r="D696">
        <v>24</v>
      </c>
      <c r="E696" t="s">
        <v>13</v>
      </c>
      <c r="F696" s="1">
        <v>45966</v>
      </c>
      <c r="G696" s="1">
        <v>46057</v>
      </c>
      <c r="H696" t="s">
        <v>14</v>
      </c>
      <c r="I696" s="2">
        <v>89904502</v>
      </c>
      <c r="J696">
        <v>264557</v>
      </c>
      <c r="K696" t="s">
        <v>30</v>
      </c>
      <c r="L696" t="str">
        <f t="shared" si="30"/>
        <v>Available</v>
      </c>
      <c r="M696">
        <f t="shared" si="31"/>
        <v>0</v>
      </c>
      <c r="N696">
        <f t="shared" si="32"/>
        <v>1</v>
      </c>
    </row>
    <row r="697" spans="1:14" x14ac:dyDescent="0.35">
      <c r="A697" t="s">
        <v>2253</v>
      </c>
      <c r="B697" t="s">
        <v>961</v>
      </c>
      <c r="C697" t="s">
        <v>960</v>
      </c>
      <c r="D697">
        <v>24.3</v>
      </c>
      <c r="E697" t="s">
        <v>13</v>
      </c>
      <c r="F697" s="1">
        <v>44498</v>
      </c>
      <c r="G697" s="1">
        <v>46059</v>
      </c>
      <c r="H697" t="s">
        <v>14</v>
      </c>
      <c r="I697" t="s">
        <v>2778</v>
      </c>
      <c r="J697">
        <v>266310</v>
      </c>
      <c r="K697" t="s">
        <v>30</v>
      </c>
      <c r="L697" t="str">
        <f t="shared" si="30"/>
        <v>Available</v>
      </c>
      <c r="M697">
        <f t="shared" si="31"/>
        <v>0</v>
      </c>
      <c r="N697">
        <f t="shared" si="32"/>
        <v>1</v>
      </c>
    </row>
    <row r="698" spans="1:14" x14ac:dyDescent="0.35">
      <c r="A698" t="s">
        <v>2254</v>
      </c>
      <c r="B698" t="s">
        <v>25</v>
      </c>
      <c r="C698" t="s">
        <v>962</v>
      </c>
      <c r="D698">
        <v>21.809698000000001</v>
      </c>
      <c r="E698" t="s">
        <v>35</v>
      </c>
      <c r="F698" s="1">
        <v>44497</v>
      </c>
      <c r="G698" s="1">
        <v>46058</v>
      </c>
      <c r="H698" t="s">
        <v>14</v>
      </c>
      <c r="I698" t="s">
        <v>2778</v>
      </c>
      <c r="J698">
        <v>261907</v>
      </c>
      <c r="K698" t="s">
        <v>30</v>
      </c>
      <c r="L698" t="str">
        <f t="shared" si="30"/>
        <v>Available</v>
      </c>
      <c r="M698">
        <f t="shared" si="31"/>
        <v>0</v>
      </c>
      <c r="N698">
        <f t="shared" si="32"/>
        <v>1</v>
      </c>
    </row>
    <row r="699" spans="1:14" x14ac:dyDescent="0.35">
      <c r="A699" t="s">
        <v>2255</v>
      </c>
      <c r="B699" t="s">
        <v>964</v>
      </c>
      <c r="C699" t="s">
        <v>963</v>
      </c>
      <c r="D699">
        <v>9.17</v>
      </c>
      <c r="E699" t="s">
        <v>13</v>
      </c>
      <c r="F699" s="1">
        <v>44497</v>
      </c>
      <c r="G699" s="1">
        <v>45735</v>
      </c>
      <c r="H699" t="s">
        <v>14</v>
      </c>
      <c r="I699" t="s">
        <v>2778</v>
      </c>
      <c r="J699">
        <v>264098</v>
      </c>
      <c r="K699" t="s">
        <v>30</v>
      </c>
      <c r="L699" t="str">
        <f t="shared" si="30"/>
        <v>Available</v>
      </c>
      <c r="M699">
        <f t="shared" si="31"/>
        <v>0</v>
      </c>
      <c r="N699">
        <f t="shared" si="32"/>
        <v>1</v>
      </c>
    </row>
    <row r="700" spans="1:14" x14ac:dyDescent="0.35">
      <c r="A700" t="s">
        <v>2256</v>
      </c>
      <c r="B700" t="s">
        <v>318</v>
      </c>
      <c r="C700" t="s">
        <v>965</v>
      </c>
      <c r="D700">
        <v>25.25</v>
      </c>
      <c r="E700" t="s">
        <v>13</v>
      </c>
      <c r="F700" s="1">
        <v>44497</v>
      </c>
      <c r="G700" s="1">
        <v>46059</v>
      </c>
      <c r="H700" t="s">
        <v>14</v>
      </c>
      <c r="I700" s="2">
        <v>152792</v>
      </c>
      <c r="J700">
        <v>266566</v>
      </c>
      <c r="K700" t="s">
        <v>15</v>
      </c>
      <c r="L700" t="str">
        <f t="shared" si="30"/>
        <v>Available</v>
      </c>
      <c r="M700">
        <f t="shared" si="31"/>
        <v>1</v>
      </c>
      <c r="N700">
        <f t="shared" si="32"/>
        <v>1</v>
      </c>
    </row>
    <row r="701" spans="1:14" x14ac:dyDescent="0.35">
      <c r="A701" t="s">
        <v>2257</v>
      </c>
      <c r="B701" t="s">
        <v>156</v>
      </c>
      <c r="C701" t="s">
        <v>966</v>
      </c>
      <c r="D701">
        <v>32</v>
      </c>
      <c r="E701" t="s">
        <v>13</v>
      </c>
      <c r="F701" s="1">
        <v>44633</v>
      </c>
      <c r="G701" s="1">
        <v>46059</v>
      </c>
      <c r="H701" t="s">
        <v>14</v>
      </c>
      <c r="I701" s="2">
        <v>26965285</v>
      </c>
      <c r="J701">
        <v>264080</v>
      </c>
      <c r="K701" t="s">
        <v>30</v>
      </c>
      <c r="L701" t="str">
        <f t="shared" si="30"/>
        <v>Available</v>
      </c>
      <c r="M701">
        <f t="shared" si="31"/>
        <v>0</v>
      </c>
      <c r="N701">
        <f t="shared" si="32"/>
        <v>1</v>
      </c>
    </row>
    <row r="702" spans="1:14" x14ac:dyDescent="0.35">
      <c r="A702" t="s">
        <v>2258</v>
      </c>
      <c r="B702" t="s">
        <v>318</v>
      </c>
      <c r="C702" t="s">
        <v>967</v>
      </c>
      <c r="D702">
        <v>25.25</v>
      </c>
      <c r="E702" t="s">
        <v>13</v>
      </c>
      <c r="F702" s="1">
        <v>44497</v>
      </c>
      <c r="G702" s="1">
        <v>46059</v>
      </c>
      <c r="H702" t="s">
        <v>14</v>
      </c>
      <c r="I702" s="2">
        <v>152804</v>
      </c>
      <c r="J702">
        <v>266933</v>
      </c>
      <c r="K702" t="s">
        <v>15</v>
      </c>
      <c r="L702" t="str">
        <f t="shared" si="30"/>
        <v>Available</v>
      </c>
      <c r="M702">
        <f t="shared" si="31"/>
        <v>1</v>
      </c>
      <c r="N702">
        <f t="shared" si="32"/>
        <v>1</v>
      </c>
    </row>
    <row r="703" spans="1:14" x14ac:dyDescent="0.35">
      <c r="A703" t="s">
        <v>2259</v>
      </c>
      <c r="B703" t="s">
        <v>2778</v>
      </c>
      <c r="C703" t="s">
        <v>968</v>
      </c>
      <c r="D703">
        <v>26</v>
      </c>
      <c r="E703" t="s">
        <v>13</v>
      </c>
      <c r="F703" s="1">
        <v>44500</v>
      </c>
      <c r="G703" s="1">
        <v>46057</v>
      </c>
      <c r="H703" t="s">
        <v>14</v>
      </c>
      <c r="I703" s="2">
        <v>2317519</v>
      </c>
      <c r="J703">
        <v>261576</v>
      </c>
      <c r="K703" t="s">
        <v>15</v>
      </c>
      <c r="L703" t="str">
        <f t="shared" si="30"/>
        <v>Missing</v>
      </c>
      <c r="M703">
        <f t="shared" si="31"/>
        <v>1</v>
      </c>
      <c r="N703">
        <f t="shared" si="32"/>
        <v>0</v>
      </c>
    </row>
    <row r="704" spans="1:14" x14ac:dyDescent="0.35">
      <c r="A704" t="s">
        <v>2260</v>
      </c>
      <c r="B704" t="s">
        <v>2790</v>
      </c>
      <c r="C704" t="s">
        <v>969</v>
      </c>
      <c r="F704" s="1">
        <v>44930</v>
      </c>
      <c r="G704" s="1">
        <v>45099</v>
      </c>
      <c r="H704" t="s">
        <v>14</v>
      </c>
      <c r="I704" t="s">
        <v>2778</v>
      </c>
      <c r="J704">
        <v>261815</v>
      </c>
      <c r="K704" t="s">
        <v>15</v>
      </c>
      <c r="L704" t="str">
        <f t="shared" si="30"/>
        <v>Available</v>
      </c>
      <c r="M704">
        <f t="shared" si="31"/>
        <v>1</v>
      </c>
      <c r="N704">
        <f t="shared" si="32"/>
        <v>1</v>
      </c>
    </row>
    <row r="705" spans="1:14" x14ac:dyDescent="0.35">
      <c r="A705" t="s">
        <v>2261</v>
      </c>
      <c r="B705" t="s">
        <v>334</v>
      </c>
      <c r="C705" t="s">
        <v>970</v>
      </c>
      <c r="D705">
        <v>16.8</v>
      </c>
      <c r="E705" t="s">
        <v>13</v>
      </c>
      <c r="F705" s="1">
        <v>44497</v>
      </c>
      <c r="G705" s="1">
        <v>46059</v>
      </c>
      <c r="H705" t="s">
        <v>14</v>
      </c>
      <c r="I705" s="2">
        <v>80807</v>
      </c>
      <c r="J705">
        <v>261796</v>
      </c>
      <c r="K705" t="s">
        <v>30</v>
      </c>
      <c r="L705" t="str">
        <f t="shared" si="30"/>
        <v>Available</v>
      </c>
      <c r="M705">
        <f t="shared" si="31"/>
        <v>0</v>
      </c>
      <c r="N705">
        <f t="shared" si="32"/>
        <v>1</v>
      </c>
    </row>
    <row r="706" spans="1:14" x14ac:dyDescent="0.35">
      <c r="A706" t="s">
        <v>2262</v>
      </c>
      <c r="B706" t="s">
        <v>130</v>
      </c>
      <c r="C706" t="s">
        <v>971</v>
      </c>
      <c r="D706">
        <v>24.5</v>
      </c>
      <c r="E706" t="s">
        <v>13</v>
      </c>
      <c r="F706" s="1">
        <v>45423</v>
      </c>
      <c r="G706" s="1">
        <v>46059</v>
      </c>
      <c r="H706" t="s">
        <v>14</v>
      </c>
      <c r="I706" s="2">
        <v>26648402</v>
      </c>
      <c r="J706">
        <v>266396</v>
      </c>
      <c r="K706" t="s">
        <v>30</v>
      </c>
      <c r="L706" t="str">
        <f t="shared" si="30"/>
        <v>Available</v>
      </c>
      <c r="M706">
        <f t="shared" si="31"/>
        <v>0</v>
      </c>
      <c r="N706">
        <f t="shared" si="32"/>
        <v>1</v>
      </c>
    </row>
    <row r="707" spans="1:14" x14ac:dyDescent="0.35">
      <c r="A707" t="s">
        <v>2263</v>
      </c>
      <c r="B707" t="s">
        <v>156</v>
      </c>
      <c r="C707" t="s">
        <v>972</v>
      </c>
      <c r="D707">
        <v>24</v>
      </c>
      <c r="E707" t="s">
        <v>13</v>
      </c>
      <c r="F707" s="1">
        <v>44633</v>
      </c>
      <c r="G707" s="1">
        <v>46059</v>
      </c>
      <c r="H707" t="s">
        <v>14</v>
      </c>
      <c r="I707" s="2">
        <v>26952831</v>
      </c>
      <c r="J707">
        <v>264420</v>
      </c>
      <c r="K707" t="s">
        <v>15</v>
      </c>
      <c r="L707" t="str">
        <f t="shared" ref="L707:L770" si="33">IF(OR(B707="",ISBLANK(B707)),"Missing","Available")</f>
        <v>Available</v>
      </c>
      <c r="M707">
        <f t="shared" ref="M707:M770" si="34">IF(K707="Mapped",1,0)</f>
        <v>1</v>
      </c>
      <c r="N707">
        <f t="shared" ref="N707:N770" si="35">IF(AND(B707&lt;&gt;"",A707&lt;&gt;""),1,0)</f>
        <v>1</v>
      </c>
    </row>
    <row r="708" spans="1:14" x14ac:dyDescent="0.35">
      <c r="A708" t="s">
        <v>2264</v>
      </c>
      <c r="B708" t="s">
        <v>2855</v>
      </c>
      <c r="C708" t="s">
        <v>973</v>
      </c>
      <c r="D708">
        <v>24</v>
      </c>
      <c r="E708" t="s">
        <v>13</v>
      </c>
      <c r="F708" s="1">
        <v>44497</v>
      </c>
      <c r="G708" s="1">
        <v>46059</v>
      </c>
      <c r="H708" t="s">
        <v>14</v>
      </c>
      <c r="I708" s="2">
        <v>18474774</v>
      </c>
      <c r="J708">
        <v>266376</v>
      </c>
      <c r="K708" t="s">
        <v>15</v>
      </c>
      <c r="L708" t="str">
        <f t="shared" si="33"/>
        <v>Available</v>
      </c>
      <c r="M708">
        <f t="shared" si="34"/>
        <v>1</v>
      </c>
      <c r="N708">
        <f t="shared" si="35"/>
        <v>1</v>
      </c>
    </row>
    <row r="709" spans="1:14" x14ac:dyDescent="0.35">
      <c r="A709" t="s">
        <v>2265</v>
      </c>
      <c r="B709" t="s">
        <v>2790</v>
      </c>
      <c r="C709" t="s">
        <v>974</v>
      </c>
      <c r="D709">
        <v>24</v>
      </c>
      <c r="E709" t="s">
        <v>13</v>
      </c>
      <c r="F709" s="1">
        <v>44497</v>
      </c>
      <c r="G709" s="1">
        <v>46060</v>
      </c>
      <c r="H709" t="s">
        <v>14</v>
      </c>
      <c r="I709" s="2">
        <v>91467</v>
      </c>
      <c r="J709">
        <v>262030</v>
      </c>
      <c r="K709" t="s">
        <v>30</v>
      </c>
      <c r="L709" t="str">
        <f t="shared" si="33"/>
        <v>Available</v>
      </c>
      <c r="M709">
        <f t="shared" si="34"/>
        <v>0</v>
      </c>
      <c r="N709">
        <f t="shared" si="35"/>
        <v>1</v>
      </c>
    </row>
    <row r="710" spans="1:14" x14ac:dyDescent="0.35">
      <c r="A710" t="s">
        <v>2266</v>
      </c>
      <c r="B710" t="s">
        <v>2842</v>
      </c>
      <c r="C710" t="s">
        <v>975</v>
      </c>
      <c r="D710">
        <v>32</v>
      </c>
      <c r="E710" t="s">
        <v>13</v>
      </c>
      <c r="F710" s="1">
        <v>44497</v>
      </c>
      <c r="G710" s="1">
        <v>46059</v>
      </c>
      <c r="H710" t="s">
        <v>14</v>
      </c>
      <c r="I710" t="s">
        <v>2784</v>
      </c>
      <c r="J710" t="s">
        <v>976</v>
      </c>
      <c r="K710" t="s">
        <v>30</v>
      </c>
      <c r="L710" t="str">
        <f t="shared" si="33"/>
        <v>Available</v>
      </c>
      <c r="M710">
        <f t="shared" si="34"/>
        <v>0</v>
      </c>
      <c r="N710">
        <f t="shared" si="35"/>
        <v>1</v>
      </c>
    </row>
    <row r="711" spans="1:14" x14ac:dyDescent="0.35">
      <c r="A711" t="s">
        <v>2267</v>
      </c>
      <c r="B711" t="s">
        <v>2806</v>
      </c>
      <c r="C711" t="s">
        <v>977</v>
      </c>
      <c r="D711">
        <v>22.3169</v>
      </c>
      <c r="E711" t="s">
        <v>35</v>
      </c>
      <c r="F711" s="1">
        <v>45760</v>
      </c>
      <c r="G711" s="1">
        <v>46058</v>
      </c>
      <c r="H711" t="s">
        <v>14</v>
      </c>
      <c r="I711" t="s">
        <v>2778</v>
      </c>
      <c r="J711">
        <v>267041</v>
      </c>
      <c r="K711" t="s">
        <v>15</v>
      </c>
      <c r="L711" t="str">
        <f t="shared" si="33"/>
        <v>Available</v>
      </c>
      <c r="M711">
        <f t="shared" si="34"/>
        <v>1</v>
      </c>
      <c r="N711">
        <f t="shared" si="35"/>
        <v>1</v>
      </c>
    </row>
    <row r="712" spans="1:14" x14ac:dyDescent="0.35">
      <c r="A712" t="s">
        <v>2268</v>
      </c>
      <c r="B712" t="s">
        <v>156</v>
      </c>
      <c r="C712" t="s">
        <v>978</v>
      </c>
      <c r="D712">
        <v>24</v>
      </c>
      <c r="E712" t="s">
        <v>13</v>
      </c>
      <c r="F712" s="1">
        <v>44497</v>
      </c>
      <c r="G712" s="1">
        <v>46060</v>
      </c>
      <c r="H712" t="s">
        <v>14</v>
      </c>
      <c r="I712" s="2">
        <v>24370172</v>
      </c>
      <c r="J712">
        <v>264295</v>
      </c>
      <c r="K712" t="s">
        <v>30</v>
      </c>
      <c r="L712" t="str">
        <f t="shared" si="33"/>
        <v>Available</v>
      </c>
      <c r="M712">
        <f t="shared" si="34"/>
        <v>0</v>
      </c>
      <c r="N712">
        <f t="shared" si="35"/>
        <v>1</v>
      </c>
    </row>
    <row r="713" spans="1:14" x14ac:dyDescent="0.35">
      <c r="A713" t="s">
        <v>2269</v>
      </c>
      <c r="B713" t="s">
        <v>58</v>
      </c>
      <c r="C713" t="s">
        <v>979</v>
      </c>
      <c r="D713">
        <v>21.978764999999999</v>
      </c>
      <c r="E713" t="s">
        <v>35</v>
      </c>
      <c r="F713" s="1">
        <v>44497</v>
      </c>
      <c r="G713" s="1">
        <v>45708</v>
      </c>
      <c r="H713" t="s">
        <v>14</v>
      </c>
      <c r="I713" t="s">
        <v>2778</v>
      </c>
      <c r="J713">
        <v>264698</v>
      </c>
      <c r="K713" t="s">
        <v>15</v>
      </c>
      <c r="L713" t="str">
        <f t="shared" si="33"/>
        <v>Available</v>
      </c>
      <c r="M713">
        <f t="shared" si="34"/>
        <v>1</v>
      </c>
      <c r="N713">
        <f t="shared" si="35"/>
        <v>1</v>
      </c>
    </row>
    <row r="714" spans="1:14" x14ac:dyDescent="0.35">
      <c r="A714" t="s">
        <v>2270</v>
      </c>
      <c r="B714" t="s">
        <v>130</v>
      </c>
      <c r="C714" t="s">
        <v>980</v>
      </c>
      <c r="D714">
        <v>25</v>
      </c>
      <c r="E714" t="s">
        <v>13</v>
      </c>
      <c r="F714" s="1">
        <v>44497</v>
      </c>
      <c r="G714" s="1">
        <v>46059</v>
      </c>
      <c r="H714" t="s">
        <v>14</v>
      </c>
      <c r="I714" s="2">
        <v>16273370</v>
      </c>
      <c r="J714">
        <v>261756</v>
      </c>
      <c r="K714" t="s">
        <v>15</v>
      </c>
      <c r="L714" t="str">
        <f t="shared" si="33"/>
        <v>Available</v>
      </c>
      <c r="M714">
        <f t="shared" si="34"/>
        <v>1</v>
      </c>
      <c r="N714">
        <f t="shared" si="35"/>
        <v>1</v>
      </c>
    </row>
    <row r="715" spans="1:14" x14ac:dyDescent="0.35">
      <c r="A715" t="s">
        <v>2271</v>
      </c>
      <c r="B715" t="s">
        <v>2852</v>
      </c>
      <c r="C715" t="s">
        <v>981</v>
      </c>
      <c r="D715">
        <v>15.36</v>
      </c>
      <c r="E715" t="s">
        <v>13</v>
      </c>
      <c r="F715" s="1">
        <v>44497</v>
      </c>
      <c r="G715" s="1">
        <v>46059</v>
      </c>
      <c r="H715" t="s">
        <v>14</v>
      </c>
      <c r="I715" t="s">
        <v>2778</v>
      </c>
      <c r="J715">
        <v>262144</v>
      </c>
      <c r="K715" t="s">
        <v>30</v>
      </c>
      <c r="L715" t="str">
        <f t="shared" si="33"/>
        <v>Available</v>
      </c>
      <c r="M715">
        <f t="shared" si="34"/>
        <v>0</v>
      </c>
      <c r="N715">
        <f t="shared" si="35"/>
        <v>1</v>
      </c>
    </row>
    <row r="716" spans="1:14" x14ac:dyDescent="0.35">
      <c r="A716" t="s">
        <v>2272</v>
      </c>
      <c r="B716" t="s">
        <v>2778</v>
      </c>
      <c r="C716" t="s">
        <v>982</v>
      </c>
      <c r="D716">
        <v>24</v>
      </c>
      <c r="E716" t="s">
        <v>13</v>
      </c>
      <c r="F716" s="1">
        <v>44497</v>
      </c>
      <c r="G716" s="1">
        <v>46059</v>
      </c>
      <c r="H716" t="s">
        <v>14</v>
      </c>
      <c r="I716" s="2">
        <v>77087</v>
      </c>
      <c r="J716">
        <v>261895</v>
      </c>
      <c r="K716" t="s">
        <v>30</v>
      </c>
      <c r="L716" t="str">
        <f t="shared" si="33"/>
        <v>Missing</v>
      </c>
      <c r="M716">
        <f t="shared" si="34"/>
        <v>0</v>
      </c>
      <c r="N716">
        <f t="shared" si="35"/>
        <v>0</v>
      </c>
    </row>
    <row r="717" spans="1:14" x14ac:dyDescent="0.35">
      <c r="A717" t="s">
        <v>2273</v>
      </c>
      <c r="B717" t="s">
        <v>2795</v>
      </c>
      <c r="C717" t="s">
        <v>983</v>
      </c>
      <c r="D717">
        <v>25</v>
      </c>
      <c r="E717" t="s">
        <v>13</v>
      </c>
      <c r="F717" s="1">
        <v>44497</v>
      </c>
      <c r="G717" s="1">
        <v>46058</v>
      </c>
      <c r="H717" t="s">
        <v>14</v>
      </c>
      <c r="I717" s="2">
        <v>22696882</v>
      </c>
      <c r="J717">
        <v>266981</v>
      </c>
      <c r="K717" t="s">
        <v>30</v>
      </c>
      <c r="L717" t="str">
        <f t="shared" si="33"/>
        <v>Available</v>
      </c>
      <c r="M717">
        <f t="shared" si="34"/>
        <v>0</v>
      </c>
      <c r="N717">
        <f t="shared" si="35"/>
        <v>1</v>
      </c>
    </row>
    <row r="718" spans="1:14" x14ac:dyDescent="0.35">
      <c r="A718" t="s">
        <v>2274</v>
      </c>
      <c r="B718" t="s">
        <v>2778</v>
      </c>
      <c r="C718" t="s">
        <v>984</v>
      </c>
      <c r="D718">
        <v>24</v>
      </c>
      <c r="E718" t="s">
        <v>13</v>
      </c>
      <c r="F718" s="1">
        <v>44500</v>
      </c>
      <c r="G718" s="1">
        <v>46058</v>
      </c>
      <c r="H718" t="s">
        <v>14</v>
      </c>
      <c r="I718" t="s">
        <v>2778</v>
      </c>
      <c r="J718">
        <v>267065</v>
      </c>
      <c r="K718" t="s">
        <v>15</v>
      </c>
      <c r="L718" t="str">
        <f t="shared" si="33"/>
        <v>Missing</v>
      </c>
      <c r="M718">
        <f t="shared" si="34"/>
        <v>1</v>
      </c>
      <c r="N718">
        <f t="shared" si="35"/>
        <v>0</v>
      </c>
    </row>
    <row r="719" spans="1:14" x14ac:dyDescent="0.35">
      <c r="A719" t="s">
        <v>2275</v>
      </c>
      <c r="B719" t="s">
        <v>2778</v>
      </c>
      <c r="C719" t="s">
        <v>985</v>
      </c>
      <c r="D719">
        <v>15.3</v>
      </c>
      <c r="E719" t="s">
        <v>13</v>
      </c>
      <c r="F719" s="1">
        <v>44497</v>
      </c>
      <c r="G719" s="1">
        <v>46059</v>
      </c>
      <c r="H719" t="s">
        <v>14</v>
      </c>
      <c r="I719" s="2">
        <v>322606</v>
      </c>
      <c r="J719">
        <v>266835</v>
      </c>
      <c r="K719" t="s">
        <v>15</v>
      </c>
      <c r="L719" t="str">
        <f t="shared" si="33"/>
        <v>Missing</v>
      </c>
      <c r="M719">
        <f t="shared" si="34"/>
        <v>1</v>
      </c>
      <c r="N719">
        <f t="shared" si="35"/>
        <v>0</v>
      </c>
    </row>
    <row r="720" spans="1:14" x14ac:dyDescent="0.35">
      <c r="A720" t="s">
        <v>2276</v>
      </c>
      <c r="B720" t="s">
        <v>2875</v>
      </c>
      <c r="C720" t="s">
        <v>986</v>
      </c>
      <c r="D720">
        <v>20.288091000000001</v>
      </c>
      <c r="E720" t="s">
        <v>35</v>
      </c>
      <c r="F720" s="1">
        <v>45562</v>
      </c>
      <c r="G720" s="1">
        <v>46058</v>
      </c>
      <c r="H720" t="s">
        <v>14</v>
      </c>
      <c r="I720" t="s">
        <v>2778</v>
      </c>
      <c r="J720">
        <v>266389</v>
      </c>
      <c r="K720" t="s">
        <v>30</v>
      </c>
      <c r="L720" t="str">
        <f t="shared" si="33"/>
        <v>Available</v>
      </c>
      <c r="M720">
        <f t="shared" si="34"/>
        <v>0</v>
      </c>
      <c r="N720">
        <f t="shared" si="35"/>
        <v>1</v>
      </c>
    </row>
    <row r="721" spans="1:14" x14ac:dyDescent="0.35">
      <c r="A721" t="s">
        <v>2277</v>
      </c>
      <c r="B721" t="s">
        <v>668</v>
      </c>
      <c r="C721" t="s">
        <v>988</v>
      </c>
      <c r="D721">
        <v>24</v>
      </c>
      <c r="E721" t="s">
        <v>13</v>
      </c>
      <c r="F721" s="1">
        <v>44497</v>
      </c>
      <c r="G721" s="1">
        <v>46059</v>
      </c>
      <c r="H721" t="s">
        <v>14</v>
      </c>
      <c r="I721" s="2">
        <v>9975</v>
      </c>
      <c r="J721">
        <v>266350</v>
      </c>
      <c r="K721" t="s">
        <v>15</v>
      </c>
      <c r="L721" t="str">
        <f t="shared" si="33"/>
        <v>Available</v>
      </c>
      <c r="M721">
        <f t="shared" si="34"/>
        <v>1</v>
      </c>
      <c r="N721">
        <f t="shared" si="35"/>
        <v>1</v>
      </c>
    </row>
    <row r="722" spans="1:14" x14ac:dyDescent="0.35">
      <c r="A722" t="s">
        <v>2278</v>
      </c>
      <c r="B722" t="s">
        <v>156</v>
      </c>
      <c r="C722" t="s">
        <v>989</v>
      </c>
      <c r="D722">
        <v>24</v>
      </c>
      <c r="E722" t="s">
        <v>13</v>
      </c>
      <c r="F722" s="1">
        <v>44626</v>
      </c>
      <c r="G722" s="1">
        <v>46059</v>
      </c>
      <c r="H722" t="s">
        <v>14</v>
      </c>
      <c r="I722" s="2">
        <v>26932445</v>
      </c>
      <c r="J722">
        <v>261578</v>
      </c>
      <c r="K722" t="s">
        <v>30</v>
      </c>
      <c r="L722" t="str">
        <f t="shared" si="33"/>
        <v>Available</v>
      </c>
      <c r="M722">
        <f t="shared" si="34"/>
        <v>0</v>
      </c>
      <c r="N722">
        <f t="shared" si="35"/>
        <v>1</v>
      </c>
    </row>
    <row r="723" spans="1:14" x14ac:dyDescent="0.35">
      <c r="A723" t="s">
        <v>2279</v>
      </c>
      <c r="B723" t="s">
        <v>708</v>
      </c>
      <c r="C723" t="s">
        <v>990</v>
      </c>
      <c r="D723">
        <v>24</v>
      </c>
      <c r="E723" t="s">
        <v>13</v>
      </c>
      <c r="F723" s="1">
        <v>44507</v>
      </c>
      <c r="G723" s="1">
        <v>46059</v>
      </c>
      <c r="H723" t="s">
        <v>14</v>
      </c>
      <c r="I723" s="2">
        <v>20211750</v>
      </c>
      <c r="J723">
        <v>264447</v>
      </c>
      <c r="K723" t="s">
        <v>30</v>
      </c>
      <c r="L723" t="str">
        <f t="shared" si="33"/>
        <v>Available</v>
      </c>
      <c r="M723">
        <f t="shared" si="34"/>
        <v>0</v>
      </c>
      <c r="N723">
        <f t="shared" si="35"/>
        <v>1</v>
      </c>
    </row>
    <row r="724" spans="1:14" x14ac:dyDescent="0.35">
      <c r="A724" t="s">
        <v>2280</v>
      </c>
      <c r="B724" t="s">
        <v>47</v>
      </c>
      <c r="C724" t="s">
        <v>991</v>
      </c>
      <c r="D724">
        <v>24</v>
      </c>
      <c r="E724" t="s">
        <v>13</v>
      </c>
      <c r="F724" s="1">
        <v>44497</v>
      </c>
      <c r="G724" s="1">
        <v>46060</v>
      </c>
      <c r="H724" t="s">
        <v>14</v>
      </c>
      <c r="I724" s="2">
        <v>39255</v>
      </c>
      <c r="J724">
        <v>264210</v>
      </c>
      <c r="K724" t="s">
        <v>15</v>
      </c>
      <c r="L724" t="str">
        <f t="shared" si="33"/>
        <v>Available</v>
      </c>
      <c r="M724">
        <f t="shared" si="34"/>
        <v>1</v>
      </c>
      <c r="N724">
        <f t="shared" si="35"/>
        <v>1</v>
      </c>
    </row>
    <row r="725" spans="1:14" x14ac:dyDescent="0.35">
      <c r="A725" t="s">
        <v>2281</v>
      </c>
      <c r="B725" t="s">
        <v>2778</v>
      </c>
      <c r="C725" t="s">
        <v>992</v>
      </c>
      <c r="D725">
        <v>25</v>
      </c>
      <c r="E725" t="s">
        <v>13</v>
      </c>
      <c r="F725" s="1">
        <v>44579</v>
      </c>
      <c r="G725" s="1">
        <v>45961</v>
      </c>
      <c r="H725" t="s">
        <v>14</v>
      </c>
      <c r="I725" t="s">
        <v>2778</v>
      </c>
      <c r="J725">
        <v>266906</v>
      </c>
      <c r="K725" t="s">
        <v>30</v>
      </c>
      <c r="L725" t="str">
        <f t="shared" si="33"/>
        <v>Missing</v>
      </c>
      <c r="M725">
        <f t="shared" si="34"/>
        <v>0</v>
      </c>
      <c r="N725">
        <f t="shared" si="35"/>
        <v>0</v>
      </c>
    </row>
    <row r="726" spans="1:14" x14ac:dyDescent="0.35">
      <c r="A726" t="s">
        <v>2282</v>
      </c>
      <c r="B726" t="s">
        <v>994</v>
      </c>
      <c r="C726" t="s">
        <v>993</v>
      </c>
      <c r="D726">
        <v>25</v>
      </c>
      <c r="E726" t="s">
        <v>13</v>
      </c>
      <c r="F726" s="1">
        <v>44497</v>
      </c>
      <c r="G726" s="1">
        <v>46057</v>
      </c>
      <c r="H726" t="s">
        <v>14</v>
      </c>
      <c r="I726" s="2">
        <v>17649189</v>
      </c>
      <c r="J726">
        <v>261577</v>
      </c>
      <c r="K726" t="s">
        <v>15</v>
      </c>
      <c r="L726" t="str">
        <f t="shared" si="33"/>
        <v>Available</v>
      </c>
      <c r="M726">
        <f t="shared" si="34"/>
        <v>1</v>
      </c>
      <c r="N726">
        <f t="shared" si="35"/>
        <v>1</v>
      </c>
    </row>
    <row r="727" spans="1:14" x14ac:dyDescent="0.35">
      <c r="A727" t="s">
        <v>2283</v>
      </c>
      <c r="B727" t="s">
        <v>58</v>
      </c>
      <c r="C727" t="s">
        <v>995</v>
      </c>
      <c r="D727">
        <v>20.288091000000001</v>
      </c>
      <c r="E727" t="s">
        <v>35</v>
      </c>
      <c r="F727" s="1">
        <v>45631</v>
      </c>
      <c r="G727" s="1">
        <v>46058</v>
      </c>
      <c r="H727" t="s">
        <v>14</v>
      </c>
      <c r="I727" t="s">
        <v>2778</v>
      </c>
      <c r="J727">
        <v>264127</v>
      </c>
      <c r="K727" t="s">
        <v>30</v>
      </c>
      <c r="L727" t="str">
        <f t="shared" si="33"/>
        <v>Available</v>
      </c>
      <c r="M727">
        <f t="shared" si="34"/>
        <v>0</v>
      </c>
      <c r="N727">
        <f t="shared" si="35"/>
        <v>1</v>
      </c>
    </row>
    <row r="728" spans="1:14" x14ac:dyDescent="0.35">
      <c r="A728" t="s">
        <v>2284</v>
      </c>
      <c r="B728" t="s">
        <v>2811</v>
      </c>
      <c r="C728" t="s">
        <v>996</v>
      </c>
      <c r="D728">
        <v>25</v>
      </c>
      <c r="E728" t="s">
        <v>13</v>
      </c>
      <c r="F728" s="1">
        <v>44497</v>
      </c>
      <c r="G728" s="1">
        <v>46059</v>
      </c>
      <c r="H728" t="s">
        <v>14</v>
      </c>
      <c r="I728" s="2">
        <v>3296957</v>
      </c>
      <c r="J728">
        <v>267094</v>
      </c>
      <c r="K728" t="s">
        <v>30</v>
      </c>
      <c r="L728" t="str">
        <f t="shared" si="33"/>
        <v>Available</v>
      </c>
      <c r="M728">
        <f t="shared" si="34"/>
        <v>0</v>
      </c>
      <c r="N728">
        <f t="shared" si="35"/>
        <v>1</v>
      </c>
    </row>
    <row r="729" spans="1:14" x14ac:dyDescent="0.35">
      <c r="A729" t="s">
        <v>2285</v>
      </c>
      <c r="B729" t="s">
        <v>58</v>
      </c>
      <c r="C729" t="s">
        <v>997</v>
      </c>
      <c r="D729">
        <v>21.978764999999999</v>
      </c>
      <c r="E729" t="s">
        <v>35</v>
      </c>
      <c r="F729" s="1">
        <v>44497</v>
      </c>
      <c r="G729" s="1">
        <v>45638</v>
      </c>
      <c r="H729" t="s">
        <v>14</v>
      </c>
      <c r="I729" t="s">
        <v>2778</v>
      </c>
      <c r="J729">
        <v>266336</v>
      </c>
      <c r="K729" t="s">
        <v>30</v>
      </c>
      <c r="L729" t="str">
        <f t="shared" si="33"/>
        <v>Available</v>
      </c>
      <c r="M729">
        <f t="shared" si="34"/>
        <v>0</v>
      </c>
      <c r="N729">
        <f t="shared" si="35"/>
        <v>1</v>
      </c>
    </row>
    <row r="730" spans="1:14" x14ac:dyDescent="0.35">
      <c r="A730" t="s">
        <v>2286</v>
      </c>
      <c r="B730" t="s">
        <v>2778</v>
      </c>
      <c r="C730" t="s">
        <v>998</v>
      </c>
      <c r="D730">
        <v>25</v>
      </c>
      <c r="E730" t="s">
        <v>13</v>
      </c>
      <c r="F730" s="1">
        <v>44534</v>
      </c>
      <c r="G730" s="1">
        <v>45599</v>
      </c>
      <c r="H730" t="s">
        <v>14</v>
      </c>
      <c r="I730" t="s">
        <v>2778</v>
      </c>
      <c r="J730">
        <v>261479</v>
      </c>
      <c r="K730" t="s">
        <v>30</v>
      </c>
      <c r="L730" t="str">
        <f t="shared" si="33"/>
        <v>Missing</v>
      </c>
      <c r="M730">
        <f t="shared" si="34"/>
        <v>0</v>
      </c>
      <c r="N730">
        <f t="shared" si="35"/>
        <v>0</v>
      </c>
    </row>
    <row r="731" spans="1:14" x14ac:dyDescent="0.35">
      <c r="A731" t="s">
        <v>2287</v>
      </c>
      <c r="B731" t="s">
        <v>58</v>
      </c>
      <c r="C731" t="s">
        <v>999</v>
      </c>
      <c r="D731">
        <v>24</v>
      </c>
      <c r="E731" t="s">
        <v>13</v>
      </c>
      <c r="F731" s="1">
        <v>44497</v>
      </c>
      <c r="G731" s="1">
        <v>45918</v>
      </c>
      <c r="H731" t="s">
        <v>14</v>
      </c>
      <c r="I731" t="s">
        <v>2778</v>
      </c>
      <c r="J731">
        <v>266341</v>
      </c>
      <c r="K731" t="s">
        <v>15</v>
      </c>
      <c r="L731" t="str">
        <f t="shared" si="33"/>
        <v>Available</v>
      </c>
      <c r="M731">
        <f t="shared" si="34"/>
        <v>1</v>
      </c>
      <c r="N731">
        <f t="shared" si="35"/>
        <v>1</v>
      </c>
    </row>
    <row r="732" spans="1:14" x14ac:dyDescent="0.35">
      <c r="A732" t="s">
        <v>2288</v>
      </c>
      <c r="B732" t="s">
        <v>121</v>
      </c>
      <c r="C732" t="s">
        <v>1000</v>
      </c>
      <c r="D732">
        <v>24</v>
      </c>
      <c r="E732" t="s">
        <v>13</v>
      </c>
      <c r="F732" s="1">
        <v>44497</v>
      </c>
      <c r="G732" s="1">
        <v>46059</v>
      </c>
      <c r="H732" t="s">
        <v>14</v>
      </c>
      <c r="I732" s="2">
        <v>3356570</v>
      </c>
      <c r="J732">
        <v>266533</v>
      </c>
      <c r="K732" t="s">
        <v>15</v>
      </c>
      <c r="L732" t="str">
        <f t="shared" si="33"/>
        <v>Available</v>
      </c>
      <c r="M732">
        <f t="shared" si="34"/>
        <v>1</v>
      </c>
      <c r="N732">
        <f t="shared" si="35"/>
        <v>1</v>
      </c>
    </row>
    <row r="733" spans="1:14" x14ac:dyDescent="0.35">
      <c r="A733" t="s">
        <v>2289</v>
      </c>
      <c r="B733" t="s">
        <v>2804</v>
      </c>
      <c r="C733" t="s">
        <v>1001</v>
      </c>
      <c r="D733">
        <v>24</v>
      </c>
      <c r="E733" t="s">
        <v>13</v>
      </c>
      <c r="F733" s="1">
        <v>44497</v>
      </c>
      <c r="G733" s="1">
        <v>46058</v>
      </c>
      <c r="H733" t="s">
        <v>14</v>
      </c>
      <c r="I733" s="2">
        <v>19977855</v>
      </c>
      <c r="J733">
        <v>261645</v>
      </c>
      <c r="K733" t="s">
        <v>15</v>
      </c>
      <c r="L733" t="str">
        <f t="shared" si="33"/>
        <v>Available</v>
      </c>
      <c r="M733">
        <f t="shared" si="34"/>
        <v>1</v>
      </c>
      <c r="N733">
        <f t="shared" si="35"/>
        <v>1</v>
      </c>
    </row>
    <row r="734" spans="1:14" x14ac:dyDescent="0.35">
      <c r="A734" t="s">
        <v>2290</v>
      </c>
      <c r="B734" t="s">
        <v>814</v>
      </c>
      <c r="C734" t="s">
        <v>1002</v>
      </c>
      <c r="D734">
        <v>24</v>
      </c>
      <c r="E734" t="s">
        <v>13</v>
      </c>
      <c r="F734" s="1">
        <v>45342</v>
      </c>
      <c r="G734" s="1">
        <v>46060</v>
      </c>
      <c r="H734" t="s">
        <v>14</v>
      </c>
      <c r="I734" s="2">
        <v>43727085</v>
      </c>
      <c r="J734">
        <v>264275</v>
      </c>
      <c r="K734" t="s">
        <v>30</v>
      </c>
      <c r="L734" t="str">
        <f t="shared" si="33"/>
        <v>Available</v>
      </c>
      <c r="M734">
        <f t="shared" si="34"/>
        <v>0</v>
      </c>
      <c r="N734">
        <f t="shared" si="35"/>
        <v>1</v>
      </c>
    </row>
    <row r="735" spans="1:14" x14ac:dyDescent="0.35">
      <c r="A735" t="s">
        <v>2291</v>
      </c>
      <c r="B735" t="s">
        <v>2836</v>
      </c>
      <c r="C735" t="s">
        <v>1003</v>
      </c>
      <c r="F735" s="1">
        <v>44866</v>
      </c>
      <c r="G735" s="1">
        <v>45099</v>
      </c>
      <c r="H735" t="s">
        <v>14</v>
      </c>
      <c r="I735" t="s">
        <v>2778</v>
      </c>
      <c r="J735">
        <v>266436</v>
      </c>
      <c r="K735" t="s">
        <v>30</v>
      </c>
      <c r="L735" t="str">
        <f t="shared" si="33"/>
        <v>Available</v>
      </c>
      <c r="M735">
        <f t="shared" si="34"/>
        <v>0</v>
      </c>
      <c r="N735">
        <f t="shared" si="35"/>
        <v>1</v>
      </c>
    </row>
    <row r="736" spans="1:14" x14ac:dyDescent="0.35">
      <c r="A736" t="s">
        <v>2292</v>
      </c>
      <c r="B736" t="s">
        <v>1005</v>
      </c>
      <c r="C736" t="s">
        <v>1004</v>
      </c>
      <c r="D736">
        <v>26</v>
      </c>
      <c r="E736" t="s">
        <v>13</v>
      </c>
      <c r="F736" s="1">
        <v>44497</v>
      </c>
      <c r="G736" s="1">
        <v>46059</v>
      </c>
      <c r="H736" t="s">
        <v>14</v>
      </c>
      <c r="I736" s="2">
        <v>91449</v>
      </c>
      <c r="J736">
        <v>261852</v>
      </c>
      <c r="K736" t="s">
        <v>30</v>
      </c>
      <c r="L736" t="str">
        <f t="shared" si="33"/>
        <v>Available</v>
      </c>
      <c r="M736">
        <f t="shared" si="34"/>
        <v>0</v>
      </c>
      <c r="N736">
        <f t="shared" si="35"/>
        <v>1</v>
      </c>
    </row>
    <row r="737" spans="1:14" x14ac:dyDescent="0.35">
      <c r="A737" t="s">
        <v>2293</v>
      </c>
      <c r="B737" t="s">
        <v>121</v>
      </c>
      <c r="C737" t="s">
        <v>1006</v>
      </c>
      <c r="D737">
        <v>24</v>
      </c>
      <c r="E737" t="s">
        <v>13</v>
      </c>
      <c r="F737" s="1">
        <v>44497</v>
      </c>
      <c r="G737" s="1">
        <v>46059</v>
      </c>
      <c r="H737" t="s">
        <v>14</v>
      </c>
      <c r="I737" s="2">
        <v>1854363</v>
      </c>
      <c r="J737">
        <v>266349</v>
      </c>
      <c r="K737" t="s">
        <v>30</v>
      </c>
      <c r="L737" t="str">
        <f t="shared" si="33"/>
        <v>Available</v>
      </c>
      <c r="M737">
        <f t="shared" si="34"/>
        <v>0</v>
      </c>
      <c r="N737">
        <f t="shared" si="35"/>
        <v>1</v>
      </c>
    </row>
    <row r="738" spans="1:14" x14ac:dyDescent="0.35">
      <c r="A738" t="s">
        <v>2294</v>
      </c>
      <c r="B738" t="s">
        <v>2862</v>
      </c>
      <c r="C738" t="s">
        <v>1007</v>
      </c>
      <c r="D738">
        <v>26</v>
      </c>
      <c r="E738" t="s">
        <v>13</v>
      </c>
      <c r="F738" s="1">
        <v>44497</v>
      </c>
      <c r="G738" s="1">
        <v>46059</v>
      </c>
      <c r="H738" t="s">
        <v>14</v>
      </c>
      <c r="I738" s="2">
        <v>232485</v>
      </c>
      <c r="J738">
        <v>264584</v>
      </c>
      <c r="K738" t="s">
        <v>30</v>
      </c>
      <c r="L738" t="str">
        <f t="shared" si="33"/>
        <v>Available</v>
      </c>
      <c r="M738">
        <f t="shared" si="34"/>
        <v>0</v>
      </c>
      <c r="N738">
        <f t="shared" si="35"/>
        <v>1</v>
      </c>
    </row>
    <row r="739" spans="1:14" x14ac:dyDescent="0.35">
      <c r="A739" t="s">
        <v>2295</v>
      </c>
      <c r="B739" t="s">
        <v>453</v>
      </c>
      <c r="C739" t="s">
        <v>1008</v>
      </c>
      <c r="D739">
        <v>25</v>
      </c>
      <c r="E739" t="s">
        <v>13</v>
      </c>
      <c r="F739" s="1">
        <v>44497</v>
      </c>
      <c r="G739" s="1">
        <v>46059</v>
      </c>
      <c r="H739" t="s">
        <v>14</v>
      </c>
      <c r="I739" s="2">
        <v>98548</v>
      </c>
      <c r="J739">
        <v>261521</v>
      </c>
      <c r="K739" t="s">
        <v>15</v>
      </c>
      <c r="L739" t="str">
        <f t="shared" si="33"/>
        <v>Available</v>
      </c>
      <c r="M739">
        <f t="shared" si="34"/>
        <v>1</v>
      </c>
      <c r="N739">
        <f t="shared" si="35"/>
        <v>1</v>
      </c>
    </row>
    <row r="740" spans="1:14" x14ac:dyDescent="0.35">
      <c r="A740" t="s">
        <v>2296</v>
      </c>
      <c r="B740" t="s">
        <v>2810</v>
      </c>
      <c r="C740" t="s">
        <v>1010</v>
      </c>
      <c r="D740">
        <v>25</v>
      </c>
      <c r="E740" t="s">
        <v>13</v>
      </c>
      <c r="F740" s="1">
        <v>44497</v>
      </c>
      <c r="G740" s="1">
        <v>46059</v>
      </c>
      <c r="H740" t="s">
        <v>14</v>
      </c>
      <c r="I740" s="2">
        <v>80811</v>
      </c>
      <c r="J740">
        <v>266365</v>
      </c>
      <c r="K740" t="s">
        <v>15</v>
      </c>
      <c r="L740" t="str">
        <f t="shared" si="33"/>
        <v>Available</v>
      </c>
      <c r="M740">
        <f t="shared" si="34"/>
        <v>1</v>
      </c>
      <c r="N740">
        <f t="shared" si="35"/>
        <v>1</v>
      </c>
    </row>
    <row r="741" spans="1:14" x14ac:dyDescent="0.35">
      <c r="A741" t="s">
        <v>2297</v>
      </c>
      <c r="B741" t="s">
        <v>2778</v>
      </c>
      <c r="C741" t="s">
        <v>1011</v>
      </c>
      <c r="D741">
        <v>26</v>
      </c>
      <c r="E741" t="s">
        <v>13</v>
      </c>
      <c r="F741" s="1">
        <v>44503</v>
      </c>
      <c r="G741" s="1">
        <v>46058</v>
      </c>
      <c r="H741" t="s">
        <v>14</v>
      </c>
      <c r="I741" s="2">
        <v>17411488</v>
      </c>
      <c r="J741">
        <v>264739</v>
      </c>
      <c r="K741" t="s">
        <v>15</v>
      </c>
      <c r="L741" t="str">
        <f t="shared" si="33"/>
        <v>Missing</v>
      </c>
      <c r="M741">
        <f t="shared" si="34"/>
        <v>1</v>
      </c>
      <c r="N741">
        <f t="shared" si="35"/>
        <v>0</v>
      </c>
    </row>
    <row r="742" spans="1:14" x14ac:dyDescent="0.35">
      <c r="A742" t="s">
        <v>2298</v>
      </c>
      <c r="B742" t="s">
        <v>2778</v>
      </c>
      <c r="C742" t="s">
        <v>1012</v>
      </c>
      <c r="D742">
        <v>24</v>
      </c>
      <c r="E742" t="s">
        <v>13</v>
      </c>
      <c r="F742" s="1">
        <v>44497</v>
      </c>
      <c r="G742" s="1">
        <v>46059</v>
      </c>
      <c r="H742" t="s">
        <v>14</v>
      </c>
      <c r="I742" s="2">
        <v>17070862</v>
      </c>
      <c r="J742">
        <v>264727</v>
      </c>
      <c r="K742" t="s">
        <v>15</v>
      </c>
      <c r="L742" t="str">
        <f t="shared" si="33"/>
        <v>Missing</v>
      </c>
      <c r="M742">
        <f t="shared" si="34"/>
        <v>1</v>
      </c>
      <c r="N742">
        <f t="shared" si="35"/>
        <v>0</v>
      </c>
    </row>
    <row r="743" spans="1:14" x14ac:dyDescent="0.35">
      <c r="A743" t="s">
        <v>2299</v>
      </c>
      <c r="B743" t="s">
        <v>1014</v>
      </c>
      <c r="C743" t="s">
        <v>1013</v>
      </c>
      <c r="D743">
        <v>26</v>
      </c>
      <c r="E743" t="s">
        <v>13</v>
      </c>
      <c r="F743" s="1">
        <v>44502</v>
      </c>
      <c r="G743" s="1">
        <v>45683</v>
      </c>
      <c r="H743" t="s">
        <v>14</v>
      </c>
      <c r="I743" t="s">
        <v>2778</v>
      </c>
      <c r="J743">
        <v>266335</v>
      </c>
      <c r="K743" t="s">
        <v>30</v>
      </c>
      <c r="L743" t="str">
        <f t="shared" si="33"/>
        <v>Available</v>
      </c>
      <c r="M743">
        <f t="shared" si="34"/>
        <v>0</v>
      </c>
      <c r="N743">
        <f t="shared" si="35"/>
        <v>1</v>
      </c>
    </row>
    <row r="744" spans="1:14" x14ac:dyDescent="0.35">
      <c r="A744" t="s">
        <v>2300</v>
      </c>
      <c r="B744" t="s">
        <v>2821</v>
      </c>
      <c r="C744" t="s">
        <v>1015</v>
      </c>
      <c r="D744">
        <v>24</v>
      </c>
      <c r="E744" t="s">
        <v>13</v>
      </c>
      <c r="F744" s="1">
        <v>44497</v>
      </c>
      <c r="G744" s="1">
        <v>46059</v>
      </c>
      <c r="H744" t="s">
        <v>14</v>
      </c>
      <c r="I744" s="2">
        <v>2659205</v>
      </c>
      <c r="J744">
        <v>266494</v>
      </c>
      <c r="K744" t="s">
        <v>30</v>
      </c>
      <c r="L744" t="str">
        <f t="shared" si="33"/>
        <v>Available</v>
      </c>
      <c r="M744">
        <f t="shared" si="34"/>
        <v>0</v>
      </c>
      <c r="N744">
        <f t="shared" si="35"/>
        <v>1</v>
      </c>
    </row>
    <row r="745" spans="1:14" x14ac:dyDescent="0.35">
      <c r="A745" t="s">
        <v>2301</v>
      </c>
      <c r="B745" t="s">
        <v>2778</v>
      </c>
      <c r="C745" t="s">
        <v>1016</v>
      </c>
      <c r="D745">
        <v>24</v>
      </c>
      <c r="E745" t="s">
        <v>13</v>
      </c>
      <c r="F745" s="1">
        <v>44501</v>
      </c>
      <c r="G745" s="1">
        <v>46056</v>
      </c>
      <c r="H745" t="s">
        <v>14</v>
      </c>
      <c r="I745" s="2">
        <v>91496</v>
      </c>
      <c r="J745">
        <v>266384</v>
      </c>
      <c r="K745" t="s">
        <v>30</v>
      </c>
      <c r="L745" t="str">
        <f t="shared" si="33"/>
        <v>Missing</v>
      </c>
      <c r="M745">
        <f t="shared" si="34"/>
        <v>0</v>
      </c>
      <c r="N745">
        <f t="shared" si="35"/>
        <v>0</v>
      </c>
    </row>
    <row r="746" spans="1:14" x14ac:dyDescent="0.35">
      <c r="A746" t="s">
        <v>2302</v>
      </c>
      <c r="B746" t="s">
        <v>99</v>
      </c>
      <c r="C746" t="s">
        <v>1017</v>
      </c>
      <c r="D746">
        <v>24</v>
      </c>
      <c r="E746" t="s">
        <v>13</v>
      </c>
      <c r="F746" s="1">
        <v>44500</v>
      </c>
      <c r="G746" s="1">
        <v>46059</v>
      </c>
      <c r="H746" t="s">
        <v>14</v>
      </c>
      <c r="I746" s="2">
        <v>19278556</v>
      </c>
      <c r="J746">
        <v>261517</v>
      </c>
      <c r="K746" t="s">
        <v>15</v>
      </c>
      <c r="L746" t="str">
        <f t="shared" si="33"/>
        <v>Available</v>
      </c>
      <c r="M746">
        <f t="shared" si="34"/>
        <v>1</v>
      </c>
      <c r="N746">
        <f t="shared" si="35"/>
        <v>1</v>
      </c>
    </row>
    <row r="747" spans="1:14" x14ac:dyDescent="0.35">
      <c r="A747" t="s">
        <v>2303</v>
      </c>
      <c r="B747" t="s">
        <v>130</v>
      </c>
      <c r="C747" t="s">
        <v>1018</v>
      </c>
      <c r="D747">
        <v>25</v>
      </c>
      <c r="E747" t="s">
        <v>13</v>
      </c>
      <c r="F747" s="1">
        <v>44497</v>
      </c>
      <c r="G747" s="1">
        <v>46056</v>
      </c>
      <c r="H747" t="s">
        <v>14</v>
      </c>
      <c r="I747" s="2">
        <v>25979956</v>
      </c>
      <c r="J747">
        <v>264131</v>
      </c>
      <c r="K747" t="s">
        <v>15</v>
      </c>
      <c r="L747" t="str">
        <f t="shared" si="33"/>
        <v>Available</v>
      </c>
      <c r="M747">
        <f t="shared" si="34"/>
        <v>1</v>
      </c>
      <c r="N747">
        <f t="shared" si="35"/>
        <v>1</v>
      </c>
    </row>
    <row r="748" spans="1:14" x14ac:dyDescent="0.35">
      <c r="A748" t="s">
        <v>2304</v>
      </c>
      <c r="B748" t="s">
        <v>1020</v>
      </c>
      <c r="C748" t="s">
        <v>1019</v>
      </c>
      <c r="F748" s="1">
        <v>44497</v>
      </c>
      <c r="G748" s="1">
        <v>45029</v>
      </c>
      <c r="H748" t="s">
        <v>14</v>
      </c>
      <c r="I748" t="s">
        <v>2778</v>
      </c>
      <c r="J748">
        <v>262597</v>
      </c>
      <c r="K748" t="s">
        <v>30</v>
      </c>
      <c r="L748" t="str">
        <f t="shared" si="33"/>
        <v>Available</v>
      </c>
      <c r="M748">
        <f t="shared" si="34"/>
        <v>0</v>
      </c>
      <c r="N748">
        <f t="shared" si="35"/>
        <v>1</v>
      </c>
    </row>
    <row r="749" spans="1:14" x14ac:dyDescent="0.35">
      <c r="A749" t="s">
        <v>2305</v>
      </c>
      <c r="B749" t="s">
        <v>112</v>
      </c>
      <c r="C749" t="s">
        <v>1021</v>
      </c>
      <c r="D749">
        <v>25.5</v>
      </c>
      <c r="E749" t="s">
        <v>13</v>
      </c>
      <c r="F749" s="1">
        <v>44497</v>
      </c>
      <c r="G749" s="1">
        <v>46059</v>
      </c>
      <c r="H749" t="s">
        <v>14</v>
      </c>
      <c r="I749" s="2">
        <v>53453</v>
      </c>
      <c r="J749">
        <v>262279</v>
      </c>
      <c r="K749" t="s">
        <v>30</v>
      </c>
      <c r="L749" t="str">
        <f t="shared" si="33"/>
        <v>Available</v>
      </c>
      <c r="M749">
        <f t="shared" si="34"/>
        <v>0</v>
      </c>
      <c r="N749">
        <f t="shared" si="35"/>
        <v>1</v>
      </c>
    </row>
    <row r="750" spans="1:14" x14ac:dyDescent="0.35">
      <c r="A750" t="s">
        <v>2306</v>
      </c>
      <c r="B750" t="s">
        <v>192</v>
      </c>
      <c r="C750" t="s">
        <v>1022</v>
      </c>
      <c r="D750">
        <v>32</v>
      </c>
      <c r="E750" t="s">
        <v>13</v>
      </c>
      <c r="F750" s="1">
        <v>44497</v>
      </c>
      <c r="G750" s="1">
        <v>45952</v>
      </c>
      <c r="H750" t="s">
        <v>14</v>
      </c>
      <c r="I750" s="2">
        <v>17653197</v>
      </c>
      <c r="J750">
        <v>262278</v>
      </c>
      <c r="K750" t="s">
        <v>15</v>
      </c>
      <c r="L750" t="str">
        <f t="shared" si="33"/>
        <v>Available</v>
      </c>
      <c r="M750">
        <f t="shared" si="34"/>
        <v>1</v>
      </c>
      <c r="N750">
        <f t="shared" si="35"/>
        <v>1</v>
      </c>
    </row>
    <row r="751" spans="1:14" x14ac:dyDescent="0.35">
      <c r="A751" t="s">
        <v>2307</v>
      </c>
      <c r="B751" t="s">
        <v>2790</v>
      </c>
      <c r="C751" t="s">
        <v>1023</v>
      </c>
      <c r="D751">
        <v>32</v>
      </c>
      <c r="E751" t="s">
        <v>13</v>
      </c>
      <c r="F751" s="1">
        <v>44497</v>
      </c>
      <c r="G751" s="1">
        <v>46060</v>
      </c>
      <c r="H751" t="s">
        <v>14</v>
      </c>
      <c r="I751" s="2">
        <v>18627883</v>
      </c>
      <c r="J751">
        <v>264443</v>
      </c>
      <c r="K751" t="s">
        <v>30</v>
      </c>
      <c r="L751" t="str">
        <f t="shared" si="33"/>
        <v>Available</v>
      </c>
      <c r="M751">
        <f t="shared" si="34"/>
        <v>0</v>
      </c>
      <c r="N751">
        <f t="shared" si="35"/>
        <v>1</v>
      </c>
    </row>
    <row r="752" spans="1:14" x14ac:dyDescent="0.35">
      <c r="A752" t="s">
        <v>2308</v>
      </c>
      <c r="B752" t="s">
        <v>43</v>
      </c>
      <c r="C752" t="s">
        <v>1024</v>
      </c>
      <c r="D752">
        <v>25</v>
      </c>
      <c r="E752" t="s">
        <v>13</v>
      </c>
      <c r="F752" s="1">
        <v>44497</v>
      </c>
      <c r="G752" s="1">
        <v>46059</v>
      </c>
      <c r="H752" t="s">
        <v>14</v>
      </c>
      <c r="I752" s="2">
        <v>91478</v>
      </c>
      <c r="J752">
        <v>266360</v>
      </c>
      <c r="K752" t="s">
        <v>30</v>
      </c>
      <c r="L752" t="str">
        <f t="shared" si="33"/>
        <v>Available</v>
      </c>
      <c r="M752">
        <f t="shared" si="34"/>
        <v>0</v>
      </c>
      <c r="N752">
        <f t="shared" si="35"/>
        <v>1</v>
      </c>
    </row>
    <row r="753" spans="1:14" x14ac:dyDescent="0.35">
      <c r="A753" t="s">
        <v>2309</v>
      </c>
      <c r="B753" t="s">
        <v>58</v>
      </c>
      <c r="C753" t="s">
        <v>1025</v>
      </c>
      <c r="D753">
        <v>24</v>
      </c>
      <c r="E753" t="s">
        <v>13</v>
      </c>
      <c r="F753" s="1">
        <v>44497</v>
      </c>
      <c r="G753" s="1">
        <v>46060</v>
      </c>
      <c r="H753" t="s">
        <v>14</v>
      </c>
      <c r="I753" s="2">
        <v>73912</v>
      </c>
      <c r="J753">
        <v>261854</v>
      </c>
      <c r="K753" t="s">
        <v>30</v>
      </c>
      <c r="L753" t="str">
        <f t="shared" si="33"/>
        <v>Available</v>
      </c>
      <c r="M753">
        <f t="shared" si="34"/>
        <v>0</v>
      </c>
      <c r="N753">
        <f t="shared" si="35"/>
        <v>1</v>
      </c>
    </row>
    <row r="754" spans="1:14" x14ac:dyDescent="0.35">
      <c r="A754" t="s">
        <v>2310</v>
      </c>
      <c r="B754" t="s">
        <v>2800</v>
      </c>
      <c r="C754" t="s">
        <v>1026</v>
      </c>
      <c r="D754">
        <v>32</v>
      </c>
      <c r="E754" t="s">
        <v>13</v>
      </c>
      <c r="F754" s="1">
        <v>44497</v>
      </c>
      <c r="G754" s="1">
        <v>46059</v>
      </c>
      <c r="H754" t="s">
        <v>14</v>
      </c>
      <c r="I754" s="2">
        <v>18905133</v>
      </c>
      <c r="J754">
        <v>266492</v>
      </c>
      <c r="K754" t="s">
        <v>30</v>
      </c>
      <c r="L754" t="str">
        <f t="shared" si="33"/>
        <v>Available</v>
      </c>
      <c r="M754">
        <f t="shared" si="34"/>
        <v>0</v>
      </c>
      <c r="N754">
        <f t="shared" si="35"/>
        <v>1</v>
      </c>
    </row>
    <row r="755" spans="1:14" x14ac:dyDescent="0.35">
      <c r="A755" t="s">
        <v>2311</v>
      </c>
      <c r="B755" t="s">
        <v>483</v>
      </c>
      <c r="C755" t="s">
        <v>1027</v>
      </c>
      <c r="D755">
        <v>16.906742000000001</v>
      </c>
      <c r="E755" t="s">
        <v>35</v>
      </c>
      <c r="F755" s="1">
        <v>44903</v>
      </c>
      <c r="G755" s="1">
        <v>46058</v>
      </c>
      <c r="H755" t="s">
        <v>14</v>
      </c>
      <c r="I755" t="s">
        <v>2778</v>
      </c>
      <c r="J755">
        <v>262037</v>
      </c>
      <c r="K755" t="s">
        <v>30</v>
      </c>
      <c r="L755" t="str">
        <f t="shared" si="33"/>
        <v>Available</v>
      </c>
      <c r="M755">
        <f t="shared" si="34"/>
        <v>0</v>
      </c>
      <c r="N755">
        <f t="shared" si="35"/>
        <v>1</v>
      </c>
    </row>
    <row r="756" spans="1:14" x14ac:dyDescent="0.35">
      <c r="A756" t="s">
        <v>2312</v>
      </c>
      <c r="B756" t="s">
        <v>132</v>
      </c>
      <c r="C756" t="s">
        <v>1028</v>
      </c>
      <c r="F756" s="1">
        <v>45009</v>
      </c>
      <c r="G756" s="1">
        <v>45099</v>
      </c>
      <c r="H756" t="s">
        <v>14</v>
      </c>
      <c r="I756" t="s">
        <v>2778</v>
      </c>
      <c r="J756">
        <v>266343</v>
      </c>
      <c r="K756" t="s">
        <v>30</v>
      </c>
      <c r="L756" t="str">
        <f t="shared" si="33"/>
        <v>Available</v>
      </c>
      <c r="M756">
        <f t="shared" si="34"/>
        <v>0</v>
      </c>
      <c r="N756">
        <f t="shared" si="35"/>
        <v>1</v>
      </c>
    </row>
    <row r="757" spans="1:14" x14ac:dyDescent="0.35">
      <c r="A757" t="s">
        <v>2313</v>
      </c>
      <c r="B757" t="s">
        <v>242</v>
      </c>
      <c r="C757" t="s">
        <v>1029</v>
      </c>
      <c r="D757">
        <v>32</v>
      </c>
      <c r="E757" t="s">
        <v>13</v>
      </c>
      <c r="F757" s="1">
        <v>44500</v>
      </c>
      <c r="G757" s="1">
        <v>46059</v>
      </c>
      <c r="H757" t="s">
        <v>14</v>
      </c>
      <c r="I757" s="2">
        <v>228867</v>
      </c>
      <c r="J757">
        <v>264580</v>
      </c>
      <c r="K757" t="s">
        <v>30</v>
      </c>
      <c r="L757" t="str">
        <f t="shared" si="33"/>
        <v>Available</v>
      </c>
      <c r="M757">
        <f t="shared" si="34"/>
        <v>0</v>
      </c>
      <c r="N757">
        <f t="shared" si="35"/>
        <v>1</v>
      </c>
    </row>
    <row r="758" spans="1:14" x14ac:dyDescent="0.35">
      <c r="A758" t="s">
        <v>2314</v>
      </c>
      <c r="B758" t="s">
        <v>472</v>
      </c>
      <c r="C758" t="s">
        <v>1030</v>
      </c>
      <c r="D758">
        <v>24</v>
      </c>
      <c r="E758" t="s">
        <v>13</v>
      </c>
      <c r="F758" s="1">
        <v>44497</v>
      </c>
      <c r="G758" s="1">
        <v>46059</v>
      </c>
      <c r="H758" t="s">
        <v>14</v>
      </c>
      <c r="I758" s="2">
        <v>244834</v>
      </c>
      <c r="J758">
        <v>266946</v>
      </c>
      <c r="K758" t="s">
        <v>15</v>
      </c>
      <c r="L758" t="str">
        <f t="shared" si="33"/>
        <v>Available</v>
      </c>
      <c r="M758">
        <f t="shared" si="34"/>
        <v>1</v>
      </c>
      <c r="N758">
        <f t="shared" si="35"/>
        <v>1</v>
      </c>
    </row>
    <row r="759" spans="1:14" x14ac:dyDescent="0.35">
      <c r="A759" t="s">
        <v>2315</v>
      </c>
      <c r="B759" t="s">
        <v>37</v>
      </c>
      <c r="C759" t="s">
        <v>1031</v>
      </c>
      <c r="D759">
        <v>25</v>
      </c>
      <c r="E759" t="s">
        <v>13</v>
      </c>
      <c r="F759" s="1">
        <v>44668</v>
      </c>
      <c r="G759" s="1">
        <v>45672</v>
      </c>
      <c r="H759" t="s">
        <v>14</v>
      </c>
      <c r="I759" t="s">
        <v>2778</v>
      </c>
      <c r="J759">
        <v>264094</v>
      </c>
      <c r="K759" t="s">
        <v>15</v>
      </c>
      <c r="L759" t="str">
        <f t="shared" si="33"/>
        <v>Available</v>
      </c>
      <c r="M759">
        <f t="shared" si="34"/>
        <v>1</v>
      </c>
      <c r="N759">
        <f t="shared" si="35"/>
        <v>1</v>
      </c>
    </row>
    <row r="760" spans="1:14" x14ac:dyDescent="0.35">
      <c r="A760" t="s">
        <v>2316</v>
      </c>
      <c r="B760" t="s">
        <v>12</v>
      </c>
      <c r="C760" t="s">
        <v>1032</v>
      </c>
      <c r="D760">
        <v>45</v>
      </c>
      <c r="E760" t="s">
        <v>13</v>
      </c>
      <c r="F760" s="1">
        <v>44497</v>
      </c>
      <c r="G760" s="1">
        <v>46059</v>
      </c>
      <c r="H760" t="s">
        <v>14</v>
      </c>
      <c r="I760" s="2">
        <v>212231</v>
      </c>
      <c r="J760">
        <v>267025</v>
      </c>
      <c r="K760" t="s">
        <v>15</v>
      </c>
      <c r="L760" t="str">
        <f t="shared" si="33"/>
        <v>Available</v>
      </c>
      <c r="M760">
        <f t="shared" si="34"/>
        <v>1</v>
      </c>
      <c r="N760">
        <f t="shared" si="35"/>
        <v>1</v>
      </c>
    </row>
    <row r="761" spans="1:14" x14ac:dyDescent="0.35">
      <c r="A761" t="s">
        <v>2317</v>
      </c>
      <c r="B761" t="s">
        <v>32</v>
      </c>
      <c r="C761" t="s">
        <v>1033</v>
      </c>
      <c r="D761">
        <v>25</v>
      </c>
      <c r="E761" t="s">
        <v>13</v>
      </c>
      <c r="F761" s="1">
        <v>44498</v>
      </c>
      <c r="G761" s="1">
        <v>46058</v>
      </c>
      <c r="H761" t="s">
        <v>14</v>
      </c>
      <c r="I761" t="s">
        <v>2778</v>
      </c>
      <c r="J761">
        <v>262605</v>
      </c>
      <c r="K761" t="s">
        <v>30</v>
      </c>
      <c r="L761" t="str">
        <f t="shared" si="33"/>
        <v>Available</v>
      </c>
      <c r="M761">
        <f t="shared" si="34"/>
        <v>0</v>
      </c>
      <c r="N761">
        <f t="shared" si="35"/>
        <v>1</v>
      </c>
    </row>
    <row r="762" spans="1:14" x14ac:dyDescent="0.35">
      <c r="A762" t="s">
        <v>2318</v>
      </c>
      <c r="B762" t="s">
        <v>2876</v>
      </c>
      <c r="C762" t="s">
        <v>1034</v>
      </c>
      <c r="D762">
        <v>28</v>
      </c>
      <c r="E762" t="s">
        <v>13</v>
      </c>
      <c r="F762" s="1">
        <v>44500</v>
      </c>
      <c r="G762" s="1">
        <v>46056</v>
      </c>
      <c r="H762" t="s">
        <v>14</v>
      </c>
      <c r="I762" t="s">
        <v>2778</v>
      </c>
      <c r="J762">
        <v>264421</v>
      </c>
      <c r="K762" t="s">
        <v>30</v>
      </c>
      <c r="L762" t="str">
        <f t="shared" si="33"/>
        <v>Available</v>
      </c>
      <c r="M762">
        <f t="shared" si="34"/>
        <v>0</v>
      </c>
      <c r="N762">
        <f t="shared" si="35"/>
        <v>1</v>
      </c>
    </row>
    <row r="763" spans="1:14" x14ac:dyDescent="0.35">
      <c r="A763" t="s">
        <v>2319</v>
      </c>
      <c r="B763" t="s">
        <v>2778</v>
      </c>
      <c r="C763" t="s">
        <v>1036</v>
      </c>
      <c r="D763">
        <v>23.5</v>
      </c>
      <c r="E763" t="s">
        <v>13</v>
      </c>
      <c r="F763" s="1">
        <v>44497</v>
      </c>
      <c r="G763" s="1">
        <v>46059</v>
      </c>
      <c r="H763" t="s">
        <v>14</v>
      </c>
      <c r="I763" s="2">
        <v>3250353</v>
      </c>
      <c r="J763">
        <v>264033</v>
      </c>
      <c r="K763" t="s">
        <v>15</v>
      </c>
      <c r="L763" t="str">
        <f t="shared" si="33"/>
        <v>Missing</v>
      </c>
      <c r="M763">
        <f t="shared" si="34"/>
        <v>1</v>
      </c>
      <c r="N763">
        <f t="shared" si="35"/>
        <v>0</v>
      </c>
    </row>
    <row r="764" spans="1:14" x14ac:dyDescent="0.35">
      <c r="A764" t="s">
        <v>2320</v>
      </c>
      <c r="B764" t="s">
        <v>192</v>
      </c>
      <c r="C764" t="s">
        <v>1037</v>
      </c>
      <c r="D764">
        <v>32</v>
      </c>
      <c r="E764" t="s">
        <v>13</v>
      </c>
      <c r="F764" s="1">
        <v>44498</v>
      </c>
      <c r="G764" s="1">
        <v>45952</v>
      </c>
      <c r="H764" t="s">
        <v>14</v>
      </c>
      <c r="I764" t="s">
        <v>2778</v>
      </c>
      <c r="J764">
        <v>262598</v>
      </c>
      <c r="K764" t="s">
        <v>15</v>
      </c>
      <c r="L764" t="str">
        <f t="shared" si="33"/>
        <v>Available</v>
      </c>
      <c r="M764">
        <f t="shared" si="34"/>
        <v>1</v>
      </c>
      <c r="N764">
        <f t="shared" si="35"/>
        <v>1</v>
      </c>
    </row>
    <row r="765" spans="1:14" x14ac:dyDescent="0.35">
      <c r="A765" t="s">
        <v>2321</v>
      </c>
      <c r="B765" t="s">
        <v>2790</v>
      </c>
      <c r="C765" t="s">
        <v>1038</v>
      </c>
      <c r="D765">
        <v>24</v>
      </c>
      <c r="E765" t="s">
        <v>13</v>
      </c>
      <c r="F765" s="1">
        <v>45679</v>
      </c>
      <c r="G765" s="1">
        <v>46059</v>
      </c>
      <c r="H765" t="s">
        <v>14</v>
      </c>
      <c r="I765" s="2">
        <v>64213253</v>
      </c>
      <c r="J765">
        <v>266619</v>
      </c>
      <c r="K765" t="s">
        <v>30</v>
      </c>
      <c r="L765" t="str">
        <f t="shared" si="33"/>
        <v>Available</v>
      </c>
      <c r="M765">
        <f t="shared" si="34"/>
        <v>0</v>
      </c>
      <c r="N765">
        <f t="shared" si="35"/>
        <v>1</v>
      </c>
    </row>
    <row r="766" spans="1:14" x14ac:dyDescent="0.35">
      <c r="A766" t="s">
        <v>2322</v>
      </c>
      <c r="B766" t="s">
        <v>2793</v>
      </c>
      <c r="C766" t="s">
        <v>1039</v>
      </c>
      <c r="D766">
        <v>21.911138000000001</v>
      </c>
      <c r="E766" t="s">
        <v>35</v>
      </c>
      <c r="F766" s="1">
        <v>44497</v>
      </c>
      <c r="G766" s="1">
        <v>46058</v>
      </c>
      <c r="H766" t="s">
        <v>14</v>
      </c>
      <c r="I766" t="s">
        <v>2778</v>
      </c>
      <c r="J766">
        <v>264185</v>
      </c>
      <c r="K766" t="s">
        <v>30</v>
      </c>
      <c r="L766" t="str">
        <f t="shared" si="33"/>
        <v>Available</v>
      </c>
      <c r="M766">
        <f t="shared" si="34"/>
        <v>0</v>
      </c>
      <c r="N766">
        <f t="shared" si="35"/>
        <v>1</v>
      </c>
    </row>
    <row r="767" spans="1:14" x14ac:dyDescent="0.35">
      <c r="A767" t="s">
        <v>2323</v>
      </c>
      <c r="B767" t="s">
        <v>103</v>
      </c>
      <c r="C767" t="s">
        <v>1040</v>
      </c>
      <c r="D767">
        <v>25</v>
      </c>
      <c r="E767" t="s">
        <v>13</v>
      </c>
      <c r="F767" s="1">
        <v>45193</v>
      </c>
      <c r="G767" s="1">
        <v>46058</v>
      </c>
      <c r="H767" t="s">
        <v>14</v>
      </c>
      <c r="I767" s="2">
        <v>30613285</v>
      </c>
      <c r="J767">
        <v>266390</v>
      </c>
      <c r="K767" t="s">
        <v>15</v>
      </c>
      <c r="L767" t="str">
        <f t="shared" si="33"/>
        <v>Available</v>
      </c>
      <c r="M767">
        <f t="shared" si="34"/>
        <v>1</v>
      </c>
      <c r="N767">
        <f t="shared" si="35"/>
        <v>1</v>
      </c>
    </row>
    <row r="768" spans="1:14" x14ac:dyDescent="0.35">
      <c r="A768" t="s">
        <v>2324</v>
      </c>
      <c r="B768" t="s">
        <v>293</v>
      </c>
      <c r="C768" t="s">
        <v>1041</v>
      </c>
      <c r="D768">
        <v>17.75</v>
      </c>
      <c r="E768" t="s">
        <v>13</v>
      </c>
      <c r="F768" s="1">
        <v>44497</v>
      </c>
      <c r="G768" s="1">
        <v>46059</v>
      </c>
      <c r="H768" t="s">
        <v>14</v>
      </c>
      <c r="I768" s="2">
        <v>260925</v>
      </c>
      <c r="J768">
        <v>264142</v>
      </c>
      <c r="K768" t="s">
        <v>30</v>
      </c>
      <c r="L768" t="str">
        <f t="shared" si="33"/>
        <v>Available</v>
      </c>
      <c r="M768">
        <f t="shared" si="34"/>
        <v>0</v>
      </c>
      <c r="N768">
        <f t="shared" si="35"/>
        <v>1</v>
      </c>
    </row>
    <row r="769" spans="1:14" x14ac:dyDescent="0.35">
      <c r="A769" t="s">
        <v>2325</v>
      </c>
      <c r="B769" t="s">
        <v>47</v>
      </c>
      <c r="C769" t="s">
        <v>1042</v>
      </c>
      <c r="D769">
        <v>14</v>
      </c>
      <c r="E769" t="s">
        <v>13</v>
      </c>
      <c r="F769" s="1">
        <v>44497</v>
      </c>
      <c r="G769" s="1">
        <v>46060</v>
      </c>
      <c r="H769" t="s">
        <v>14</v>
      </c>
      <c r="I769" s="2">
        <v>39129</v>
      </c>
      <c r="J769">
        <v>262292</v>
      </c>
      <c r="K769" t="s">
        <v>30</v>
      </c>
      <c r="L769" t="str">
        <f t="shared" si="33"/>
        <v>Available</v>
      </c>
      <c r="M769">
        <f t="shared" si="34"/>
        <v>0</v>
      </c>
      <c r="N769">
        <f t="shared" si="35"/>
        <v>1</v>
      </c>
    </row>
    <row r="770" spans="1:14" x14ac:dyDescent="0.35">
      <c r="A770" t="s">
        <v>2326</v>
      </c>
      <c r="B770" t="s">
        <v>2822</v>
      </c>
      <c r="C770" t="s">
        <v>1043</v>
      </c>
      <c r="D770">
        <v>12.172855</v>
      </c>
      <c r="E770" t="s">
        <v>35</v>
      </c>
      <c r="F770" s="1">
        <v>45797</v>
      </c>
      <c r="G770" s="1">
        <v>46058</v>
      </c>
      <c r="H770" t="s">
        <v>14</v>
      </c>
      <c r="I770" t="s">
        <v>2778</v>
      </c>
      <c r="J770">
        <v>264072</v>
      </c>
      <c r="K770" t="s">
        <v>30</v>
      </c>
      <c r="L770" t="str">
        <f t="shared" si="33"/>
        <v>Available</v>
      </c>
      <c r="M770">
        <f t="shared" si="34"/>
        <v>0</v>
      </c>
      <c r="N770">
        <f t="shared" si="35"/>
        <v>1</v>
      </c>
    </row>
    <row r="771" spans="1:14" x14ac:dyDescent="0.35">
      <c r="A771" t="s">
        <v>2327</v>
      </c>
      <c r="B771" t="s">
        <v>25</v>
      </c>
      <c r="C771" t="s">
        <v>1044</v>
      </c>
      <c r="D771">
        <v>23.75</v>
      </c>
      <c r="E771" t="s">
        <v>13</v>
      </c>
      <c r="F771" s="1">
        <v>44990</v>
      </c>
      <c r="G771" s="1">
        <v>46060</v>
      </c>
      <c r="H771" t="s">
        <v>14</v>
      </c>
      <c r="I771" s="2">
        <v>29523690</v>
      </c>
      <c r="J771">
        <v>266306</v>
      </c>
      <c r="K771" t="s">
        <v>15</v>
      </c>
      <c r="L771" t="str">
        <f t="shared" ref="L771:L834" si="36">IF(OR(B771="",ISBLANK(B771)),"Missing","Available")</f>
        <v>Available</v>
      </c>
      <c r="M771">
        <f t="shared" ref="M771:M834" si="37">IF(K771="Mapped",1,0)</f>
        <v>1</v>
      </c>
      <c r="N771">
        <f t="shared" ref="N771:N834" si="38">IF(AND(B771&lt;&gt;"",A771&lt;&gt;""),1,0)</f>
        <v>1</v>
      </c>
    </row>
    <row r="772" spans="1:14" x14ac:dyDescent="0.35">
      <c r="A772" t="s">
        <v>2328</v>
      </c>
      <c r="B772" t="s">
        <v>1115</v>
      </c>
      <c r="C772" t="s">
        <v>1045</v>
      </c>
      <c r="D772">
        <v>12</v>
      </c>
      <c r="E772" t="s">
        <v>13</v>
      </c>
      <c r="F772" s="1">
        <v>44497</v>
      </c>
      <c r="G772" s="1">
        <v>46060</v>
      </c>
      <c r="H772" t="s">
        <v>14</v>
      </c>
      <c r="I772" s="2">
        <v>35077</v>
      </c>
      <c r="J772">
        <v>264291</v>
      </c>
      <c r="K772" t="s">
        <v>30</v>
      </c>
      <c r="L772" t="str">
        <f t="shared" si="36"/>
        <v>Available</v>
      </c>
      <c r="M772">
        <f t="shared" si="37"/>
        <v>0</v>
      </c>
      <c r="N772">
        <f t="shared" si="38"/>
        <v>1</v>
      </c>
    </row>
    <row r="773" spans="1:14" x14ac:dyDescent="0.35">
      <c r="A773" t="s">
        <v>2329</v>
      </c>
      <c r="B773" t="s">
        <v>2864</v>
      </c>
      <c r="C773" t="s">
        <v>1047</v>
      </c>
      <c r="D773">
        <v>24</v>
      </c>
      <c r="E773" t="s">
        <v>13</v>
      </c>
      <c r="F773" s="1">
        <v>44498</v>
      </c>
      <c r="G773" s="1">
        <v>45952</v>
      </c>
      <c r="H773" t="s">
        <v>14</v>
      </c>
      <c r="I773" t="s">
        <v>2778</v>
      </c>
      <c r="J773">
        <v>261656</v>
      </c>
      <c r="K773" t="s">
        <v>15</v>
      </c>
      <c r="L773" t="str">
        <f t="shared" si="36"/>
        <v>Available</v>
      </c>
      <c r="M773">
        <f t="shared" si="37"/>
        <v>1</v>
      </c>
      <c r="N773">
        <f t="shared" si="38"/>
        <v>1</v>
      </c>
    </row>
    <row r="774" spans="1:14" x14ac:dyDescent="0.35">
      <c r="A774" t="s">
        <v>2330</v>
      </c>
      <c r="B774" t="s">
        <v>2778</v>
      </c>
      <c r="C774" t="s">
        <v>1048</v>
      </c>
      <c r="D774">
        <v>24</v>
      </c>
      <c r="E774" t="s">
        <v>13</v>
      </c>
      <c r="F774" s="1">
        <v>44500</v>
      </c>
      <c r="G774" s="1">
        <v>46059</v>
      </c>
      <c r="H774" t="s">
        <v>14</v>
      </c>
      <c r="I774" t="s">
        <v>2778</v>
      </c>
      <c r="J774">
        <v>264066</v>
      </c>
      <c r="K774" t="s">
        <v>30</v>
      </c>
      <c r="L774" t="str">
        <f t="shared" si="36"/>
        <v>Missing</v>
      </c>
      <c r="M774">
        <f t="shared" si="37"/>
        <v>0</v>
      </c>
      <c r="N774">
        <f t="shared" si="38"/>
        <v>0</v>
      </c>
    </row>
    <row r="775" spans="1:14" x14ac:dyDescent="0.35">
      <c r="A775" t="s">
        <v>2331</v>
      </c>
      <c r="B775" t="s">
        <v>53</v>
      </c>
      <c r="C775" t="s">
        <v>1049</v>
      </c>
      <c r="D775">
        <v>25</v>
      </c>
      <c r="E775" t="s">
        <v>13</v>
      </c>
      <c r="F775" s="1">
        <v>44600</v>
      </c>
      <c r="G775" s="1">
        <v>46059</v>
      </c>
      <c r="H775" t="s">
        <v>14</v>
      </c>
      <c r="I775" s="2">
        <v>18644461</v>
      </c>
      <c r="J775">
        <v>264044</v>
      </c>
      <c r="K775" t="s">
        <v>15</v>
      </c>
      <c r="L775" t="str">
        <f t="shared" si="36"/>
        <v>Available</v>
      </c>
      <c r="M775">
        <f t="shared" si="37"/>
        <v>1</v>
      </c>
      <c r="N775">
        <f t="shared" si="38"/>
        <v>1</v>
      </c>
    </row>
    <row r="776" spans="1:14" x14ac:dyDescent="0.35">
      <c r="A776" t="s">
        <v>2332</v>
      </c>
      <c r="B776" t="s">
        <v>2778</v>
      </c>
      <c r="C776" t="s">
        <v>1050</v>
      </c>
      <c r="D776">
        <v>38</v>
      </c>
      <c r="E776" t="s">
        <v>13</v>
      </c>
      <c r="F776" s="1">
        <v>44878</v>
      </c>
      <c r="G776" s="1">
        <v>46060</v>
      </c>
      <c r="H776" t="s">
        <v>14</v>
      </c>
      <c r="I776" s="2">
        <v>20562014</v>
      </c>
      <c r="J776">
        <v>262554</v>
      </c>
      <c r="K776" t="s">
        <v>30</v>
      </c>
      <c r="L776" t="str">
        <f t="shared" si="36"/>
        <v>Missing</v>
      </c>
      <c r="M776">
        <f t="shared" si="37"/>
        <v>0</v>
      </c>
      <c r="N776">
        <f t="shared" si="38"/>
        <v>0</v>
      </c>
    </row>
    <row r="777" spans="1:14" x14ac:dyDescent="0.35">
      <c r="A777" t="s">
        <v>2333</v>
      </c>
      <c r="B777" t="s">
        <v>2790</v>
      </c>
      <c r="C777" t="s">
        <v>969</v>
      </c>
      <c r="D777">
        <v>40</v>
      </c>
      <c r="E777" t="s">
        <v>13</v>
      </c>
      <c r="F777" s="1">
        <v>44497</v>
      </c>
      <c r="G777" s="1">
        <v>46059</v>
      </c>
      <c r="H777" t="s">
        <v>14</v>
      </c>
      <c r="I777" s="2">
        <v>17725621</v>
      </c>
      <c r="J777">
        <v>261712</v>
      </c>
      <c r="K777" t="s">
        <v>30</v>
      </c>
      <c r="L777" t="str">
        <f t="shared" si="36"/>
        <v>Available</v>
      </c>
      <c r="M777">
        <f t="shared" si="37"/>
        <v>0</v>
      </c>
      <c r="N777">
        <f t="shared" si="38"/>
        <v>1</v>
      </c>
    </row>
    <row r="778" spans="1:14" x14ac:dyDescent="0.35">
      <c r="A778" t="s">
        <v>2334</v>
      </c>
      <c r="B778" t="s">
        <v>453</v>
      </c>
      <c r="C778" t="s">
        <v>1051</v>
      </c>
      <c r="D778">
        <v>25</v>
      </c>
      <c r="E778" t="s">
        <v>13</v>
      </c>
      <c r="F778" s="1">
        <v>44497</v>
      </c>
      <c r="G778" s="1">
        <v>46059</v>
      </c>
      <c r="H778" t="s">
        <v>14</v>
      </c>
      <c r="I778" s="2">
        <v>19511375</v>
      </c>
      <c r="J778">
        <v>266984</v>
      </c>
      <c r="K778" t="s">
        <v>15</v>
      </c>
      <c r="L778" t="str">
        <f t="shared" si="36"/>
        <v>Available</v>
      </c>
      <c r="M778">
        <f t="shared" si="37"/>
        <v>1</v>
      </c>
      <c r="N778">
        <f t="shared" si="38"/>
        <v>1</v>
      </c>
    </row>
    <row r="779" spans="1:14" x14ac:dyDescent="0.35">
      <c r="A779" t="s">
        <v>2335</v>
      </c>
      <c r="B779" t="s">
        <v>1054</v>
      </c>
      <c r="C779" t="s">
        <v>1053</v>
      </c>
      <c r="D779">
        <v>24</v>
      </c>
      <c r="E779" t="s">
        <v>13</v>
      </c>
      <c r="F779" s="1">
        <v>44500</v>
      </c>
      <c r="G779" s="1">
        <v>46055</v>
      </c>
      <c r="H779" t="s">
        <v>14</v>
      </c>
      <c r="I779" s="2">
        <v>2798877</v>
      </c>
      <c r="J779">
        <v>264554</v>
      </c>
      <c r="K779" t="s">
        <v>15</v>
      </c>
      <c r="L779" t="str">
        <f t="shared" si="36"/>
        <v>Available</v>
      </c>
      <c r="M779">
        <f t="shared" si="37"/>
        <v>1</v>
      </c>
      <c r="N779">
        <f t="shared" si="38"/>
        <v>1</v>
      </c>
    </row>
    <row r="780" spans="1:14" x14ac:dyDescent="0.35">
      <c r="A780" t="s">
        <v>2336</v>
      </c>
      <c r="B780" t="s">
        <v>2877</v>
      </c>
      <c r="C780" t="s">
        <v>1055</v>
      </c>
      <c r="D780">
        <v>15</v>
      </c>
      <c r="E780" t="s">
        <v>13</v>
      </c>
      <c r="F780" s="1">
        <v>45336</v>
      </c>
      <c r="G780" s="1">
        <v>46056</v>
      </c>
      <c r="H780" t="s">
        <v>14</v>
      </c>
      <c r="I780" s="2">
        <v>33263853</v>
      </c>
      <c r="J780">
        <v>264300</v>
      </c>
      <c r="K780" t="s">
        <v>15</v>
      </c>
      <c r="L780" t="str">
        <f t="shared" si="36"/>
        <v>Available</v>
      </c>
      <c r="M780">
        <f t="shared" si="37"/>
        <v>1</v>
      </c>
      <c r="N780">
        <f t="shared" si="38"/>
        <v>1</v>
      </c>
    </row>
    <row r="781" spans="1:14" x14ac:dyDescent="0.35">
      <c r="A781" t="s">
        <v>2337</v>
      </c>
      <c r="B781" t="s">
        <v>2803</v>
      </c>
      <c r="C781" t="s">
        <v>1057</v>
      </c>
      <c r="D781">
        <v>32</v>
      </c>
      <c r="E781" t="s">
        <v>13</v>
      </c>
      <c r="F781" s="1">
        <v>44497</v>
      </c>
      <c r="G781" s="1">
        <v>46057</v>
      </c>
      <c r="H781" t="s">
        <v>14</v>
      </c>
      <c r="I781" t="s">
        <v>2778</v>
      </c>
      <c r="J781">
        <v>264024</v>
      </c>
      <c r="K781" t="s">
        <v>15</v>
      </c>
      <c r="L781" t="str">
        <f t="shared" si="36"/>
        <v>Available</v>
      </c>
      <c r="M781">
        <f t="shared" si="37"/>
        <v>1</v>
      </c>
      <c r="N781">
        <f t="shared" si="38"/>
        <v>1</v>
      </c>
    </row>
    <row r="782" spans="1:14" x14ac:dyDescent="0.35">
      <c r="A782" t="s">
        <v>2338</v>
      </c>
      <c r="B782" t="s">
        <v>273</v>
      </c>
      <c r="C782" t="s">
        <v>1058</v>
      </c>
      <c r="D782">
        <v>25</v>
      </c>
      <c r="E782" t="s">
        <v>13</v>
      </c>
      <c r="F782" s="1">
        <v>44497</v>
      </c>
      <c r="G782" s="1">
        <v>46059</v>
      </c>
      <c r="H782" t="s">
        <v>14</v>
      </c>
      <c r="I782" s="2">
        <v>175473</v>
      </c>
      <c r="J782">
        <v>264416</v>
      </c>
      <c r="K782" t="s">
        <v>15</v>
      </c>
      <c r="L782" t="str">
        <f t="shared" si="36"/>
        <v>Available</v>
      </c>
      <c r="M782">
        <f t="shared" si="37"/>
        <v>1</v>
      </c>
      <c r="N782">
        <f t="shared" si="38"/>
        <v>1</v>
      </c>
    </row>
    <row r="783" spans="1:14" x14ac:dyDescent="0.35">
      <c r="A783" t="s">
        <v>2339</v>
      </c>
      <c r="B783" t="s">
        <v>2790</v>
      </c>
      <c r="C783" t="s">
        <v>1059</v>
      </c>
      <c r="D783">
        <v>24</v>
      </c>
      <c r="E783" t="s">
        <v>13</v>
      </c>
      <c r="F783" s="1">
        <v>44497</v>
      </c>
      <c r="G783" s="1">
        <v>46059</v>
      </c>
      <c r="H783" t="s">
        <v>14</v>
      </c>
      <c r="I783" s="2">
        <v>17375585</v>
      </c>
      <c r="J783">
        <v>261830</v>
      </c>
      <c r="K783" t="s">
        <v>30</v>
      </c>
      <c r="L783" t="str">
        <f t="shared" si="36"/>
        <v>Available</v>
      </c>
      <c r="M783">
        <f t="shared" si="37"/>
        <v>0</v>
      </c>
      <c r="N783">
        <f t="shared" si="38"/>
        <v>1</v>
      </c>
    </row>
    <row r="784" spans="1:14" x14ac:dyDescent="0.35">
      <c r="A784" t="s">
        <v>2340</v>
      </c>
      <c r="B784" t="s">
        <v>445</v>
      </c>
      <c r="C784" t="s">
        <v>1060</v>
      </c>
      <c r="D784">
        <v>24</v>
      </c>
      <c r="E784" t="s">
        <v>13</v>
      </c>
      <c r="F784" s="1">
        <v>44497</v>
      </c>
      <c r="G784" s="1">
        <v>46059</v>
      </c>
      <c r="H784" t="s">
        <v>14</v>
      </c>
      <c r="I784" s="2">
        <v>3146180</v>
      </c>
      <c r="J784">
        <v>264758</v>
      </c>
      <c r="K784" t="s">
        <v>30</v>
      </c>
      <c r="L784" t="str">
        <f t="shared" si="36"/>
        <v>Available</v>
      </c>
      <c r="M784">
        <f t="shared" si="37"/>
        <v>0</v>
      </c>
      <c r="N784">
        <f t="shared" si="38"/>
        <v>1</v>
      </c>
    </row>
    <row r="785" spans="1:14" x14ac:dyDescent="0.35">
      <c r="A785" t="s">
        <v>2341</v>
      </c>
      <c r="B785" t="s">
        <v>1054</v>
      </c>
      <c r="C785" t="s">
        <v>1061</v>
      </c>
      <c r="D785">
        <v>24</v>
      </c>
      <c r="E785" t="s">
        <v>13</v>
      </c>
      <c r="F785" s="1">
        <v>44497</v>
      </c>
      <c r="G785" s="1">
        <v>46055</v>
      </c>
      <c r="H785" t="s">
        <v>14</v>
      </c>
      <c r="I785" s="2">
        <v>2798437</v>
      </c>
      <c r="J785">
        <v>264299</v>
      </c>
      <c r="K785" t="s">
        <v>30</v>
      </c>
      <c r="L785" t="str">
        <f t="shared" si="36"/>
        <v>Available</v>
      </c>
      <c r="M785">
        <f t="shared" si="37"/>
        <v>0</v>
      </c>
      <c r="N785">
        <f t="shared" si="38"/>
        <v>1</v>
      </c>
    </row>
    <row r="786" spans="1:14" x14ac:dyDescent="0.35">
      <c r="A786" t="s">
        <v>2342</v>
      </c>
      <c r="B786" t="s">
        <v>2878</v>
      </c>
      <c r="C786" t="s">
        <v>1062</v>
      </c>
      <c r="D786">
        <v>25</v>
      </c>
      <c r="E786" t="s">
        <v>13</v>
      </c>
      <c r="F786" s="1">
        <v>44497</v>
      </c>
      <c r="G786" s="1">
        <v>46059</v>
      </c>
      <c r="H786" t="s">
        <v>14</v>
      </c>
      <c r="I786" s="2">
        <v>98544</v>
      </c>
      <c r="J786">
        <v>261601</v>
      </c>
      <c r="K786" t="s">
        <v>30</v>
      </c>
      <c r="L786" t="str">
        <f t="shared" si="36"/>
        <v>Available</v>
      </c>
      <c r="M786">
        <f t="shared" si="37"/>
        <v>0</v>
      </c>
      <c r="N786">
        <f t="shared" si="38"/>
        <v>1</v>
      </c>
    </row>
    <row r="787" spans="1:14" x14ac:dyDescent="0.35">
      <c r="A787" t="s">
        <v>2343</v>
      </c>
      <c r="B787" t="s">
        <v>1065</v>
      </c>
      <c r="C787" t="s">
        <v>1064</v>
      </c>
      <c r="D787">
        <v>24</v>
      </c>
      <c r="E787" t="s">
        <v>13</v>
      </c>
      <c r="F787" s="1">
        <v>44502</v>
      </c>
      <c r="G787" s="1">
        <v>46059</v>
      </c>
      <c r="H787" t="s">
        <v>14</v>
      </c>
      <c r="I787" s="2">
        <v>22955797</v>
      </c>
      <c r="J787">
        <v>264307</v>
      </c>
      <c r="K787" t="s">
        <v>15</v>
      </c>
      <c r="L787" t="str">
        <f t="shared" si="36"/>
        <v>Available</v>
      </c>
      <c r="M787">
        <f t="shared" si="37"/>
        <v>1</v>
      </c>
      <c r="N787">
        <f t="shared" si="38"/>
        <v>1</v>
      </c>
    </row>
    <row r="788" spans="1:14" x14ac:dyDescent="0.35">
      <c r="A788" t="s">
        <v>2344</v>
      </c>
      <c r="B788" t="s">
        <v>318</v>
      </c>
      <c r="C788" t="s">
        <v>1066</v>
      </c>
      <c r="D788">
        <v>24</v>
      </c>
      <c r="E788" t="s">
        <v>13</v>
      </c>
      <c r="F788" s="1">
        <v>44497</v>
      </c>
      <c r="G788" s="1">
        <v>46059</v>
      </c>
      <c r="H788" t="s">
        <v>14</v>
      </c>
      <c r="I788" s="2">
        <v>18471108</v>
      </c>
      <c r="J788">
        <v>262021</v>
      </c>
      <c r="K788" t="s">
        <v>15</v>
      </c>
      <c r="L788" t="str">
        <f t="shared" si="36"/>
        <v>Available</v>
      </c>
      <c r="M788">
        <f t="shared" si="37"/>
        <v>1</v>
      </c>
      <c r="N788">
        <f t="shared" si="38"/>
        <v>1</v>
      </c>
    </row>
    <row r="789" spans="1:14" x14ac:dyDescent="0.35">
      <c r="A789" t="s">
        <v>2345</v>
      </c>
      <c r="B789" t="s">
        <v>103</v>
      </c>
      <c r="C789" t="s">
        <v>1067</v>
      </c>
      <c r="D789">
        <v>24</v>
      </c>
      <c r="E789" t="s">
        <v>13</v>
      </c>
      <c r="F789" s="1">
        <v>44787</v>
      </c>
      <c r="G789" s="1">
        <v>46059</v>
      </c>
      <c r="H789" t="s">
        <v>14</v>
      </c>
      <c r="I789" s="2">
        <v>27194218</v>
      </c>
      <c r="J789">
        <v>264649</v>
      </c>
      <c r="K789" t="s">
        <v>30</v>
      </c>
      <c r="L789" t="str">
        <f t="shared" si="36"/>
        <v>Available</v>
      </c>
      <c r="M789">
        <f t="shared" si="37"/>
        <v>0</v>
      </c>
      <c r="N789">
        <f t="shared" si="38"/>
        <v>1</v>
      </c>
    </row>
    <row r="790" spans="1:14" x14ac:dyDescent="0.35">
      <c r="A790" t="s">
        <v>2346</v>
      </c>
      <c r="B790" t="s">
        <v>439</v>
      </c>
      <c r="C790" t="s">
        <v>1068</v>
      </c>
      <c r="D790">
        <v>26</v>
      </c>
      <c r="E790" t="s">
        <v>13</v>
      </c>
      <c r="F790" s="1">
        <v>44497</v>
      </c>
      <c r="G790" s="1">
        <v>46056</v>
      </c>
      <c r="H790" t="s">
        <v>14</v>
      </c>
      <c r="I790" s="2">
        <v>17006886</v>
      </c>
      <c r="J790">
        <v>266299</v>
      </c>
      <c r="K790" t="s">
        <v>30</v>
      </c>
      <c r="L790" t="str">
        <f t="shared" si="36"/>
        <v>Available</v>
      </c>
      <c r="M790">
        <f t="shared" si="37"/>
        <v>0</v>
      </c>
      <c r="N790">
        <f t="shared" si="38"/>
        <v>1</v>
      </c>
    </row>
    <row r="791" spans="1:14" x14ac:dyDescent="0.35">
      <c r="A791" t="s">
        <v>2347</v>
      </c>
      <c r="B791" t="s">
        <v>2823</v>
      </c>
      <c r="C791" t="s">
        <v>1069</v>
      </c>
      <c r="D791">
        <v>24</v>
      </c>
      <c r="E791" t="s">
        <v>13</v>
      </c>
      <c r="F791" s="1">
        <v>44497</v>
      </c>
      <c r="G791" s="1">
        <v>46057</v>
      </c>
      <c r="H791" t="s">
        <v>14</v>
      </c>
      <c r="I791" s="2">
        <v>29178303</v>
      </c>
      <c r="J791">
        <v>264279</v>
      </c>
      <c r="K791" t="s">
        <v>15</v>
      </c>
      <c r="L791" t="str">
        <f t="shared" si="36"/>
        <v>Available</v>
      </c>
      <c r="M791">
        <f t="shared" si="37"/>
        <v>1</v>
      </c>
      <c r="N791">
        <f t="shared" si="38"/>
        <v>1</v>
      </c>
    </row>
    <row r="792" spans="1:14" x14ac:dyDescent="0.35">
      <c r="A792" t="s">
        <v>2348</v>
      </c>
      <c r="B792" t="s">
        <v>86</v>
      </c>
      <c r="C792" t="s">
        <v>1070</v>
      </c>
      <c r="D792">
        <v>24</v>
      </c>
      <c r="E792" t="s">
        <v>13</v>
      </c>
      <c r="F792" s="1">
        <v>44497</v>
      </c>
      <c r="G792" s="1">
        <v>46058</v>
      </c>
      <c r="H792" t="s">
        <v>14</v>
      </c>
      <c r="I792" s="2">
        <v>2691726</v>
      </c>
      <c r="J792">
        <v>264302</v>
      </c>
      <c r="K792" t="s">
        <v>30</v>
      </c>
      <c r="L792" t="str">
        <f t="shared" si="36"/>
        <v>Available</v>
      </c>
      <c r="M792">
        <f t="shared" si="37"/>
        <v>0</v>
      </c>
      <c r="N792">
        <f t="shared" si="38"/>
        <v>1</v>
      </c>
    </row>
    <row r="793" spans="1:14" x14ac:dyDescent="0.35">
      <c r="A793" t="s">
        <v>2349</v>
      </c>
      <c r="B793" t="s">
        <v>2790</v>
      </c>
      <c r="C793" t="s">
        <v>1071</v>
      </c>
      <c r="D793">
        <v>24</v>
      </c>
      <c r="E793" t="s">
        <v>13</v>
      </c>
      <c r="F793" s="1">
        <v>44497</v>
      </c>
      <c r="G793" s="1">
        <v>46060</v>
      </c>
      <c r="H793" t="s">
        <v>14</v>
      </c>
      <c r="I793" s="2">
        <v>24806</v>
      </c>
      <c r="J793">
        <v>264293</v>
      </c>
      <c r="K793" t="s">
        <v>30</v>
      </c>
      <c r="L793" t="str">
        <f t="shared" si="36"/>
        <v>Available</v>
      </c>
      <c r="M793">
        <f t="shared" si="37"/>
        <v>0</v>
      </c>
      <c r="N793">
        <f t="shared" si="38"/>
        <v>1</v>
      </c>
    </row>
    <row r="794" spans="1:14" x14ac:dyDescent="0.35">
      <c r="A794" t="s">
        <v>2350</v>
      </c>
      <c r="B794" t="s">
        <v>2790</v>
      </c>
      <c r="C794" t="s">
        <v>1072</v>
      </c>
      <c r="D794">
        <v>24</v>
      </c>
      <c r="E794" t="s">
        <v>13</v>
      </c>
      <c r="F794" s="1">
        <v>44497</v>
      </c>
      <c r="G794" s="1">
        <v>46060</v>
      </c>
      <c r="H794" t="s">
        <v>14</v>
      </c>
      <c r="I794" s="2">
        <v>53410</v>
      </c>
      <c r="J794">
        <v>264165</v>
      </c>
      <c r="K794" t="s">
        <v>15</v>
      </c>
      <c r="L794" t="str">
        <f t="shared" si="36"/>
        <v>Available</v>
      </c>
      <c r="M794">
        <f t="shared" si="37"/>
        <v>1</v>
      </c>
      <c r="N794">
        <f t="shared" si="38"/>
        <v>1</v>
      </c>
    </row>
    <row r="795" spans="1:14" x14ac:dyDescent="0.35">
      <c r="A795" t="s">
        <v>2351</v>
      </c>
      <c r="B795" t="s">
        <v>483</v>
      </c>
      <c r="C795" t="s">
        <v>1073</v>
      </c>
      <c r="D795">
        <v>16.906742000000001</v>
      </c>
      <c r="E795" t="s">
        <v>35</v>
      </c>
      <c r="F795" s="1">
        <v>45099</v>
      </c>
      <c r="G795" s="1">
        <v>46058</v>
      </c>
      <c r="H795" t="s">
        <v>14</v>
      </c>
      <c r="I795" t="s">
        <v>2778</v>
      </c>
      <c r="J795">
        <v>262293</v>
      </c>
      <c r="K795" t="s">
        <v>30</v>
      </c>
      <c r="L795" t="str">
        <f t="shared" si="36"/>
        <v>Available</v>
      </c>
      <c r="M795">
        <f t="shared" si="37"/>
        <v>0</v>
      </c>
      <c r="N795">
        <f t="shared" si="38"/>
        <v>1</v>
      </c>
    </row>
    <row r="796" spans="1:14" x14ac:dyDescent="0.35">
      <c r="A796" t="s">
        <v>2352</v>
      </c>
      <c r="B796" t="s">
        <v>790</v>
      </c>
      <c r="C796" t="s">
        <v>789</v>
      </c>
      <c r="D796">
        <v>24</v>
      </c>
      <c r="E796" t="s">
        <v>13</v>
      </c>
      <c r="F796" s="1">
        <v>44501</v>
      </c>
      <c r="G796" s="1">
        <v>46056</v>
      </c>
      <c r="H796" t="s">
        <v>14</v>
      </c>
      <c r="I796" s="2">
        <v>53391</v>
      </c>
      <c r="J796">
        <v>266877</v>
      </c>
      <c r="K796" t="s">
        <v>30</v>
      </c>
      <c r="L796" t="str">
        <f t="shared" si="36"/>
        <v>Available</v>
      </c>
      <c r="M796">
        <f t="shared" si="37"/>
        <v>0</v>
      </c>
      <c r="N796">
        <f t="shared" si="38"/>
        <v>1</v>
      </c>
    </row>
    <row r="797" spans="1:14" x14ac:dyDescent="0.35">
      <c r="A797" t="s">
        <v>2353</v>
      </c>
      <c r="B797" t="s">
        <v>439</v>
      </c>
      <c r="C797" t="s">
        <v>1074</v>
      </c>
      <c r="D797">
        <v>24</v>
      </c>
      <c r="E797" t="s">
        <v>13</v>
      </c>
      <c r="F797" s="1">
        <v>44497</v>
      </c>
      <c r="G797" s="1">
        <v>46059</v>
      </c>
      <c r="H797" t="s">
        <v>14</v>
      </c>
      <c r="I797" s="2">
        <v>16990885</v>
      </c>
      <c r="J797">
        <v>266300</v>
      </c>
      <c r="K797" t="s">
        <v>15</v>
      </c>
      <c r="L797" t="str">
        <f t="shared" si="36"/>
        <v>Available</v>
      </c>
      <c r="M797">
        <f t="shared" si="37"/>
        <v>1</v>
      </c>
      <c r="N797">
        <f t="shared" si="38"/>
        <v>1</v>
      </c>
    </row>
    <row r="798" spans="1:14" x14ac:dyDescent="0.35">
      <c r="A798" t="s">
        <v>2354</v>
      </c>
      <c r="B798" t="s">
        <v>2849</v>
      </c>
      <c r="C798" t="s">
        <v>1075</v>
      </c>
      <c r="D798">
        <v>25</v>
      </c>
      <c r="E798" t="s">
        <v>13</v>
      </c>
      <c r="F798" s="1">
        <v>44497</v>
      </c>
      <c r="G798" s="1">
        <v>46059</v>
      </c>
      <c r="H798" t="s">
        <v>14</v>
      </c>
      <c r="I798" s="2">
        <v>175341</v>
      </c>
      <c r="J798">
        <v>264467</v>
      </c>
      <c r="K798" t="s">
        <v>30</v>
      </c>
      <c r="L798" t="str">
        <f t="shared" si="36"/>
        <v>Available</v>
      </c>
      <c r="M798">
        <f t="shared" si="37"/>
        <v>0</v>
      </c>
      <c r="N798">
        <f t="shared" si="38"/>
        <v>1</v>
      </c>
    </row>
    <row r="799" spans="1:14" x14ac:dyDescent="0.35">
      <c r="A799" t="s">
        <v>2355</v>
      </c>
      <c r="B799" t="s">
        <v>41</v>
      </c>
      <c r="C799" t="s">
        <v>1076</v>
      </c>
      <c r="F799" s="1">
        <v>44497</v>
      </c>
      <c r="G799" s="1">
        <v>45124</v>
      </c>
      <c r="H799" t="s">
        <v>14</v>
      </c>
      <c r="I799" t="s">
        <v>2778</v>
      </c>
      <c r="J799">
        <v>264427</v>
      </c>
      <c r="K799" t="s">
        <v>30</v>
      </c>
      <c r="L799" t="str">
        <f t="shared" si="36"/>
        <v>Available</v>
      </c>
      <c r="M799">
        <f t="shared" si="37"/>
        <v>0</v>
      </c>
      <c r="N799">
        <f t="shared" si="38"/>
        <v>1</v>
      </c>
    </row>
    <row r="800" spans="1:14" x14ac:dyDescent="0.35">
      <c r="A800" t="s">
        <v>2356</v>
      </c>
      <c r="B800" t="s">
        <v>2778</v>
      </c>
      <c r="C800" t="s">
        <v>1077</v>
      </c>
      <c r="D800">
        <v>25</v>
      </c>
      <c r="E800" t="s">
        <v>13</v>
      </c>
      <c r="F800" s="1">
        <v>44805</v>
      </c>
      <c r="G800" s="1">
        <v>46058</v>
      </c>
      <c r="H800" t="s">
        <v>14</v>
      </c>
      <c r="I800" t="s">
        <v>2778</v>
      </c>
      <c r="J800">
        <v>266282</v>
      </c>
      <c r="K800" t="s">
        <v>15</v>
      </c>
      <c r="L800" t="str">
        <f t="shared" si="36"/>
        <v>Missing</v>
      </c>
      <c r="M800">
        <f t="shared" si="37"/>
        <v>1</v>
      </c>
      <c r="N800">
        <f t="shared" si="38"/>
        <v>0</v>
      </c>
    </row>
    <row r="801" spans="1:14" x14ac:dyDescent="0.35">
      <c r="A801" t="s">
        <v>2357</v>
      </c>
      <c r="B801" t="s">
        <v>137</v>
      </c>
      <c r="C801" t="s">
        <v>1078</v>
      </c>
      <c r="D801">
        <v>24</v>
      </c>
      <c r="E801" t="s">
        <v>13</v>
      </c>
      <c r="F801" s="1">
        <v>44501</v>
      </c>
      <c r="G801" s="1">
        <v>45324</v>
      </c>
      <c r="H801" t="s">
        <v>14</v>
      </c>
      <c r="I801" t="s">
        <v>2778</v>
      </c>
      <c r="J801">
        <v>264243</v>
      </c>
      <c r="K801" t="s">
        <v>15</v>
      </c>
      <c r="L801" t="str">
        <f t="shared" si="36"/>
        <v>Available</v>
      </c>
      <c r="M801">
        <f t="shared" si="37"/>
        <v>1</v>
      </c>
      <c r="N801">
        <f t="shared" si="38"/>
        <v>1</v>
      </c>
    </row>
    <row r="802" spans="1:14" x14ac:dyDescent="0.35">
      <c r="A802" t="s">
        <v>2358</v>
      </c>
      <c r="B802" t="s">
        <v>515</v>
      </c>
      <c r="C802" t="s">
        <v>1079</v>
      </c>
      <c r="D802">
        <v>24</v>
      </c>
      <c r="E802" t="s">
        <v>13</v>
      </c>
      <c r="F802" s="1">
        <v>44500</v>
      </c>
      <c r="G802" s="1">
        <v>46059</v>
      </c>
      <c r="H802" t="s">
        <v>14</v>
      </c>
      <c r="I802" s="2">
        <v>34713974</v>
      </c>
      <c r="J802">
        <v>261780</v>
      </c>
      <c r="K802" t="s">
        <v>30</v>
      </c>
      <c r="L802" t="str">
        <f t="shared" si="36"/>
        <v>Available</v>
      </c>
      <c r="M802">
        <f t="shared" si="37"/>
        <v>0</v>
      </c>
      <c r="N802">
        <f t="shared" si="38"/>
        <v>1</v>
      </c>
    </row>
    <row r="803" spans="1:14" x14ac:dyDescent="0.35">
      <c r="A803" t="s">
        <v>2359</v>
      </c>
      <c r="B803" t="s">
        <v>541</v>
      </c>
      <c r="C803" t="s">
        <v>1080</v>
      </c>
      <c r="D803">
        <v>25</v>
      </c>
      <c r="E803" t="s">
        <v>13</v>
      </c>
      <c r="F803" s="1">
        <v>44497</v>
      </c>
      <c r="G803" s="1">
        <v>45858</v>
      </c>
      <c r="H803" t="s">
        <v>14</v>
      </c>
      <c r="I803" t="s">
        <v>2778</v>
      </c>
      <c r="J803">
        <v>261654</v>
      </c>
      <c r="K803" t="s">
        <v>30</v>
      </c>
      <c r="L803" t="str">
        <f t="shared" si="36"/>
        <v>Available</v>
      </c>
      <c r="M803">
        <f t="shared" si="37"/>
        <v>0</v>
      </c>
      <c r="N803">
        <f t="shared" si="38"/>
        <v>1</v>
      </c>
    </row>
    <row r="804" spans="1:14" x14ac:dyDescent="0.35">
      <c r="A804" t="s">
        <v>2360</v>
      </c>
      <c r="B804" t="s">
        <v>58</v>
      </c>
      <c r="C804" t="s">
        <v>1081</v>
      </c>
      <c r="D804">
        <v>72</v>
      </c>
      <c r="E804" t="s">
        <v>13</v>
      </c>
      <c r="F804" s="1">
        <v>45680</v>
      </c>
      <c r="G804" s="1">
        <v>46058</v>
      </c>
      <c r="H804" t="s">
        <v>14</v>
      </c>
      <c r="I804" t="s">
        <v>2778</v>
      </c>
      <c r="J804">
        <v>261763</v>
      </c>
      <c r="K804" t="s">
        <v>30</v>
      </c>
      <c r="L804" t="str">
        <f t="shared" si="36"/>
        <v>Available</v>
      </c>
      <c r="M804">
        <f t="shared" si="37"/>
        <v>0</v>
      </c>
      <c r="N804">
        <f t="shared" si="38"/>
        <v>1</v>
      </c>
    </row>
    <row r="805" spans="1:14" x14ac:dyDescent="0.35">
      <c r="A805" t="s">
        <v>2361</v>
      </c>
      <c r="B805" t="s">
        <v>1155</v>
      </c>
      <c r="C805" t="s">
        <v>1082</v>
      </c>
      <c r="D805">
        <v>25</v>
      </c>
      <c r="E805" t="s">
        <v>13</v>
      </c>
      <c r="F805" s="1">
        <v>45448</v>
      </c>
      <c r="G805" s="1">
        <v>46059</v>
      </c>
      <c r="H805" t="s">
        <v>14</v>
      </c>
      <c r="I805" s="2">
        <v>26221343</v>
      </c>
      <c r="J805">
        <v>266516</v>
      </c>
      <c r="K805" t="s">
        <v>30</v>
      </c>
      <c r="L805" t="str">
        <f t="shared" si="36"/>
        <v>Available</v>
      </c>
      <c r="M805">
        <f t="shared" si="37"/>
        <v>0</v>
      </c>
      <c r="N805">
        <f t="shared" si="38"/>
        <v>1</v>
      </c>
    </row>
    <row r="806" spans="1:14" x14ac:dyDescent="0.35">
      <c r="A806" t="s">
        <v>2362</v>
      </c>
      <c r="B806" t="s">
        <v>1085</v>
      </c>
      <c r="C806" t="s">
        <v>1084</v>
      </c>
      <c r="D806">
        <v>15</v>
      </c>
      <c r="E806" t="s">
        <v>13</v>
      </c>
      <c r="F806" s="1">
        <v>44497</v>
      </c>
      <c r="G806" s="1">
        <v>46058</v>
      </c>
      <c r="H806" t="s">
        <v>14</v>
      </c>
      <c r="I806" s="2">
        <v>1541609</v>
      </c>
      <c r="J806">
        <v>261554</v>
      </c>
      <c r="K806" t="s">
        <v>30</v>
      </c>
      <c r="L806" t="str">
        <f t="shared" si="36"/>
        <v>Available</v>
      </c>
      <c r="M806">
        <f t="shared" si="37"/>
        <v>0</v>
      </c>
      <c r="N806">
        <f t="shared" si="38"/>
        <v>1</v>
      </c>
    </row>
    <row r="807" spans="1:14" x14ac:dyDescent="0.35">
      <c r="A807" t="s">
        <v>2363</v>
      </c>
      <c r="B807" t="s">
        <v>314</v>
      </c>
      <c r="C807" t="s">
        <v>1086</v>
      </c>
      <c r="D807">
        <v>24</v>
      </c>
      <c r="E807" t="s">
        <v>13</v>
      </c>
      <c r="F807" s="1">
        <v>45680</v>
      </c>
      <c r="G807" s="1">
        <v>46056</v>
      </c>
      <c r="H807" t="s">
        <v>14</v>
      </c>
      <c r="I807" s="2">
        <v>28322343</v>
      </c>
      <c r="J807">
        <v>264038</v>
      </c>
      <c r="K807" t="s">
        <v>15</v>
      </c>
      <c r="L807" t="str">
        <f t="shared" si="36"/>
        <v>Available</v>
      </c>
      <c r="M807">
        <f t="shared" si="37"/>
        <v>1</v>
      </c>
      <c r="N807">
        <f t="shared" si="38"/>
        <v>1</v>
      </c>
    </row>
    <row r="808" spans="1:14" x14ac:dyDescent="0.35">
      <c r="A808" t="s">
        <v>2364</v>
      </c>
      <c r="B808" t="s">
        <v>156</v>
      </c>
      <c r="C808" t="s">
        <v>1087</v>
      </c>
      <c r="D808">
        <v>32</v>
      </c>
      <c r="E808" t="s">
        <v>13</v>
      </c>
      <c r="F808" s="1">
        <v>45772</v>
      </c>
      <c r="G808" s="1">
        <v>46059</v>
      </c>
      <c r="H808" t="s">
        <v>14</v>
      </c>
      <c r="I808" s="2">
        <v>69976120</v>
      </c>
      <c r="J808">
        <v>266577</v>
      </c>
      <c r="K808" t="s">
        <v>30</v>
      </c>
      <c r="L808" t="str">
        <f t="shared" si="36"/>
        <v>Available</v>
      </c>
      <c r="M808">
        <f t="shared" si="37"/>
        <v>0</v>
      </c>
      <c r="N808">
        <f t="shared" si="38"/>
        <v>1</v>
      </c>
    </row>
    <row r="809" spans="1:14" x14ac:dyDescent="0.35">
      <c r="A809" t="s">
        <v>2365</v>
      </c>
      <c r="B809" t="s">
        <v>25</v>
      </c>
      <c r="C809" t="s">
        <v>1088</v>
      </c>
      <c r="D809">
        <v>59.174500000000002</v>
      </c>
      <c r="E809" t="s">
        <v>35</v>
      </c>
      <c r="F809" s="1">
        <v>44497</v>
      </c>
      <c r="G809" s="1">
        <v>46058</v>
      </c>
      <c r="H809" t="s">
        <v>14</v>
      </c>
      <c r="I809" t="s">
        <v>2778</v>
      </c>
      <c r="J809">
        <v>261836</v>
      </c>
      <c r="K809" t="s">
        <v>15</v>
      </c>
      <c r="L809" t="str">
        <f t="shared" si="36"/>
        <v>Available</v>
      </c>
      <c r="M809">
        <f t="shared" si="37"/>
        <v>1</v>
      </c>
      <c r="N809">
        <f t="shared" si="38"/>
        <v>1</v>
      </c>
    </row>
    <row r="810" spans="1:14" x14ac:dyDescent="0.35">
      <c r="A810" t="s">
        <v>2366</v>
      </c>
      <c r="B810" t="s">
        <v>2879</v>
      </c>
      <c r="C810" t="s">
        <v>1089</v>
      </c>
      <c r="D810">
        <v>24</v>
      </c>
      <c r="E810" t="s">
        <v>13</v>
      </c>
      <c r="F810" s="1">
        <v>44497</v>
      </c>
      <c r="G810" s="1">
        <v>46060</v>
      </c>
      <c r="H810" t="s">
        <v>14</v>
      </c>
      <c r="I810" s="2">
        <v>77122</v>
      </c>
      <c r="J810">
        <v>264114</v>
      </c>
      <c r="K810" t="s">
        <v>30</v>
      </c>
      <c r="L810" t="str">
        <f t="shared" si="36"/>
        <v>Available</v>
      </c>
      <c r="M810">
        <f t="shared" si="37"/>
        <v>0</v>
      </c>
      <c r="N810">
        <f t="shared" si="38"/>
        <v>1</v>
      </c>
    </row>
    <row r="811" spans="1:14" x14ac:dyDescent="0.35">
      <c r="A811" t="s">
        <v>2367</v>
      </c>
      <c r="B811" t="s">
        <v>205</v>
      </c>
      <c r="C811" t="s">
        <v>1091</v>
      </c>
      <c r="D811">
        <v>24</v>
      </c>
      <c r="E811" t="s">
        <v>13</v>
      </c>
      <c r="F811" s="1">
        <v>44497</v>
      </c>
      <c r="G811" s="1">
        <v>46058</v>
      </c>
      <c r="H811" t="s">
        <v>14</v>
      </c>
      <c r="I811" s="2">
        <v>2690795</v>
      </c>
      <c r="J811">
        <v>266314</v>
      </c>
      <c r="K811" t="s">
        <v>30</v>
      </c>
      <c r="L811" t="str">
        <f t="shared" si="36"/>
        <v>Available</v>
      </c>
      <c r="M811">
        <f t="shared" si="37"/>
        <v>0</v>
      </c>
      <c r="N811">
        <f t="shared" si="38"/>
        <v>1</v>
      </c>
    </row>
    <row r="812" spans="1:14" x14ac:dyDescent="0.35">
      <c r="A812" t="s">
        <v>2368</v>
      </c>
      <c r="B812" t="s">
        <v>2793</v>
      </c>
      <c r="C812" t="s">
        <v>1092</v>
      </c>
      <c r="D812">
        <v>21.911138000000001</v>
      </c>
      <c r="E812" t="s">
        <v>35</v>
      </c>
      <c r="F812" s="1">
        <v>44497</v>
      </c>
      <c r="G812" s="1">
        <v>46058</v>
      </c>
      <c r="H812" t="s">
        <v>14</v>
      </c>
      <c r="I812" t="s">
        <v>2778</v>
      </c>
      <c r="J812">
        <v>261862</v>
      </c>
      <c r="K812" t="s">
        <v>15</v>
      </c>
      <c r="L812" t="str">
        <f t="shared" si="36"/>
        <v>Available</v>
      </c>
      <c r="M812">
        <f t="shared" si="37"/>
        <v>1</v>
      </c>
      <c r="N812">
        <f t="shared" si="38"/>
        <v>1</v>
      </c>
    </row>
    <row r="813" spans="1:14" x14ac:dyDescent="0.35">
      <c r="A813" t="s">
        <v>2369</v>
      </c>
      <c r="B813" t="s">
        <v>2778</v>
      </c>
      <c r="C813" t="s">
        <v>1093</v>
      </c>
      <c r="D813">
        <v>24</v>
      </c>
      <c r="E813" t="s">
        <v>13</v>
      </c>
      <c r="F813" s="1">
        <v>44497</v>
      </c>
      <c r="G813" s="1">
        <v>46059</v>
      </c>
      <c r="H813" t="s">
        <v>14</v>
      </c>
      <c r="I813" s="2">
        <v>2680032</v>
      </c>
      <c r="J813">
        <v>264198</v>
      </c>
      <c r="K813" t="s">
        <v>15</v>
      </c>
      <c r="L813" t="str">
        <f t="shared" si="36"/>
        <v>Missing</v>
      </c>
      <c r="M813">
        <f t="shared" si="37"/>
        <v>1</v>
      </c>
      <c r="N813">
        <f t="shared" si="38"/>
        <v>0</v>
      </c>
    </row>
    <row r="814" spans="1:14" x14ac:dyDescent="0.35">
      <c r="A814" t="s">
        <v>2370</v>
      </c>
      <c r="B814" t="s">
        <v>203</v>
      </c>
      <c r="C814" t="s">
        <v>1094</v>
      </c>
      <c r="D814">
        <v>16</v>
      </c>
      <c r="E814" t="s">
        <v>13</v>
      </c>
      <c r="F814" s="1">
        <v>44937</v>
      </c>
      <c r="G814" s="1">
        <v>46059</v>
      </c>
      <c r="H814" t="s">
        <v>14</v>
      </c>
      <c r="I814" s="2">
        <v>26633752</v>
      </c>
      <c r="J814">
        <v>267039</v>
      </c>
      <c r="K814" t="s">
        <v>30</v>
      </c>
      <c r="L814" t="str">
        <f t="shared" si="36"/>
        <v>Available</v>
      </c>
      <c r="M814">
        <f t="shared" si="37"/>
        <v>0</v>
      </c>
      <c r="N814">
        <f t="shared" si="38"/>
        <v>1</v>
      </c>
    </row>
    <row r="815" spans="1:14" x14ac:dyDescent="0.35">
      <c r="A815" t="s">
        <v>2371</v>
      </c>
      <c r="B815" t="s">
        <v>2880</v>
      </c>
      <c r="C815" t="s">
        <v>1095</v>
      </c>
      <c r="D815">
        <v>35</v>
      </c>
      <c r="E815" t="s">
        <v>13</v>
      </c>
      <c r="F815" s="1">
        <v>44497</v>
      </c>
      <c r="G815" s="1">
        <v>46059</v>
      </c>
      <c r="H815" t="s">
        <v>14</v>
      </c>
      <c r="I815" s="2">
        <v>318853</v>
      </c>
      <c r="J815">
        <v>267077</v>
      </c>
      <c r="K815" t="s">
        <v>30</v>
      </c>
      <c r="L815" t="str">
        <f t="shared" si="36"/>
        <v>Available</v>
      </c>
      <c r="M815">
        <f t="shared" si="37"/>
        <v>0</v>
      </c>
      <c r="N815">
        <f t="shared" si="38"/>
        <v>1</v>
      </c>
    </row>
    <row r="816" spans="1:14" x14ac:dyDescent="0.35">
      <c r="A816" t="s">
        <v>2372</v>
      </c>
      <c r="B816" t="s">
        <v>926</v>
      </c>
      <c r="C816" t="s">
        <v>1097</v>
      </c>
      <c r="D816">
        <v>25</v>
      </c>
      <c r="E816" t="s">
        <v>13</v>
      </c>
      <c r="F816" s="1">
        <v>44500</v>
      </c>
      <c r="G816" s="1">
        <v>46057</v>
      </c>
      <c r="H816" t="s">
        <v>14</v>
      </c>
      <c r="I816" t="s">
        <v>2778</v>
      </c>
      <c r="J816">
        <v>261586</v>
      </c>
      <c r="K816" t="s">
        <v>30</v>
      </c>
      <c r="L816" t="str">
        <f t="shared" si="36"/>
        <v>Available</v>
      </c>
      <c r="M816">
        <f t="shared" si="37"/>
        <v>0</v>
      </c>
      <c r="N816">
        <f t="shared" si="38"/>
        <v>1</v>
      </c>
    </row>
    <row r="817" spans="1:14" x14ac:dyDescent="0.35">
      <c r="A817" t="s">
        <v>2373</v>
      </c>
      <c r="B817" t="s">
        <v>1099</v>
      </c>
      <c r="C817" t="s">
        <v>1098</v>
      </c>
      <c r="D817">
        <v>8</v>
      </c>
      <c r="E817" t="s">
        <v>13</v>
      </c>
      <c r="F817" s="1">
        <v>44497</v>
      </c>
      <c r="G817" s="1">
        <v>46059</v>
      </c>
      <c r="H817" t="s">
        <v>14</v>
      </c>
      <c r="I817" s="2">
        <v>16560607</v>
      </c>
      <c r="J817">
        <v>264331</v>
      </c>
      <c r="K817" t="s">
        <v>30</v>
      </c>
      <c r="L817" t="str">
        <f t="shared" si="36"/>
        <v>Available</v>
      </c>
      <c r="M817">
        <f t="shared" si="37"/>
        <v>0</v>
      </c>
      <c r="N817">
        <f t="shared" si="38"/>
        <v>1</v>
      </c>
    </row>
    <row r="818" spans="1:14" x14ac:dyDescent="0.35">
      <c r="A818" t="s">
        <v>2374</v>
      </c>
      <c r="B818" t="s">
        <v>2881</v>
      </c>
      <c r="C818" t="s">
        <v>1100</v>
      </c>
      <c r="D818">
        <v>33</v>
      </c>
      <c r="E818" t="s">
        <v>13</v>
      </c>
      <c r="F818" s="1">
        <v>44901</v>
      </c>
      <c r="G818" s="1">
        <v>46055</v>
      </c>
      <c r="H818" t="s">
        <v>14</v>
      </c>
      <c r="I818" s="2">
        <v>2812440</v>
      </c>
      <c r="J818">
        <v>264130</v>
      </c>
      <c r="K818" t="s">
        <v>15</v>
      </c>
      <c r="L818" t="str">
        <f t="shared" si="36"/>
        <v>Available</v>
      </c>
      <c r="M818">
        <f t="shared" si="37"/>
        <v>1</v>
      </c>
      <c r="N818">
        <f t="shared" si="38"/>
        <v>1</v>
      </c>
    </row>
    <row r="819" spans="1:14" x14ac:dyDescent="0.35">
      <c r="A819" t="s">
        <v>2375</v>
      </c>
      <c r="B819" t="s">
        <v>121</v>
      </c>
      <c r="C819" t="s">
        <v>1102</v>
      </c>
      <c r="D819">
        <v>24</v>
      </c>
      <c r="E819" t="s">
        <v>13</v>
      </c>
      <c r="F819" s="1">
        <v>45466</v>
      </c>
      <c r="G819" s="1">
        <v>46059</v>
      </c>
      <c r="H819" t="s">
        <v>14</v>
      </c>
      <c r="I819" s="2">
        <v>48569368</v>
      </c>
      <c r="J819">
        <v>266862</v>
      </c>
      <c r="K819" t="s">
        <v>30</v>
      </c>
      <c r="L819" t="str">
        <f t="shared" si="36"/>
        <v>Available</v>
      </c>
      <c r="M819">
        <f t="shared" si="37"/>
        <v>0</v>
      </c>
      <c r="N819">
        <f t="shared" si="38"/>
        <v>1</v>
      </c>
    </row>
    <row r="820" spans="1:14" x14ac:dyDescent="0.35">
      <c r="A820" t="s">
        <v>2376</v>
      </c>
      <c r="B820" t="s">
        <v>156</v>
      </c>
      <c r="C820" t="s">
        <v>1103</v>
      </c>
      <c r="D820">
        <v>32</v>
      </c>
      <c r="E820" t="s">
        <v>13</v>
      </c>
      <c r="F820" s="1">
        <v>44633</v>
      </c>
      <c r="G820" s="1">
        <v>46059</v>
      </c>
      <c r="H820" t="s">
        <v>14</v>
      </c>
      <c r="I820" s="2">
        <v>26962670</v>
      </c>
      <c r="J820">
        <v>266288</v>
      </c>
      <c r="K820" t="s">
        <v>15</v>
      </c>
      <c r="L820" t="str">
        <f t="shared" si="36"/>
        <v>Available</v>
      </c>
      <c r="M820">
        <f t="shared" si="37"/>
        <v>1</v>
      </c>
      <c r="N820">
        <f t="shared" si="38"/>
        <v>1</v>
      </c>
    </row>
    <row r="821" spans="1:14" x14ac:dyDescent="0.35">
      <c r="A821" t="s">
        <v>2377</v>
      </c>
      <c r="B821" t="s">
        <v>668</v>
      </c>
      <c r="C821" t="s">
        <v>1104</v>
      </c>
      <c r="D821">
        <v>24</v>
      </c>
      <c r="E821" t="s">
        <v>13</v>
      </c>
      <c r="F821" s="1">
        <v>44497</v>
      </c>
      <c r="G821" s="1">
        <v>46059</v>
      </c>
      <c r="H821" t="s">
        <v>14</v>
      </c>
      <c r="I821" s="2">
        <v>2581476</v>
      </c>
      <c r="J821">
        <v>267068</v>
      </c>
      <c r="K821" t="s">
        <v>15</v>
      </c>
      <c r="L821" t="str">
        <f t="shared" si="36"/>
        <v>Available</v>
      </c>
      <c r="M821">
        <f t="shared" si="37"/>
        <v>1</v>
      </c>
      <c r="N821">
        <f t="shared" si="38"/>
        <v>1</v>
      </c>
    </row>
    <row r="822" spans="1:14" x14ac:dyDescent="0.35">
      <c r="A822" t="s">
        <v>2378</v>
      </c>
      <c r="B822" t="s">
        <v>47</v>
      </c>
      <c r="C822" t="s">
        <v>1105</v>
      </c>
      <c r="D822">
        <v>24</v>
      </c>
      <c r="E822" t="s">
        <v>13</v>
      </c>
      <c r="F822" s="1">
        <v>44497</v>
      </c>
      <c r="G822" s="1">
        <v>46060</v>
      </c>
      <c r="H822" t="s">
        <v>14</v>
      </c>
      <c r="I822" s="2">
        <v>39244</v>
      </c>
      <c r="J822">
        <v>264334</v>
      </c>
      <c r="K822" t="s">
        <v>30</v>
      </c>
      <c r="L822" t="str">
        <f t="shared" si="36"/>
        <v>Available</v>
      </c>
      <c r="M822">
        <f t="shared" si="37"/>
        <v>0</v>
      </c>
      <c r="N822">
        <f t="shared" si="38"/>
        <v>1</v>
      </c>
    </row>
    <row r="823" spans="1:14" x14ac:dyDescent="0.35">
      <c r="A823" t="s">
        <v>2379</v>
      </c>
      <c r="B823" t="s">
        <v>199</v>
      </c>
      <c r="C823" t="s">
        <v>1106</v>
      </c>
      <c r="D823">
        <v>15</v>
      </c>
      <c r="E823" t="s">
        <v>13</v>
      </c>
      <c r="F823" s="1">
        <v>44497</v>
      </c>
      <c r="G823" s="1">
        <v>46059</v>
      </c>
      <c r="H823" t="s">
        <v>14</v>
      </c>
      <c r="I823" s="2">
        <v>39925</v>
      </c>
      <c r="J823">
        <v>261569</v>
      </c>
      <c r="K823" t="s">
        <v>30</v>
      </c>
      <c r="L823" t="str">
        <f t="shared" si="36"/>
        <v>Available</v>
      </c>
      <c r="M823">
        <f t="shared" si="37"/>
        <v>0</v>
      </c>
      <c r="N823">
        <f t="shared" si="38"/>
        <v>1</v>
      </c>
    </row>
    <row r="824" spans="1:14" x14ac:dyDescent="0.35">
      <c r="A824" t="s">
        <v>2380</v>
      </c>
      <c r="B824" t="s">
        <v>118</v>
      </c>
      <c r="C824" t="s">
        <v>1107</v>
      </c>
      <c r="D824">
        <v>24</v>
      </c>
      <c r="E824" t="s">
        <v>13</v>
      </c>
      <c r="F824" s="1">
        <v>45480</v>
      </c>
      <c r="G824" s="1">
        <v>46059</v>
      </c>
      <c r="H824" t="s">
        <v>14</v>
      </c>
      <c r="I824" s="2">
        <v>48699360</v>
      </c>
      <c r="J824">
        <v>266406</v>
      </c>
      <c r="K824" t="s">
        <v>30</v>
      </c>
      <c r="L824" t="str">
        <f t="shared" si="36"/>
        <v>Available</v>
      </c>
      <c r="M824">
        <f t="shared" si="37"/>
        <v>0</v>
      </c>
      <c r="N824">
        <f t="shared" si="38"/>
        <v>1</v>
      </c>
    </row>
    <row r="825" spans="1:14" x14ac:dyDescent="0.35">
      <c r="A825" t="s">
        <v>2381</v>
      </c>
      <c r="B825" t="s">
        <v>1109</v>
      </c>
      <c r="C825" t="s">
        <v>1108</v>
      </c>
      <c r="D825">
        <v>24</v>
      </c>
      <c r="E825" t="s">
        <v>13</v>
      </c>
      <c r="F825" s="1">
        <v>44497</v>
      </c>
      <c r="G825" s="1">
        <v>46059</v>
      </c>
      <c r="H825" t="s">
        <v>14</v>
      </c>
      <c r="I825" s="2">
        <v>288575</v>
      </c>
      <c r="J825">
        <v>262262</v>
      </c>
      <c r="K825" t="s">
        <v>15</v>
      </c>
      <c r="L825" t="str">
        <f t="shared" si="36"/>
        <v>Available</v>
      </c>
      <c r="M825">
        <f t="shared" si="37"/>
        <v>1</v>
      </c>
      <c r="N825">
        <f t="shared" si="38"/>
        <v>1</v>
      </c>
    </row>
    <row r="826" spans="1:14" x14ac:dyDescent="0.35">
      <c r="A826" t="s">
        <v>2382</v>
      </c>
      <c r="B826" t="s">
        <v>152</v>
      </c>
      <c r="C826" t="s">
        <v>1110</v>
      </c>
      <c r="D826">
        <v>24</v>
      </c>
      <c r="E826" t="s">
        <v>13</v>
      </c>
      <c r="F826" s="1">
        <v>45358</v>
      </c>
      <c r="G826" s="1">
        <v>46057</v>
      </c>
      <c r="H826" t="s">
        <v>14</v>
      </c>
      <c r="I826" t="s">
        <v>2778</v>
      </c>
      <c r="J826">
        <v>261633</v>
      </c>
      <c r="K826" t="s">
        <v>15</v>
      </c>
      <c r="L826" t="str">
        <f t="shared" si="36"/>
        <v>Available</v>
      </c>
      <c r="M826">
        <f t="shared" si="37"/>
        <v>1</v>
      </c>
      <c r="N826">
        <f t="shared" si="38"/>
        <v>1</v>
      </c>
    </row>
    <row r="827" spans="1:14" x14ac:dyDescent="0.35">
      <c r="A827" t="s">
        <v>2383</v>
      </c>
      <c r="B827" t="s">
        <v>168</v>
      </c>
      <c r="C827" t="s">
        <v>1111</v>
      </c>
      <c r="D827">
        <v>19.399999999999999</v>
      </c>
      <c r="E827" t="s">
        <v>13</v>
      </c>
      <c r="F827" s="1">
        <v>44497</v>
      </c>
      <c r="G827" s="1">
        <v>46059</v>
      </c>
      <c r="H827" t="s">
        <v>14</v>
      </c>
      <c r="I827" s="2">
        <v>19044640</v>
      </c>
      <c r="J827">
        <v>267078</v>
      </c>
      <c r="K827" t="s">
        <v>15</v>
      </c>
      <c r="L827" t="str">
        <f t="shared" si="36"/>
        <v>Available</v>
      </c>
      <c r="M827">
        <f t="shared" si="37"/>
        <v>1</v>
      </c>
      <c r="N827">
        <f t="shared" si="38"/>
        <v>1</v>
      </c>
    </row>
    <row r="828" spans="1:14" x14ac:dyDescent="0.35">
      <c r="A828" t="s">
        <v>2384</v>
      </c>
      <c r="B828" t="s">
        <v>318</v>
      </c>
      <c r="C828" t="s">
        <v>1112</v>
      </c>
      <c r="D828">
        <v>25.25</v>
      </c>
      <c r="E828" t="s">
        <v>13</v>
      </c>
      <c r="F828" s="1">
        <v>44497</v>
      </c>
      <c r="G828" s="1">
        <v>46059</v>
      </c>
      <c r="H828" t="s">
        <v>14</v>
      </c>
      <c r="I828" s="2">
        <v>20512683</v>
      </c>
      <c r="J828">
        <v>264461</v>
      </c>
      <c r="K828" t="s">
        <v>15</v>
      </c>
      <c r="L828" t="str">
        <f t="shared" si="36"/>
        <v>Available</v>
      </c>
      <c r="M828">
        <f t="shared" si="37"/>
        <v>1</v>
      </c>
      <c r="N828">
        <f t="shared" si="38"/>
        <v>1</v>
      </c>
    </row>
    <row r="829" spans="1:14" x14ac:dyDescent="0.35">
      <c r="A829" t="s">
        <v>2385</v>
      </c>
      <c r="B829" t="s">
        <v>2803</v>
      </c>
      <c r="C829" t="s">
        <v>1113</v>
      </c>
      <c r="D829">
        <v>28</v>
      </c>
      <c r="E829" t="s">
        <v>13</v>
      </c>
      <c r="F829" s="1">
        <v>44497</v>
      </c>
      <c r="G829" s="1">
        <v>46059</v>
      </c>
      <c r="H829" t="s">
        <v>14</v>
      </c>
      <c r="I829" s="2">
        <v>29327558</v>
      </c>
      <c r="J829">
        <v>261644</v>
      </c>
      <c r="K829" t="s">
        <v>15</v>
      </c>
      <c r="L829" t="str">
        <f t="shared" si="36"/>
        <v>Available</v>
      </c>
      <c r="M829">
        <f t="shared" si="37"/>
        <v>1</v>
      </c>
      <c r="N829">
        <f t="shared" si="38"/>
        <v>1</v>
      </c>
    </row>
    <row r="830" spans="1:14" x14ac:dyDescent="0.35">
      <c r="A830" t="s">
        <v>2386</v>
      </c>
      <c r="B830" t="s">
        <v>1115</v>
      </c>
      <c r="C830" t="s">
        <v>1114</v>
      </c>
      <c r="D830">
        <v>24</v>
      </c>
      <c r="E830" t="s">
        <v>13</v>
      </c>
      <c r="F830" s="1">
        <v>44497</v>
      </c>
      <c r="G830" s="1">
        <v>46059</v>
      </c>
      <c r="H830" t="s">
        <v>14</v>
      </c>
      <c r="I830" s="2">
        <v>147497</v>
      </c>
      <c r="J830">
        <v>261574</v>
      </c>
      <c r="K830" t="s">
        <v>15</v>
      </c>
      <c r="L830" t="str">
        <f t="shared" si="36"/>
        <v>Available</v>
      </c>
      <c r="M830">
        <f t="shared" si="37"/>
        <v>1</v>
      </c>
      <c r="N830">
        <f t="shared" si="38"/>
        <v>1</v>
      </c>
    </row>
    <row r="831" spans="1:14" x14ac:dyDescent="0.35">
      <c r="A831" t="s">
        <v>2387</v>
      </c>
      <c r="B831" t="s">
        <v>2882</v>
      </c>
      <c r="C831" t="s">
        <v>1116</v>
      </c>
      <c r="D831">
        <v>25</v>
      </c>
      <c r="E831" t="s">
        <v>13</v>
      </c>
      <c r="F831" s="1">
        <v>44680</v>
      </c>
      <c r="G831" s="1">
        <v>46056</v>
      </c>
      <c r="H831" t="s">
        <v>14</v>
      </c>
      <c r="I831" t="s">
        <v>2778</v>
      </c>
      <c r="J831">
        <v>266364</v>
      </c>
      <c r="K831" t="s">
        <v>30</v>
      </c>
      <c r="L831" t="str">
        <f t="shared" si="36"/>
        <v>Available</v>
      </c>
      <c r="M831">
        <f t="shared" si="37"/>
        <v>0</v>
      </c>
      <c r="N831">
        <f t="shared" si="38"/>
        <v>1</v>
      </c>
    </row>
    <row r="832" spans="1:14" x14ac:dyDescent="0.35">
      <c r="A832" t="s">
        <v>2388</v>
      </c>
      <c r="B832" t="s">
        <v>2805</v>
      </c>
      <c r="C832" t="s">
        <v>1118</v>
      </c>
      <c r="D832">
        <v>24</v>
      </c>
      <c r="E832" t="s">
        <v>13</v>
      </c>
      <c r="F832" s="1">
        <v>44497</v>
      </c>
      <c r="G832" s="1">
        <v>46058</v>
      </c>
      <c r="H832" t="s">
        <v>14</v>
      </c>
      <c r="I832" s="2">
        <v>333865</v>
      </c>
      <c r="J832">
        <v>261828</v>
      </c>
      <c r="K832" t="s">
        <v>30</v>
      </c>
      <c r="L832" t="str">
        <f t="shared" si="36"/>
        <v>Available</v>
      </c>
      <c r="M832">
        <f t="shared" si="37"/>
        <v>0</v>
      </c>
      <c r="N832">
        <f t="shared" si="38"/>
        <v>1</v>
      </c>
    </row>
    <row r="833" spans="1:14" x14ac:dyDescent="0.35">
      <c r="A833" t="s">
        <v>2389</v>
      </c>
      <c r="B833" t="s">
        <v>2808</v>
      </c>
      <c r="C833" t="s">
        <v>1119</v>
      </c>
      <c r="D833">
        <v>24</v>
      </c>
      <c r="E833" t="s">
        <v>13</v>
      </c>
      <c r="F833" s="1">
        <v>45735</v>
      </c>
      <c r="G833" s="1">
        <v>46060</v>
      </c>
      <c r="H833" t="s">
        <v>14</v>
      </c>
      <c r="I833" s="2">
        <v>64392530</v>
      </c>
      <c r="J833">
        <v>264658</v>
      </c>
      <c r="K833" t="s">
        <v>15</v>
      </c>
      <c r="L833" t="str">
        <f t="shared" si="36"/>
        <v>Available</v>
      </c>
      <c r="M833">
        <f t="shared" si="37"/>
        <v>1</v>
      </c>
      <c r="N833">
        <f t="shared" si="38"/>
        <v>1</v>
      </c>
    </row>
    <row r="834" spans="1:14" x14ac:dyDescent="0.35">
      <c r="A834" t="s">
        <v>2390</v>
      </c>
      <c r="B834" t="s">
        <v>58</v>
      </c>
      <c r="C834" t="s">
        <v>1120</v>
      </c>
      <c r="D834">
        <v>21.978764999999999</v>
      </c>
      <c r="E834" t="s">
        <v>35</v>
      </c>
      <c r="F834" s="1">
        <v>44497</v>
      </c>
      <c r="G834" s="1">
        <v>45638</v>
      </c>
      <c r="H834" t="s">
        <v>14</v>
      </c>
      <c r="I834" t="s">
        <v>2778</v>
      </c>
      <c r="J834">
        <v>266853</v>
      </c>
      <c r="K834" t="s">
        <v>30</v>
      </c>
      <c r="L834" t="str">
        <f t="shared" si="36"/>
        <v>Available</v>
      </c>
      <c r="M834">
        <f t="shared" si="37"/>
        <v>0</v>
      </c>
      <c r="N834">
        <f t="shared" si="38"/>
        <v>1</v>
      </c>
    </row>
    <row r="835" spans="1:14" x14ac:dyDescent="0.35">
      <c r="A835" t="s">
        <v>2391</v>
      </c>
      <c r="B835" t="s">
        <v>293</v>
      </c>
      <c r="C835" t="s">
        <v>1121</v>
      </c>
      <c r="D835">
        <v>18.5</v>
      </c>
      <c r="E835" t="s">
        <v>13</v>
      </c>
      <c r="F835" s="1">
        <v>44497</v>
      </c>
      <c r="G835" s="1">
        <v>46059</v>
      </c>
      <c r="H835" t="s">
        <v>14</v>
      </c>
      <c r="I835" s="2">
        <v>260921</v>
      </c>
      <c r="J835">
        <v>262626</v>
      </c>
      <c r="K835" t="s">
        <v>15</v>
      </c>
      <c r="L835" t="str">
        <f t="shared" ref="L835:L898" si="39">IF(OR(B835="",ISBLANK(B835)),"Missing","Available")</f>
        <v>Available</v>
      </c>
      <c r="M835">
        <f t="shared" ref="M835:M898" si="40">IF(K835="Mapped",1,0)</f>
        <v>1</v>
      </c>
      <c r="N835">
        <f t="shared" ref="N835:N898" si="41">IF(AND(B835&lt;&gt;"",A835&lt;&gt;""),1,0)</f>
        <v>1</v>
      </c>
    </row>
    <row r="836" spans="1:14" x14ac:dyDescent="0.35">
      <c r="A836" t="s">
        <v>2392</v>
      </c>
      <c r="B836" t="s">
        <v>2883</v>
      </c>
      <c r="C836" t="s">
        <v>1122</v>
      </c>
      <c r="D836">
        <v>15</v>
      </c>
      <c r="E836" t="s">
        <v>13</v>
      </c>
      <c r="F836" s="1">
        <v>45141</v>
      </c>
      <c r="G836" s="1">
        <v>46059</v>
      </c>
      <c r="H836" t="s">
        <v>14</v>
      </c>
      <c r="I836" s="2">
        <v>33263823</v>
      </c>
      <c r="J836">
        <v>264468</v>
      </c>
      <c r="K836" t="s">
        <v>15</v>
      </c>
      <c r="L836" t="str">
        <f t="shared" si="39"/>
        <v>Available</v>
      </c>
      <c r="M836">
        <f t="shared" si="40"/>
        <v>1</v>
      </c>
      <c r="N836">
        <f t="shared" si="41"/>
        <v>1</v>
      </c>
    </row>
    <row r="837" spans="1:14" x14ac:dyDescent="0.35">
      <c r="A837" t="s">
        <v>2393</v>
      </c>
      <c r="B837" t="s">
        <v>2778</v>
      </c>
      <c r="C837" t="s">
        <v>1124</v>
      </c>
      <c r="D837">
        <v>53</v>
      </c>
      <c r="E837" t="s">
        <v>13</v>
      </c>
      <c r="F837" s="1">
        <v>44969</v>
      </c>
      <c r="G837" s="1">
        <v>45600</v>
      </c>
      <c r="H837" t="s">
        <v>14</v>
      </c>
      <c r="I837" t="s">
        <v>2778</v>
      </c>
      <c r="J837">
        <v>264433</v>
      </c>
      <c r="K837" t="s">
        <v>15</v>
      </c>
      <c r="L837" t="str">
        <f t="shared" si="39"/>
        <v>Missing</v>
      </c>
      <c r="M837">
        <f t="shared" si="40"/>
        <v>1</v>
      </c>
      <c r="N837">
        <f t="shared" si="41"/>
        <v>0</v>
      </c>
    </row>
    <row r="838" spans="1:14" x14ac:dyDescent="0.35">
      <c r="A838" t="s">
        <v>2394</v>
      </c>
      <c r="B838" t="s">
        <v>318</v>
      </c>
      <c r="C838" t="s">
        <v>1125</v>
      </c>
      <c r="D838">
        <v>24</v>
      </c>
      <c r="E838" t="s">
        <v>13</v>
      </c>
      <c r="F838" s="1">
        <v>44497</v>
      </c>
      <c r="G838" s="1">
        <v>46059</v>
      </c>
      <c r="H838" t="s">
        <v>14</v>
      </c>
      <c r="I838" s="2">
        <v>2870614</v>
      </c>
      <c r="J838">
        <v>261500</v>
      </c>
      <c r="K838" t="s">
        <v>15</v>
      </c>
      <c r="L838" t="str">
        <f t="shared" si="39"/>
        <v>Available</v>
      </c>
      <c r="M838">
        <f t="shared" si="40"/>
        <v>1</v>
      </c>
      <c r="N838">
        <f t="shared" si="41"/>
        <v>1</v>
      </c>
    </row>
    <row r="839" spans="1:14" x14ac:dyDescent="0.35">
      <c r="A839" t="s">
        <v>2395</v>
      </c>
      <c r="B839" t="s">
        <v>346</v>
      </c>
      <c r="C839" t="s">
        <v>1126</v>
      </c>
      <c r="D839">
        <v>24.3</v>
      </c>
      <c r="E839" t="s">
        <v>13</v>
      </c>
      <c r="F839" s="1">
        <v>44497</v>
      </c>
      <c r="G839" s="1">
        <v>46059</v>
      </c>
      <c r="H839" t="s">
        <v>14</v>
      </c>
      <c r="I839" s="2">
        <v>170940</v>
      </c>
      <c r="J839">
        <v>261715</v>
      </c>
      <c r="K839" t="s">
        <v>15</v>
      </c>
      <c r="L839" t="str">
        <f t="shared" si="39"/>
        <v>Available</v>
      </c>
      <c r="M839">
        <f t="shared" si="40"/>
        <v>1</v>
      </c>
      <c r="N839">
        <f t="shared" si="41"/>
        <v>1</v>
      </c>
    </row>
    <row r="840" spans="1:14" x14ac:dyDescent="0.35">
      <c r="A840" t="s">
        <v>2396</v>
      </c>
      <c r="B840" t="s">
        <v>2819</v>
      </c>
      <c r="C840" t="s">
        <v>1127</v>
      </c>
      <c r="D840">
        <v>24</v>
      </c>
      <c r="E840" t="s">
        <v>13</v>
      </c>
      <c r="F840" s="1">
        <v>45805</v>
      </c>
      <c r="G840" s="1">
        <v>45952</v>
      </c>
      <c r="H840" t="s">
        <v>14</v>
      </c>
      <c r="I840" t="s">
        <v>2778</v>
      </c>
      <c r="J840">
        <v>262599</v>
      </c>
      <c r="K840" t="s">
        <v>30</v>
      </c>
      <c r="L840" t="str">
        <f t="shared" si="39"/>
        <v>Available</v>
      </c>
      <c r="M840">
        <f t="shared" si="40"/>
        <v>0</v>
      </c>
      <c r="N840">
        <f t="shared" si="41"/>
        <v>1</v>
      </c>
    </row>
    <row r="841" spans="1:14" x14ac:dyDescent="0.35">
      <c r="A841" t="s">
        <v>2397</v>
      </c>
      <c r="B841" t="s">
        <v>445</v>
      </c>
      <c r="C841" t="s">
        <v>1128</v>
      </c>
      <c r="D841">
        <v>16</v>
      </c>
      <c r="E841" t="s">
        <v>13</v>
      </c>
      <c r="F841" s="1">
        <v>45039</v>
      </c>
      <c r="G841" s="1">
        <v>46058</v>
      </c>
      <c r="H841" t="s">
        <v>14</v>
      </c>
      <c r="I841" s="2">
        <v>27910621</v>
      </c>
      <c r="J841">
        <v>261499</v>
      </c>
      <c r="K841" t="s">
        <v>15</v>
      </c>
      <c r="L841" t="str">
        <f t="shared" si="39"/>
        <v>Available</v>
      </c>
      <c r="M841">
        <f t="shared" si="40"/>
        <v>1</v>
      </c>
      <c r="N841">
        <f t="shared" si="41"/>
        <v>1</v>
      </c>
    </row>
    <row r="842" spans="1:14" x14ac:dyDescent="0.35">
      <c r="A842" t="s">
        <v>2398</v>
      </c>
      <c r="B842" t="s">
        <v>2838</v>
      </c>
      <c r="C842" t="s">
        <v>1129</v>
      </c>
      <c r="D842">
        <v>32</v>
      </c>
      <c r="E842" t="s">
        <v>13</v>
      </c>
      <c r="F842" s="1">
        <v>44948</v>
      </c>
      <c r="G842" s="1">
        <v>46057</v>
      </c>
      <c r="H842" t="s">
        <v>14</v>
      </c>
      <c r="I842" s="2">
        <v>27590178</v>
      </c>
      <c r="J842">
        <v>262616</v>
      </c>
      <c r="K842" t="s">
        <v>15</v>
      </c>
      <c r="L842" t="str">
        <f t="shared" si="39"/>
        <v>Available</v>
      </c>
      <c r="M842">
        <f t="shared" si="40"/>
        <v>1</v>
      </c>
      <c r="N842">
        <f t="shared" si="41"/>
        <v>1</v>
      </c>
    </row>
    <row r="843" spans="1:14" x14ac:dyDescent="0.35">
      <c r="A843" t="s">
        <v>2399</v>
      </c>
      <c r="B843" t="s">
        <v>152</v>
      </c>
      <c r="C843" t="s">
        <v>1130</v>
      </c>
      <c r="D843">
        <v>24</v>
      </c>
      <c r="E843" t="s">
        <v>13</v>
      </c>
      <c r="F843" s="1">
        <v>44497</v>
      </c>
      <c r="G843" s="1">
        <v>46057</v>
      </c>
      <c r="H843" t="s">
        <v>14</v>
      </c>
      <c r="I843" t="s">
        <v>2778</v>
      </c>
      <c r="J843">
        <v>266832</v>
      </c>
      <c r="K843" t="s">
        <v>15</v>
      </c>
      <c r="L843" t="str">
        <f t="shared" si="39"/>
        <v>Available</v>
      </c>
      <c r="M843">
        <f t="shared" si="40"/>
        <v>1</v>
      </c>
      <c r="N843">
        <f t="shared" si="41"/>
        <v>1</v>
      </c>
    </row>
    <row r="844" spans="1:14" x14ac:dyDescent="0.35">
      <c r="A844" t="s">
        <v>2400</v>
      </c>
      <c r="B844" t="s">
        <v>1132</v>
      </c>
      <c r="C844" t="s">
        <v>1131</v>
      </c>
      <c r="D844">
        <v>23.5</v>
      </c>
      <c r="E844" t="s">
        <v>13</v>
      </c>
      <c r="F844" s="1">
        <v>44497</v>
      </c>
      <c r="G844" s="1">
        <v>46059</v>
      </c>
      <c r="H844" t="s">
        <v>14</v>
      </c>
      <c r="I844" t="s">
        <v>2778</v>
      </c>
      <c r="J844">
        <v>261772</v>
      </c>
      <c r="K844" t="s">
        <v>30</v>
      </c>
      <c r="L844" t="str">
        <f t="shared" si="39"/>
        <v>Available</v>
      </c>
      <c r="M844">
        <f t="shared" si="40"/>
        <v>0</v>
      </c>
      <c r="N844">
        <f t="shared" si="41"/>
        <v>1</v>
      </c>
    </row>
    <row r="845" spans="1:14" x14ac:dyDescent="0.35">
      <c r="A845" t="s">
        <v>2401</v>
      </c>
      <c r="B845" t="s">
        <v>875</v>
      </c>
      <c r="C845" t="s">
        <v>1133</v>
      </c>
      <c r="D845">
        <v>24</v>
      </c>
      <c r="E845" t="s">
        <v>13</v>
      </c>
      <c r="F845" s="1">
        <v>44713</v>
      </c>
      <c r="G845" s="1">
        <v>46059</v>
      </c>
      <c r="H845" t="s">
        <v>14</v>
      </c>
      <c r="I845" s="2">
        <v>24845276</v>
      </c>
      <c r="J845">
        <v>261503</v>
      </c>
      <c r="K845" t="s">
        <v>30</v>
      </c>
      <c r="L845" t="str">
        <f t="shared" si="39"/>
        <v>Available</v>
      </c>
      <c r="M845">
        <f t="shared" si="40"/>
        <v>0</v>
      </c>
      <c r="N845">
        <f t="shared" si="41"/>
        <v>1</v>
      </c>
    </row>
    <row r="846" spans="1:14" x14ac:dyDescent="0.35">
      <c r="A846" t="s">
        <v>2402</v>
      </c>
      <c r="B846" t="s">
        <v>811</v>
      </c>
      <c r="C846" t="s">
        <v>1134</v>
      </c>
      <c r="D846">
        <v>24</v>
      </c>
      <c r="E846" t="s">
        <v>13</v>
      </c>
      <c r="F846" s="1">
        <v>44497</v>
      </c>
      <c r="G846" s="1">
        <v>46059</v>
      </c>
      <c r="H846" t="s">
        <v>14</v>
      </c>
      <c r="I846" s="2">
        <v>91491</v>
      </c>
      <c r="J846">
        <v>266865</v>
      </c>
      <c r="K846" t="s">
        <v>15</v>
      </c>
      <c r="L846" t="str">
        <f t="shared" si="39"/>
        <v>Available</v>
      </c>
      <c r="M846">
        <f t="shared" si="40"/>
        <v>1</v>
      </c>
      <c r="N846">
        <f t="shared" si="41"/>
        <v>1</v>
      </c>
    </row>
    <row r="847" spans="1:14" x14ac:dyDescent="0.35">
      <c r="A847" t="s">
        <v>2403</v>
      </c>
      <c r="B847" t="s">
        <v>2778</v>
      </c>
      <c r="C847" t="s">
        <v>1135</v>
      </c>
      <c r="D847">
        <v>24</v>
      </c>
      <c r="E847" t="s">
        <v>13</v>
      </c>
      <c r="F847" s="1">
        <v>44593</v>
      </c>
      <c r="G847" s="1">
        <v>45524</v>
      </c>
      <c r="H847" t="s">
        <v>14</v>
      </c>
      <c r="I847" t="s">
        <v>2778</v>
      </c>
      <c r="J847">
        <v>261814</v>
      </c>
      <c r="K847" t="s">
        <v>30</v>
      </c>
      <c r="L847" t="str">
        <f t="shared" si="39"/>
        <v>Missing</v>
      </c>
      <c r="M847">
        <f t="shared" si="40"/>
        <v>0</v>
      </c>
      <c r="N847">
        <f t="shared" si="41"/>
        <v>0</v>
      </c>
    </row>
    <row r="848" spans="1:14" x14ac:dyDescent="0.35">
      <c r="A848" t="s">
        <v>2404</v>
      </c>
      <c r="B848" t="s">
        <v>2884</v>
      </c>
      <c r="C848" t="s">
        <v>1136</v>
      </c>
      <c r="D848">
        <v>24</v>
      </c>
      <c r="E848" t="s">
        <v>13</v>
      </c>
      <c r="F848" s="1">
        <v>44501</v>
      </c>
      <c r="G848" s="1">
        <v>46054</v>
      </c>
      <c r="H848" t="s">
        <v>14</v>
      </c>
      <c r="I848" s="2">
        <v>162274</v>
      </c>
      <c r="J848">
        <v>261759</v>
      </c>
      <c r="K848" t="s">
        <v>30</v>
      </c>
      <c r="L848" t="str">
        <f t="shared" si="39"/>
        <v>Available</v>
      </c>
      <c r="M848">
        <f t="shared" si="40"/>
        <v>0</v>
      </c>
      <c r="N848">
        <f t="shared" si="41"/>
        <v>1</v>
      </c>
    </row>
    <row r="849" spans="1:14" x14ac:dyDescent="0.35">
      <c r="A849" t="s">
        <v>2405</v>
      </c>
      <c r="B849" t="s">
        <v>2795</v>
      </c>
      <c r="C849" t="s">
        <v>1138</v>
      </c>
      <c r="D849">
        <v>25</v>
      </c>
      <c r="E849" t="s">
        <v>13</v>
      </c>
      <c r="F849" s="1">
        <v>44497</v>
      </c>
      <c r="G849" s="1">
        <v>46059</v>
      </c>
      <c r="H849" t="s">
        <v>14</v>
      </c>
      <c r="I849" s="2">
        <v>22696564</v>
      </c>
      <c r="J849">
        <v>266827</v>
      </c>
      <c r="K849" t="s">
        <v>30</v>
      </c>
      <c r="L849" t="str">
        <f t="shared" si="39"/>
        <v>Available</v>
      </c>
      <c r="M849">
        <f t="shared" si="40"/>
        <v>0</v>
      </c>
      <c r="N849">
        <f t="shared" si="41"/>
        <v>1</v>
      </c>
    </row>
    <row r="850" spans="1:14" x14ac:dyDescent="0.35">
      <c r="A850" t="s">
        <v>2406</v>
      </c>
      <c r="B850" t="s">
        <v>2836</v>
      </c>
      <c r="C850" t="s">
        <v>1139</v>
      </c>
      <c r="F850" s="1">
        <v>45019</v>
      </c>
      <c r="G850" s="1">
        <v>45099</v>
      </c>
      <c r="H850" t="s">
        <v>14</v>
      </c>
      <c r="I850" t="s">
        <v>2778</v>
      </c>
      <c r="J850">
        <v>266848</v>
      </c>
      <c r="K850" t="s">
        <v>30</v>
      </c>
      <c r="L850" t="str">
        <f t="shared" si="39"/>
        <v>Available</v>
      </c>
      <c r="M850">
        <f t="shared" si="40"/>
        <v>0</v>
      </c>
      <c r="N850">
        <f t="shared" si="41"/>
        <v>1</v>
      </c>
    </row>
    <row r="851" spans="1:14" x14ac:dyDescent="0.35">
      <c r="A851" t="s">
        <v>2407</v>
      </c>
      <c r="B851" t="s">
        <v>626</v>
      </c>
      <c r="C851" t="s">
        <v>625</v>
      </c>
      <c r="D851">
        <v>24</v>
      </c>
      <c r="E851" t="s">
        <v>13</v>
      </c>
      <c r="F851" s="1">
        <v>44497</v>
      </c>
      <c r="G851" s="1">
        <v>46058</v>
      </c>
      <c r="H851" t="s">
        <v>14</v>
      </c>
      <c r="I851" t="s">
        <v>2778</v>
      </c>
      <c r="J851">
        <v>264110</v>
      </c>
      <c r="K851" t="s">
        <v>30</v>
      </c>
      <c r="L851" t="str">
        <f t="shared" si="39"/>
        <v>Available</v>
      </c>
      <c r="M851">
        <f t="shared" si="40"/>
        <v>0</v>
      </c>
      <c r="N851">
        <f t="shared" si="41"/>
        <v>1</v>
      </c>
    </row>
    <row r="852" spans="1:14" x14ac:dyDescent="0.35">
      <c r="A852" t="s">
        <v>2408</v>
      </c>
      <c r="B852" t="s">
        <v>41</v>
      </c>
      <c r="C852" t="s">
        <v>1140</v>
      </c>
      <c r="D852">
        <v>24.3</v>
      </c>
      <c r="E852" t="s">
        <v>13</v>
      </c>
      <c r="F852" s="1">
        <v>44497</v>
      </c>
      <c r="G852" s="1">
        <v>46058</v>
      </c>
      <c r="H852" t="s">
        <v>14</v>
      </c>
      <c r="I852" s="2">
        <v>333889</v>
      </c>
      <c r="J852">
        <v>266510</v>
      </c>
      <c r="K852" t="s">
        <v>30</v>
      </c>
      <c r="L852" t="str">
        <f t="shared" si="39"/>
        <v>Available</v>
      </c>
      <c r="M852">
        <f t="shared" si="40"/>
        <v>0</v>
      </c>
      <c r="N852">
        <f t="shared" si="41"/>
        <v>1</v>
      </c>
    </row>
    <row r="853" spans="1:14" x14ac:dyDescent="0.35">
      <c r="A853" t="s">
        <v>2409</v>
      </c>
      <c r="B853" t="s">
        <v>1142</v>
      </c>
      <c r="C853" t="s">
        <v>1141</v>
      </c>
      <c r="D853">
        <v>16</v>
      </c>
      <c r="E853" t="s">
        <v>13</v>
      </c>
      <c r="F853" s="1">
        <v>45646</v>
      </c>
      <c r="G853" s="1">
        <v>46059</v>
      </c>
      <c r="H853" t="s">
        <v>14</v>
      </c>
      <c r="I853" s="2">
        <v>56340212</v>
      </c>
      <c r="J853">
        <v>262392</v>
      </c>
      <c r="K853" t="s">
        <v>30</v>
      </c>
      <c r="L853" t="str">
        <f t="shared" si="39"/>
        <v>Available</v>
      </c>
      <c r="M853">
        <f t="shared" si="40"/>
        <v>0</v>
      </c>
      <c r="N853">
        <f t="shared" si="41"/>
        <v>1</v>
      </c>
    </row>
    <row r="854" spans="1:14" x14ac:dyDescent="0.35">
      <c r="A854" t="s">
        <v>2410</v>
      </c>
      <c r="B854" t="s">
        <v>156</v>
      </c>
      <c r="C854" t="s">
        <v>1143</v>
      </c>
      <c r="D854">
        <v>44</v>
      </c>
      <c r="E854" t="s">
        <v>13</v>
      </c>
      <c r="F854" s="1">
        <v>45739</v>
      </c>
      <c r="G854" s="1">
        <v>46056</v>
      </c>
      <c r="H854" t="s">
        <v>14</v>
      </c>
      <c r="I854" t="s">
        <v>2778</v>
      </c>
      <c r="J854">
        <v>264363</v>
      </c>
      <c r="K854" t="s">
        <v>15</v>
      </c>
      <c r="L854" t="str">
        <f t="shared" si="39"/>
        <v>Available</v>
      </c>
      <c r="M854">
        <f t="shared" si="40"/>
        <v>1</v>
      </c>
      <c r="N854">
        <f t="shared" si="41"/>
        <v>1</v>
      </c>
    </row>
    <row r="855" spans="1:14" x14ac:dyDescent="0.35">
      <c r="A855" t="s">
        <v>2411</v>
      </c>
      <c r="B855" t="s">
        <v>2808</v>
      </c>
      <c r="C855" t="s">
        <v>1144</v>
      </c>
      <c r="D855">
        <v>23</v>
      </c>
      <c r="E855" t="s">
        <v>13</v>
      </c>
      <c r="F855" s="1">
        <v>44497</v>
      </c>
      <c r="G855" s="1">
        <v>46060</v>
      </c>
      <c r="H855" t="s">
        <v>14</v>
      </c>
      <c r="I855" s="2">
        <v>77112</v>
      </c>
      <c r="J855">
        <v>264164</v>
      </c>
      <c r="K855" t="s">
        <v>30</v>
      </c>
      <c r="L855" t="str">
        <f t="shared" si="39"/>
        <v>Available</v>
      </c>
      <c r="M855">
        <f t="shared" si="40"/>
        <v>0</v>
      </c>
      <c r="N855">
        <f t="shared" si="41"/>
        <v>1</v>
      </c>
    </row>
    <row r="856" spans="1:14" x14ac:dyDescent="0.35">
      <c r="A856" t="s">
        <v>2412</v>
      </c>
      <c r="B856" t="s">
        <v>269</v>
      </c>
      <c r="C856" t="s">
        <v>1145</v>
      </c>
      <c r="D856">
        <v>25</v>
      </c>
      <c r="E856" t="s">
        <v>13</v>
      </c>
      <c r="F856" s="1">
        <v>44497</v>
      </c>
      <c r="G856" s="1">
        <v>46059</v>
      </c>
      <c r="H856" t="s">
        <v>14</v>
      </c>
      <c r="I856" s="2">
        <v>21670073</v>
      </c>
      <c r="J856">
        <v>266403</v>
      </c>
      <c r="K856" t="s">
        <v>30</v>
      </c>
      <c r="L856" t="str">
        <f t="shared" si="39"/>
        <v>Available</v>
      </c>
      <c r="M856">
        <f t="shared" si="40"/>
        <v>0</v>
      </c>
      <c r="N856">
        <f t="shared" si="41"/>
        <v>1</v>
      </c>
    </row>
    <row r="857" spans="1:14" x14ac:dyDescent="0.35">
      <c r="A857" t="s">
        <v>2413</v>
      </c>
      <c r="B857" t="s">
        <v>103</v>
      </c>
      <c r="C857" t="s">
        <v>1147</v>
      </c>
      <c r="D857">
        <v>24</v>
      </c>
      <c r="E857" t="s">
        <v>13</v>
      </c>
      <c r="F857" s="1">
        <v>45522</v>
      </c>
      <c r="G857" s="1">
        <v>46058</v>
      </c>
      <c r="H857" t="s">
        <v>14</v>
      </c>
      <c r="I857" s="2">
        <v>28088472</v>
      </c>
      <c r="J857">
        <v>264527</v>
      </c>
      <c r="K857" t="s">
        <v>15</v>
      </c>
      <c r="L857" t="str">
        <f t="shared" si="39"/>
        <v>Available</v>
      </c>
      <c r="M857">
        <f t="shared" si="40"/>
        <v>1</v>
      </c>
      <c r="N857">
        <f t="shared" si="41"/>
        <v>1</v>
      </c>
    </row>
    <row r="858" spans="1:14" x14ac:dyDescent="0.35">
      <c r="A858" t="s">
        <v>2414</v>
      </c>
      <c r="B858" t="s">
        <v>2867</v>
      </c>
      <c r="C858" t="s">
        <v>1148</v>
      </c>
      <c r="D858">
        <v>24</v>
      </c>
      <c r="E858" t="s">
        <v>13</v>
      </c>
      <c r="F858" s="1">
        <v>45337</v>
      </c>
      <c r="G858" s="1">
        <v>46055</v>
      </c>
      <c r="H858" t="s">
        <v>14</v>
      </c>
      <c r="I858" s="2">
        <v>2809525</v>
      </c>
      <c r="J858">
        <v>262258</v>
      </c>
      <c r="K858" t="s">
        <v>15</v>
      </c>
      <c r="L858" t="str">
        <f t="shared" si="39"/>
        <v>Available</v>
      </c>
      <c r="M858">
        <f t="shared" si="40"/>
        <v>1</v>
      </c>
      <c r="N858">
        <f t="shared" si="41"/>
        <v>1</v>
      </c>
    </row>
    <row r="859" spans="1:14" x14ac:dyDescent="0.35">
      <c r="A859" t="s">
        <v>2415</v>
      </c>
      <c r="B859" t="s">
        <v>47</v>
      </c>
      <c r="C859" t="s">
        <v>1149</v>
      </c>
      <c r="D859">
        <v>24</v>
      </c>
      <c r="E859" t="s">
        <v>13</v>
      </c>
      <c r="F859" s="1">
        <v>45250</v>
      </c>
      <c r="G859" s="1">
        <v>45683</v>
      </c>
      <c r="H859" t="s">
        <v>14</v>
      </c>
      <c r="I859" t="s">
        <v>2778</v>
      </c>
      <c r="J859">
        <v>261809</v>
      </c>
      <c r="K859" t="s">
        <v>15</v>
      </c>
      <c r="L859" t="str">
        <f t="shared" si="39"/>
        <v>Available</v>
      </c>
      <c r="M859">
        <f t="shared" si="40"/>
        <v>1</v>
      </c>
      <c r="N859">
        <f t="shared" si="41"/>
        <v>1</v>
      </c>
    </row>
    <row r="860" spans="1:14" x14ac:dyDescent="0.35">
      <c r="A860" t="s">
        <v>2416</v>
      </c>
      <c r="B860" t="s">
        <v>2778</v>
      </c>
      <c r="C860" t="s">
        <v>1150</v>
      </c>
      <c r="D860">
        <v>10</v>
      </c>
      <c r="E860" t="s">
        <v>13</v>
      </c>
      <c r="F860" s="1">
        <v>44514</v>
      </c>
      <c r="G860" s="1">
        <v>46057</v>
      </c>
      <c r="H860" t="s">
        <v>14</v>
      </c>
      <c r="I860" s="2">
        <v>26505413</v>
      </c>
      <c r="J860">
        <v>262232</v>
      </c>
      <c r="K860" t="s">
        <v>30</v>
      </c>
      <c r="L860" t="str">
        <f t="shared" si="39"/>
        <v>Missing</v>
      </c>
      <c r="M860">
        <f t="shared" si="40"/>
        <v>0</v>
      </c>
      <c r="N860">
        <f t="shared" si="41"/>
        <v>0</v>
      </c>
    </row>
    <row r="861" spans="1:14" x14ac:dyDescent="0.35">
      <c r="A861" t="s">
        <v>2417</v>
      </c>
      <c r="B861" t="s">
        <v>2778</v>
      </c>
      <c r="C861" t="s">
        <v>1151</v>
      </c>
      <c r="F861" s="1">
        <v>44703</v>
      </c>
      <c r="G861" s="1">
        <v>45039</v>
      </c>
      <c r="H861" t="s">
        <v>14</v>
      </c>
      <c r="I861" t="s">
        <v>2778</v>
      </c>
      <c r="J861">
        <v>261729</v>
      </c>
      <c r="K861" t="s">
        <v>15</v>
      </c>
      <c r="L861" t="str">
        <f t="shared" si="39"/>
        <v>Missing</v>
      </c>
      <c r="M861">
        <f t="shared" si="40"/>
        <v>1</v>
      </c>
      <c r="N861">
        <f t="shared" si="41"/>
        <v>0</v>
      </c>
    </row>
    <row r="862" spans="1:14" x14ac:dyDescent="0.35">
      <c r="A862" t="s">
        <v>2418</v>
      </c>
      <c r="B862" t="s">
        <v>402</v>
      </c>
      <c r="C862" t="s">
        <v>1152</v>
      </c>
      <c r="D862">
        <v>24</v>
      </c>
      <c r="E862" t="s">
        <v>13</v>
      </c>
      <c r="F862" s="1">
        <v>44498</v>
      </c>
      <c r="G862" s="1">
        <v>46058</v>
      </c>
      <c r="H862" t="s">
        <v>14</v>
      </c>
      <c r="I862" s="2">
        <v>311592</v>
      </c>
      <c r="J862">
        <v>267070</v>
      </c>
      <c r="K862" t="s">
        <v>30</v>
      </c>
      <c r="L862" t="str">
        <f t="shared" si="39"/>
        <v>Available</v>
      </c>
      <c r="M862">
        <f t="shared" si="40"/>
        <v>0</v>
      </c>
      <c r="N862">
        <f t="shared" si="41"/>
        <v>1</v>
      </c>
    </row>
    <row r="863" spans="1:14" x14ac:dyDescent="0.35">
      <c r="A863" t="s">
        <v>2419</v>
      </c>
      <c r="B863" t="s">
        <v>2791</v>
      </c>
      <c r="C863" t="s">
        <v>1153</v>
      </c>
      <c r="F863" s="1">
        <v>44500</v>
      </c>
      <c r="G863" s="1">
        <v>45133</v>
      </c>
      <c r="H863" t="s">
        <v>14</v>
      </c>
      <c r="I863" t="s">
        <v>2778</v>
      </c>
      <c r="J863">
        <v>264431</v>
      </c>
      <c r="K863" t="s">
        <v>15</v>
      </c>
      <c r="L863" t="str">
        <f t="shared" si="39"/>
        <v>Available</v>
      </c>
      <c r="M863">
        <f t="shared" si="40"/>
        <v>1</v>
      </c>
      <c r="N863">
        <f t="shared" si="41"/>
        <v>1</v>
      </c>
    </row>
    <row r="864" spans="1:14" x14ac:dyDescent="0.35">
      <c r="A864" t="s">
        <v>2420</v>
      </c>
      <c r="B864" t="s">
        <v>1155</v>
      </c>
      <c r="C864" t="s">
        <v>1154</v>
      </c>
      <c r="D864">
        <v>25</v>
      </c>
      <c r="E864" t="s">
        <v>13</v>
      </c>
      <c r="F864" s="1">
        <v>44861</v>
      </c>
      <c r="G864" s="1">
        <v>46059</v>
      </c>
      <c r="H864" t="s">
        <v>14</v>
      </c>
      <c r="I864" s="2">
        <v>26220681</v>
      </c>
      <c r="J864">
        <v>264125</v>
      </c>
      <c r="K864" t="s">
        <v>30</v>
      </c>
      <c r="L864" t="str">
        <f t="shared" si="39"/>
        <v>Available</v>
      </c>
      <c r="M864">
        <f t="shared" si="40"/>
        <v>0</v>
      </c>
      <c r="N864">
        <f t="shared" si="41"/>
        <v>1</v>
      </c>
    </row>
    <row r="865" spans="1:14" x14ac:dyDescent="0.35">
      <c r="A865" t="s">
        <v>2421</v>
      </c>
      <c r="B865" t="s">
        <v>2885</v>
      </c>
      <c r="C865" t="s">
        <v>1156</v>
      </c>
      <c r="D865">
        <v>2</v>
      </c>
      <c r="E865" t="s">
        <v>13</v>
      </c>
      <c r="F865" s="1">
        <v>44497</v>
      </c>
      <c r="G865" s="1">
        <v>46056</v>
      </c>
      <c r="H865" t="s">
        <v>14</v>
      </c>
      <c r="I865" s="2">
        <v>18179392</v>
      </c>
      <c r="J865">
        <v>264136</v>
      </c>
      <c r="K865" t="s">
        <v>30</v>
      </c>
      <c r="L865" t="str">
        <f t="shared" si="39"/>
        <v>Available</v>
      </c>
      <c r="M865">
        <f t="shared" si="40"/>
        <v>0</v>
      </c>
      <c r="N865">
        <f t="shared" si="41"/>
        <v>1</v>
      </c>
    </row>
    <row r="866" spans="1:14" x14ac:dyDescent="0.35">
      <c r="A866" t="s">
        <v>2422</v>
      </c>
      <c r="B866" t="s">
        <v>2855</v>
      </c>
      <c r="C866" t="s">
        <v>1158</v>
      </c>
      <c r="D866">
        <v>15</v>
      </c>
      <c r="E866" t="s">
        <v>13</v>
      </c>
      <c r="F866" s="1">
        <v>44752</v>
      </c>
      <c r="G866" s="1">
        <v>46059</v>
      </c>
      <c r="H866" t="s">
        <v>14</v>
      </c>
      <c r="I866" s="2">
        <v>27550238</v>
      </c>
      <c r="J866">
        <v>266351</v>
      </c>
      <c r="K866" t="s">
        <v>15</v>
      </c>
      <c r="L866" t="str">
        <f t="shared" si="39"/>
        <v>Available</v>
      </c>
      <c r="M866">
        <f t="shared" si="40"/>
        <v>1</v>
      </c>
      <c r="N866">
        <f t="shared" si="41"/>
        <v>1</v>
      </c>
    </row>
    <row r="867" spans="1:14" x14ac:dyDescent="0.35">
      <c r="A867" t="s">
        <v>2423</v>
      </c>
      <c r="B867" t="s">
        <v>21</v>
      </c>
      <c r="C867" t="s">
        <v>1159</v>
      </c>
      <c r="D867">
        <v>24</v>
      </c>
      <c r="E867" t="s">
        <v>13</v>
      </c>
      <c r="F867" s="1">
        <v>44497</v>
      </c>
      <c r="G867" s="1">
        <v>46059</v>
      </c>
      <c r="H867" t="s">
        <v>14</v>
      </c>
      <c r="I867" s="2">
        <v>53416</v>
      </c>
      <c r="J867">
        <v>266831</v>
      </c>
      <c r="K867" t="s">
        <v>30</v>
      </c>
      <c r="L867" t="str">
        <f t="shared" si="39"/>
        <v>Available</v>
      </c>
      <c r="M867">
        <f t="shared" si="40"/>
        <v>0</v>
      </c>
      <c r="N867">
        <f t="shared" si="41"/>
        <v>1</v>
      </c>
    </row>
    <row r="868" spans="1:14" x14ac:dyDescent="0.35">
      <c r="A868" t="s">
        <v>2424</v>
      </c>
      <c r="B868" t="s">
        <v>147</v>
      </c>
      <c r="C868" t="s">
        <v>1160</v>
      </c>
      <c r="D868">
        <v>25</v>
      </c>
      <c r="E868" t="s">
        <v>13</v>
      </c>
      <c r="F868" s="1">
        <v>44497</v>
      </c>
      <c r="G868" s="1">
        <v>46059</v>
      </c>
      <c r="H868" t="s">
        <v>14</v>
      </c>
      <c r="I868" s="2">
        <v>24823</v>
      </c>
      <c r="J868">
        <v>266401</v>
      </c>
      <c r="K868" t="s">
        <v>30</v>
      </c>
      <c r="L868" t="str">
        <f t="shared" si="39"/>
        <v>Available</v>
      </c>
      <c r="M868">
        <f t="shared" si="40"/>
        <v>0</v>
      </c>
      <c r="N868">
        <f t="shared" si="41"/>
        <v>1</v>
      </c>
    </row>
    <row r="869" spans="1:14" x14ac:dyDescent="0.35">
      <c r="A869" t="s">
        <v>2425</v>
      </c>
      <c r="B869" t="s">
        <v>118</v>
      </c>
      <c r="C869" t="s">
        <v>1161</v>
      </c>
      <c r="D869">
        <v>24</v>
      </c>
      <c r="E869" t="s">
        <v>13</v>
      </c>
      <c r="F869" s="1">
        <v>45459</v>
      </c>
      <c r="G869" s="1">
        <v>46059</v>
      </c>
      <c r="H869" t="s">
        <v>14</v>
      </c>
      <c r="I869" s="2">
        <v>21866473</v>
      </c>
      <c r="J869">
        <v>261776</v>
      </c>
      <c r="K869" t="s">
        <v>15</v>
      </c>
      <c r="L869" t="str">
        <f t="shared" si="39"/>
        <v>Available</v>
      </c>
      <c r="M869">
        <f t="shared" si="40"/>
        <v>1</v>
      </c>
      <c r="N869">
        <f t="shared" si="41"/>
        <v>1</v>
      </c>
    </row>
    <row r="870" spans="1:14" x14ac:dyDescent="0.35">
      <c r="A870" t="s">
        <v>2426</v>
      </c>
      <c r="B870" t="s">
        <v>2790</v>
      </c>
      <c r="C870" t="s">
        <v>1162</v>
      </c>
      <c r="D870">
        <v>40</v>
      </c>
      <c r="E870" t="s">
        <v>13</v>
      </c>
      <c r="F870" s="1">
        <v>44497</v>
      </c>
      <c r="G870" s="1">
        <v>45723</v>
      </c>
      <c r="H870" t="s">
        <v>14</v>
      </c>
      <c r="I870" t="s">
        <v>2778</v>
      </c>
      <c r="J870">
        <v>264102</v>
      </c>
      <c r="K870" t="s">
        <v>30</v>
      </c>
      <c r="L870" t="str">
        <f t="shared" si="39"/>
        <v>Available</v>
      </c>
      <c r="M870">
        <f t="shared" si="40"/>
        <v>0</v>
      </c>
      <c r="N870">
        <f t="shared" si="41"/>
        <v>1</v>
      </c>
    </row>
    <row r="871" spans="1:14" x14ac:dyDescent="0.35">
      <c r="A871" t="s">
        <v>2427</v>
      </c>
      <c r="B871" t="s">
        <v>2778</v>
      </c>
      <c r="C871" t="s">
        <v>1163</v>
      </c>
      <c r="F871" s="1">
        <v>44840</v>
      </c>
      <c r="G871" s="1">
        <v>45354</v>
      </c>
      <c r="H871" t="s">
        <v>14</v>
      </c>
      <c r="I871" t="s">
        <v>2778</v>
      </c>
      <c r="J871">
        <v>261818</v>
      </c>
      <c r="K871" t="s">
        <v>15</v>
      </c>
      <c r="L871" t="str">
        <f t="shared" si="39"/>
        <v>Missing</v>
      </c>
      <c r="M871">
        <f t="shared" si="40"/>
        <v>1</v>
      </c>
      <c r="N871">
        <f t="shared" si="41"/>
        <v>0</v>
      </c>
    </row>
    <row r="872" spans="1:14" x14ac:dyDescent="0.35">
      <c r="A872" t="s">
        <v>2428</v>
      </c>
      <c r="B872" t="s">
        <v>2778</v>
      </c>
      <c r="C872" t="s">
        <v>1164</v>
      </c>
      <c r="D872">
        <v>17</v>
      </c>
      <c r="E872" t="s">
        <v>13</v>
      </c>
      <c r="F872" s="1">
        <v>44500</v>
      </c>
      <c r="G872" s="1">
        <v>46010</v>
      </c>
      <c r="H872" t="s">
        <v>14</v>
      </c>
      <c r="I872" t="s">
        <v>2778</v>
      </c>
      <c r="J872">
        <v>267016</v>
      </c>
      <c r="K872" t="s">
        <v>30</v>
      </c>
      <c r="L872" t="str">
        <f t="shared" si="39"/>
        <v>Missing</v>
      </c>
      <c r="M872">
        <f t="shared" si="40"/>
        <v>0</v>
      </c>
      <c r="N872">
        <f t="shared" si="41"/>
        <v>0</v>
      </c>
    </row>
    <row r="873" spans="1:14" x14ac:dyDescent="0.35">
      <c r="A873" t="s">
        <v>2429</v>
      </c>
      <c r="B873" t="s">
        <v>137</v>
      </c>
      <c r="C873" t="s">
        <v>1165</v>
      </c>
      <c r="D873">
        <v>21.2</v>
      </c>
      <c r="E873" t="s">
        <v>13</v>
      </c>
      <c r="F873" s="1">
        <v>44538</v>
      </c>
      <c r="G873" s="1">
        <v>46058</v>
      </c>
      <c r="H873" t="s">
        <v>14</v>
      </c>
      <c r="I873" s="2">
        <v>26251266</v>
      </c>
      <c r="J873">
        <v>264586</v>
      </c>
      <c r="K873" t="s">
        <v>15</v>
      </c>
      <c r="L873" t="str">
        <f t="shared" si="39"/>
        <v>Available</v>
      </c>
      <c r="M873">
        <f t="shared" si="40"/>
        <v>1</v>
      </c>
      <c r="N873">
        <f t="shared" si="41"/>
        <v>1</v>
      </c>
    </row>
    <row r="874" spans="1:14" x14ac:dyDescent="0.35">
      <c r="A874" t="s">
        <v>2430</v>
      </c>
      <c r="B874" t="s">
        <v>2886</v>
      </c>
      <c r="C874" t="s">
        <v>1166</v>
      </c>
      <c r="D874">
        <v>24</v>
      </c>
      <c r="E874" t="s">
        <v>13</v>
      </c>
      <c r="F874" s="1">
        <v>44497</v>
      </c>
      <c r="G874" s="1">
        <v>46059</v>
      </c>
      <c r="H874" t="s">
        <v>14</v>
      </c>
      <c r="I874" t="s">
        <v>2778</v>
      </c>
      <c r="J874">
        <v>266505</v>
      </c>
      <c r="K874" t="s">
        <v>15</v>
      </c>
      <c r="L874" t="str">
        <f t="shared" si="39"/>
        <v>Available</v>
      </c>
      <c r="M874">
        <f t="shared" si="40"/>
        <v>1</v>
      </c>
      <c r="N874">
        <f t="shared" si="41"/>
        <v>1</v>
      </c>
    </row>
    <row r="875" spans="1:14" x14ac:dyDescent="0.35">
      <c r="A875" t="s">
        <v>2431</v>
      </c>
      <c r="B875" t="s">
        <v>2778</v>
      </c>
      <c r="C875" t="s">
        <v>1168</v>
      </c>
      <c r="D875">
        <v>24</v>
      </c>
      <c r="E875" t="s">
        <v>13</v>
      </c>
      <c r="F875" s="1">
        <v>44497</v>
      </c>
      <c r="G875" s="1">
        <v>46059</v>
      </c>
      <c r="H875" t="s">
        <v>14</v>
      </c>
      <c r="I875" s="2">
        <v>17071336</v>
      </c>
      <c r="J875">
        <v>266395</v>
      </c>
      <c r="K875" t="s">
        <v>15</v>
      </c>
      <c r="L875" t="str">
        <f t="shared" si="39"/>
        <v>Missing</v>
      </c>
      <c r="M875">
        <f t="shared" si="40"/>
        <v>1</v>
      </c>
      <c r="N875">
        <f t="shared" si="41"/>
        <v>0</v>
      </c>
    </row>
    <row r="876" spans="1:14" x14ac:dyDescent="0.35">
      <c r="A876" t="s">
        <v>2432</v>
      </c>
      <c r="B876" t="s">
        <v>121</v>
      </c>
      <c r="C876" t="s">
        <v>1169</v>
      </c>
      <c r="D876">
        <v>24</v>
      </c>
      <c r="E876" t="s">
        <v>13</v>
      </c>
      <c r="F876" s="1">
        <v>45686</v>
      </c>
      <c r="G876" s="1">
        <v>46030</v>
      </c>
      <c r="H876" t="s">
        <v>14</v>
      </c>
      <c r="I876" t="s">
        <v>2778</v>
      </c>
      <c r="J876">
        <v>266354</v>
      </c>
      <c r="K876" t="s">
        <v>15</v>
      </c>
      <c r="L876" t="str">
        <f t="shared" si="39"/>
        <v>Available</v>
      </c>
      <c r="M876">
        <f t="shared" si="40"/>
        <v>1</v>
      </c>
      <c r="N876">
        <f t="shared" si="41"/>
        <v>1</v>
      </c>
    </row>
    <row r="877" spans="1:14" x14ac:dyDescent="0.35">
      <c r="A877" t="s">
        <v>2433</v>
      </c>
      <c r="B877" t="s">
        <v>47</v>
      </c>
      <c r="C877" t="s">
        <v>1170</v>
      </c>
      <c r="D877">
        <v>24</v>
      </c>
      <c r="E877" t="s">
        <v>13</v>
      </c>
      <c r="F877" s="1">
        <v>45035</v>
      </c>
      <c r="G877" s="1">
        <v>46058</v>
      </c>
      <c r="H877" t="s">
        <v>14</v>
      </c>
      <c r="I877" s="2">
        <v>29770630</v>
      </c>
      <c r="J877">
        <v>266642</v>
      </c>
      <c r="K877" t="s">
        <v>30</v>
      </c>
      <c r="L877" t="str">
        <f t="shared" si="39"/>
        <v>Available</v>
      </c>
      <c r="M877">
        <f t="shared" si="40"/>
        <v>0</v>
      </c>
      <c r="N877">
        <f t="shared" si="41"/>
        <v>1</v>
      </c>
    </row>
    <row r="878" spans="1:14" x14ac:dyDescent="0.35">
      <c r="A878" t="s">
        <v>2434</v>
      </c>
      <c r="B878" t="s">
        <v>2778</v>
      </c>
      <c r="C878" t="s">
        <v>1171</v>
      </c>
      <c r="D878">
        <v>19</v>
      </c>
      <c r="E878" t="s">
        <v>13</v>
      </c>
      <c r="F878" s="1">
        <v>45820</v>
      </c>
      <c r="G878" s="1">
        <v>46058</v>
      </c>
      <c r="H878" t="s">
        <v>14</v>
      </c>
      <c r="I878" s="2">
        <v>76042671</v>
      </c>
      <c r="J878">
        <v>267109</v>
      </c>
      <c r="K878" t="s">
        <v>30</v>
      </c>
      <c r="L878" t="str">
        <f t="shared" si="39"/>
        <v>Missing</v>
      </c>
      <c r="M878">
        <f t="shared" si="40"/>
        <v>0</v>
      </c>
      <c r="N878">
        <f t="shared" si="41"/>
        <v>0</v>
      </c>
    </row>
    <row r="879" spans="1:14" x14ac:dyDescent="0.35">
      <c r="A879" t="s">
        <v>2435</v>
      </c>
      <c r="B879" t="s">
        <v>2837</v>
      </c>
      <c r="C879" t="s">
        <v>1172</v>
      </c>
      <c r="D879">
        <v>8.8000000000000007</v>
      </c>
      <c r="E879" t="s">
        <v>13</v>
      </c>
      <c r="F879" s="1">
        <v>45517</v>
      </c>
      <c r="G879" s="1">
        <v>46059</v>
      </c>
      <c r="H879" t="s">
        <v>14</v>
      </c>
      <c r="I879" s="2">
        <v>53639633</v>
      </c>
      <c r="J879">
        <v>261496</v>
      </c>
      <c r="K879" t="s">
        <v>15</v>
      </c>
      <c r="L879" t="str">
        <f t="shared" si="39"/>
        <v>Available</v>
      </c>
      <c r="M879">
        <f t="shared" si="40"/>
        <v>1</v>
      </c>
      <c r="N879">
        <f t="shared" si="41"/>
        <v>1</v>
      </c>
    </row>
    <row r="880" spans="1:14" x14ac:dyDescent="0.35">
      <c r="A880" t="s">
        <v>2436</v>
      </c>
      <c r="B880" t="s">
        <v>2809</v>
      </c>
      <c r="C880" t="s">
        <v>1173</v>
      </c>
      <c r="D880">
        <v>32</v>
      </c>
      <c r="E880" t="s">
        <v>13</v>
      </c>
      <c r="F880" s="1">
        <v>45733</v>
      </c>
      <c r="G880" s="1">
        <v>46059</v>
      </c>
      <c r="H880" t="s">
        <v>14</v>
      </c>
      <c r="I880" s="2">
        <v>64213205</v>
      </c>
      <c r="J880">
        <v>264365</v>
      </c>
      <c r="K880" t="s">
        <v>30</v>
      </c>
      <c r="L880" t="str">
        <f t="shared" si="39"/>
        <v>Available</v>
      </c>
      <c r="M880">
        <f t="shared" si="40"/>
        <v>0</v>
      </c>
      <c r="N880">
        <f t="shared" si="41"/>
        <v>1</v>
      </c>
    </row>
    <row r="881" spans="1:14" x14ac:dyDescent="0.35">
      <c r="A881" t="s">
        <v>2437</v>
      </c>
      <c r="B881" t="s">
        <v>121</v>
      </c>
      <c r="C881" t="s">
        <v>1174</v>
      </c>
      <c r="D881">
        <v>24</v>
      </c>
      <c r="E881" t="s">
        <v>13</v>
      </c>
      <c r="F881" s="1">
        <v>44500</v>
      </c>
      <c r="G881" s="1">
        <v>46059</v>
      </c>
      <c r="H881" t="s">
        <v>14</v>
      </c>
      <c r="I881" s="2">
        <v>3346280</v>
      </c>
      <c r="J881">
        <v>264303</v>
      </c>
      <c r="K881" t="s">
        <v>15</v>
      </c>
      <c r="L881" t="str">
        <f t="shared" si="39"/>
        <v>Available</v>
      </c>
      <c r="M881">
        <f t="shared" si="40"/>
        <v>1</v>
      </c>
      <c r="N881">
        <f t="shared" si="41"/>
        <v>1</v>
      </c>
    </row>
    <row r="882" spans="1:14" x14ac:dyDescent="0.35">
      <c r="A882" t="s">
        <v>2438</v>
      </c>
      <c r="B882" t="s">
        <v>515</v>
      </c>
      <c r="C882" t="s">
        <v>1175</v>
      </c>
      <c r="D882">
        <v>24</v>
      </c>
      <c r="E882" t="s">
        <v>13</v>
      </c>
      <c r="F882" s="1">
        <v>44665</v>
      </c>
      <c r="G882" s="1">
        <v>46059</v>
      </c>
      <c r="H882" t="s">
        <v>14</v>
      </c>
      <c r="I882" s="2">
        <v>29063059</v>
      </c>
      <c r="J882">
        <v>266515</v>
      </c>
      <c r="K882" t="s">
        <v>30</v>
      </c>
      <c r="L882" t="str">
        <f t="shared" si="39"/>
        <v>Available</v>
      </c>
      <c r="M882">
        <f t="shared" si="40"/>
        <v>0</v>
      </c>
      <c r="N882">
        <f t="shared" si="41"/>
        <v>1</v>
      </c>
    </row>
    <row r="883" spans="1:14" x14ac:dyDescent="0.35">
      <c r="A883" t="s">
        <v>2439</v>
      </c>
      <c r="B883" t="s">
        <v>1177</v>
      </c>
      <c r="C883" t="s">
        <v>1176</v>
      </c>
      <c r="D883">
        <v>15.9</v>
      </c>
      <c r="E883" t="s">
        <v>13</v>
      </c>
      <c r="F883" s="1">
        <v>44861</v>
      </c>
      <c r="G883" s="1">
        <v>45305</v>
      </c>
      <c r="H883" t="s">
        <v>14</v>
      </c>
      <c r="I883" t="s">
        <v>2778</v>
      </c>
      <c r="J883">
        <v>264096</v>
      </c>
      <c r="K883" t="s">
        <v>30</v>
      </c>
      <c r="L883" t="str">
        <f t="shared" si="39"/>
        <v>Available</v>
      </c>
      <c r="M883">
        <f t="shared" si="40"/>
        <v>0</v>
      </c>
      <c r="N883">
        <f t="shared" si="41"/>
        <v>1</v>
      </c>
    </row>
    <row r="884" spans="1:14" x14ac:dyDescent="0.35">
      <c r="A884" t="s">
        <v>2440</v>
      </c>
      <c r="B884" t="s">
        <v>2836</v>
      </c>
      <c r="C884" t="s">
        <v>1178</v>
      </c>
      <c r="F884" s="1">
        <v>44866</v>
      </c>
      <c r="G884" s="1">
        <v>45105</v>
      </c>
      <c r="H884" t="s">
        <v>14</v>
      </c>
      <c r="I884" t="s">
        <v>2778</v>
      </c>
      <c r="J884">
        <v>262041</v>
      </c>
      <c r="K884" t="s">
        <v>30</v>
      </c>
      <c r="L884" t="str">
        <f t="shared" si="39"/>
        <v>Available</v>
      </c>
      <c r="M884">
        <f t="shared" si="40"/>
        <v>0</v>
      </c>
      <c r="N884">
        <f t="shared" si="41"/>
        <v>1</v>
      </c>
    </row>
    <row r="885" spans="1:14" x14ac:dyDescent="0.35">
      <c r="A885" t="s">
        <v>2441</v>
      </c>
      <c r="B885" t="s">
        <v>609</v>
      </c>
      <c r="C885" t="s">
        <v>1179</v>
      </c>
      <c r="D885">
        <v>24</v>
      </c>
      <c r="E885" t="s">
        <v>13</v>
      </c>
      <c r="F885" s="1">
        <v>44497</v>
      </c>
      <c r="G885" s="1">
        <v>46059</v>
      </c>
      <c r="H885" t="s">
        <v>14</v>
      </c>
      <c r="I885" s="2">
        <v>53401</v>
      </c>
      <c r="J885">
        <v>266315</v>
      </c>
      <c r="K885" t="s">
        <v>30</v>
      </c>
      <c r="L885" t="str">
        <f t="shared" si="39"/>
        <v>Available</v>
      </c>
      <c r="M885">
        <f t="shared" si="40"/>
        <v>0</v>
      </c>
      <c r="N885">
        <f t="shared" si="41"/>
        <v>1</v>
      </c>
    </row>
    <row r="886" spans="1:14" x14ac:dyDescent="0.35">
      <c r="A886" t="s">
        <v>2442</v>
      </c>
      <c r="B886" t="s">
        <v>1181</v>
      </c>
      <c r="C886" t="s">
        <v>1180</v>
      </c>
      <c r="D886">
        <v>17</v>
      </c>
      <c r="E886" t="s">
        <v>13</v>
      </c>
      <c r="F886" s="1">
        <v>44497</v>
      </c>
      <c r="G886" s="1">
        <v>46059</v>
      </c>
      <c r="H886" t="s">
        <v>14</v>
      </c>
      <c r="I886" s="2">
        <v>23791880</v>
      </c>
      <c r="J886">
        <v>261542</v>
      </c>
      <c r="K886" t="s">
        <v>15</v>
      </c>
      <c r="L886" t="str">
        <f t="shared" si="39"/>
        <v>Available</v>
      </c>
      <c r="M886">
        <f t="shared" si="40"/>
        <v>1</v>
      </c>
      <c r="N886">
        <f t="shared" si="41"/>
        <v>1</v>
      </c>
    </row>
    <row r="887" spans="1:14" x14ac:dyDescent="0.35">
      <c r="A887" t="s">
        <v>2443</v>
      </c>
      <c r="B887" t="s">
        <v>2809</v>
      </c>
      <c r="C887" t="s">
        <v>1182</v>
      </c>
      <c r="D887">
        <v>24</v>
      </c>
      <c r="E887" t="s">
        <v>13</v>
      </c>
      <c r="F887" s="1">
        <v>45322</v>
      </c>
      <c r="G887" s="1">
        <v>46059</v>
      </c>
      <c r="H887" t="s">
        <v>14</v>
      </c>
      <c r="I887" s="2">
        <v>36930271</v>
      </c>
      <c r="J887">
        <v>261803</v>
      </c>
      <c r="K887" t="s">
        <v>30</v>
      </c>
      <c r="L887" t="str">
        <f t="shared" si="39"/>
        <v>Available</v>
      </c>
      <c r="M887">
        <f t="shared" si="40"/>
        <v>0</v>
      </c>
      <c r="N887">
        <f t="shared" si="41"/>
        <v>1</v>
      </c>
    </row>
    <row r="888" spans="1:14" x14ac:dyDescent="0.35">
      <c r="A888" t="s">
        <v>2444</v>
      </c>
      <c r="B888" t="s">
        <v>58</v>
      </c>
      <c r="C888" t="s">
        <v>1183</v>
      </c>
      <c r="D888">
        <v>44</v>
      </c>
      <c r="E888" t="s">
        <v>13</v>
      </c>
      <c r="F888" s="1">
        <v>44497</v>
      </c>
      <c r="G888" s="1">
        <v>46060</v>
      </c>
      <c r="H888" t="s">
        <v>14</v>
      </c>
      <c r="I888" s="2">
        <v>98535</v>
      </c>
      <c r="J888">
        <v>261498</v>
      </c>
      <c r="K888" t="s">
        <v>15</v>
      </c>
      <c r="L888" t="str">
        <f t="shared" si="39"/>
        <v>Available</v>
      </c>
      <c r="M888">
        <f t="shared" si="40"/>
        <v>1</v>
      </c>
      <c r="N888">
        <f t="shared" si="41"/>
        <v>1</v>
      </c>
    </row>
    <row r="889" spans="1:14" x14ac:dyDescent="0.35">
      <c r="A889" t="s">
        <v>2445</v>
      </c>
      <c r="B889" t="s">
        <v>2808</v>
      </c>
      <c r="C889" t="s">
        <v>1184</v>
      </c>
      <c r="D889">
        <v>24</v>
      </c>
      <c r="E889" t="s">
        <v>13</v>
      </c>
      <c r="F889" s="1">
        <v>44497</v>
      </c>
      <c r="G889" s="1">
        <v>46060</v>
      </c>
      <c r="H889" t="s">
        <v>14</v>
      </c>
      <c r="I889" s="2">
        <v>77108</v>
      </c>
      <c r="J889">
        <v>264750</v>
      </c>
      <c r="K889" t="s">
        <v>30</v>
      </c>
      <c r="L889" t="str">
        <f t="shared" si="39"/>
        <v>Available</v>
      </c>
      <c r="M889">
        <f t="shared" si="40"/>
        <v>0</v>
      </c>
      <c r="N889">
        <f t="shared" si="41"/>
        <v>1</v>
      </c>
    </row>
    <row r="890" spans="1:14" x14ac:dyDescent="0.35">
      <c r="A890" t="s">
        <v>2446</v>
      </c>
      <c r="B890" t="s">
        <v>130</v>
      </c>
      <c r="C890" t="s">
        <v>1185</v>
      </c>
      <c r="D890">
        <v>15.5</v>
      </c>
      <c r="E890" t="s">
        <v>13</v>
      </c>
      <c r="F890" s="1">
        <v>44798</v>
      </c>
      <c r="G890" s="1">
        <v>46059</v>
      </c>
      <c r="H890" t="s">
        <v>14</v>
      </c>
      <c r="I890" s="2">
        <v>27840116</v>
      </c>
      <c r="J890">
        <v>262640</v>
      </c>
      <c r="K890" t="s">
        <v>15</v>
      </c>
      <c r="L890" t="str">
        <f t="shared" si="39"/>
        <v>Available</v>
      </c>
      <c r="M890">
        <f t="shared" si="40"/>
        <v>1</v>
      </c>
      <c r="N890">
        <f t="shared" si="41"/>
        <v>1</v>
      </c>
    </row>
    <row r="891" spans="1:14" x14ac:dyDescent="0.35">
      <c r="A891" t="s">
        <v>2447</v>
      </c>
      <c r="B891" t="s">
        <v>2778</v>
      </c>
      <c r="C891" t="s">
        <v>1186</v>
      </c>
      <c r="D891">
        <v>29.5</v>
      </c>
      <c r="E891" t="s">
        <v>13</v>
      </c>
      <c r="F891" s="1">
        <v>44500</v>
      </c>
      <c r="G891" s="1">
        <v>46057</v>
      </c>
      <c r="H891" t="s">
        <v>14</v>
      </c>
      <c r="I891" s="2">
        <v>2387367</v>
      </c>
      <c r="J891">
        <v>264652</v>
      </c>
      <c r="K891" t="s">
        <v>30</v>
      </c>
      <c r="L891" t="str">
        <f t="shared" si="39"/>
        <v>Missing</v>
      </c>
      <c r="M891">
        <f t="shared" si="40"/>
        <v>0</v>
      </c>
      <c r="N891">
        <f t="shared" si="41"/>
        <v>0</v>
      </c>
    </row>
    <row r="892" spans="1:14" x14ac:dyDescent="0.35">
      <c r="A892" t="s">
        <v>2448</v>
      </c>
      <c r="B892" t="s">
        <v>541</v>
      </c>
      <c r="C892" t="s">
        <v>1187</v>
      </c>
      <c r="D892">
        <v>25</v>
      </c>
      <c r="E892" t="s">
        <v>13</v>
      </c>
      <c r="F892" s="1">
        <v>44497</v>
      </c>
      <c r="G892" s="1">
        <v>45858</v>
      </c>
      <c r="H892" t="s">
        <v>14</v>
      </c>
      <c r="I892" t="s">
        <v>2778</v>
      </c>
      <c r="J892">
        <v>266859</v>
      </c>
      <c r="K892" t="s">
        <v>30</v>
      </c>
      <c r="L892" t="str">
        <f t="shared" si="39"/>
        <v>Available</v>
      </c>
      <c r="M892">
        <f t="shared" si="40"/>
        <v>0</v>
      </c>
      <c r="N892">
        <f t="shared" si="41"/>
        <v>1</v>
      </c>
    </row>
    <row r="893" spans="1:14" x14ac:dyDescent="0.35">
      <c r="A893" t="s">
        <v>2449</v>
      </c>
      <c r="B893" t="s">
        <v>2778</v>
      </c>
      <c r="C893" t="s">
        <v>1188</v>
      </c>
      <c r="D893">
        <v>24</v>
      </c>
      <c r="E893" t="s">
        <v>13</v>
      </c>
      <c r="F893" s="1">
        <v>44501</v>
      </c>
      <c r="G893" s="1">
        <v>46058</v>
      </c>
      <c r="H893" t="s">
        <v>14</v>
      </c>
      <c r="I893" s="2">
        <v>3079003</v>
      </c>
      <c r="J893">
        <v>266818</v>
      </c>
      <c r="K893" t="s">
        <v>30</v>
      </c>
      <c r="L893" t="str">
        <f t="shared" si="39"/>
        <v>Missing</v>
      </c>
      <c r="M893">
        <f t="shared" si="40"/>
        <v>0</v>
      </c>
      <c r="N893">
        <f t="shared" si="41"/>
        <v>0</v>
      </c>
    </row>
    <row r="894" spans="1:14" x14ac:dyDescent="0.35">
      <c r="A894" t="s">
        <v>2450</v>
      </c>
      <c r="B894" t="s">
        <v>105</v>
      </c>
      <c r="C894" t="s">
        <v>1189</v>
      </c>
      <c r="D894">
        <v>23.162237000000001</v>
      </c>
      <c r="E894" t="s">
        <v>35</v>
      </c>
      <c r="F894" s="1">
        <v>44497</v>
      </c>
      <c r="G894" s="1">
        <v>45442</v>
      </c>
      <c r="H894" t="s">
        <v>14</v>
      </c>
      <c r="I894" t="s">
        <v>2778</v>
      </c>
      <c r="J894">
        <v>266857</v>
      </c>
      <c r="K894" t="s">
        <v>15</v>
      </c>
      <c r="L894" t="str">
        <f t="shared" si="39"/>
        <v>Available</v>
      </c>
      <c r="M894">
        <f t="shared" si="40"/>
        <v>1</v>
      </c>
      <c r="N894">
        <f t="shared" si="41"/>
        <v>1</v>
      </c>
    </row>
    <row r="895" spans="1:14" x14ac:dyDescent="0.35">
      <c r="A895" t="s">
        <v>2451</v>
      </c>
      <c r="B895" t="s">
        <v>1181</v>
      </c>
      <c r="C895" t="s">
        <v>1190</v>
      </c>
      <c r="D895">
        <v>17</v>
      </c>
      <c r="E895" t="s">
        <v>13</v>
      </c>
      <c r="F895" s="1">
        <v>44497</v>
      </c>
      <c r="G895" s="1">
        <v>46059</v>
      </c>
      <c r="H895" t="s">
        <v>14</v>
      </c>
      <c r="I895" s="2">
        <v>23791997</v>
      </c>
      <c r="J895">
        <v>267042</v>
      </c>
      <c r="K895" t="s">
        <v>15</v>
      </c>
      <c r="L895" t="str">
        <f t="shared" si="39"/>
        <v>Available</v>
      </c>
      <c r="M895">
        <f t="shared" si="40"/>
        <v>1</v>
      </c>
      <c r="N895">
        <f t="shared" si="41"/>
        <v>1</v>
      </c>
    </row>
    <row r="896" spans="1:14" x14ac:dyDescent="0.35">
      <c r="A896" t="s">
        <v>2452</v>
      </c>
      <c r="B896" t="s">
        <v>25</v>
      </c>
      <c r="C896" t="s">
        <v>1191</v>
      </c>
      <c r="D896">
        <v>21.809698000000001</v>
      </c>
      <c r="E896" t="s">
        <v>35</v>
      </c>
      <c r="F896" s="1">
        <v>44497</v>
      </c>
      <c r="G896" s="1">
        <v>46058</v>
      </c>
      <c r="H896" t="s">
        <v>14</v>
      </c>
      <c r="I896" t="s">
        <v>2778</v>
      </c>
      <c r="J896">
        <v>266378</v>
      </c>
      <c r="K896" t="s">
        <v>30</v>
      </c>
      <c r="L896" t="str">
        <f t="shared" si="39"/>
        <v>Available</v>
      </c>
      <c r="M896">
        <f t="shared" si="40"/>
        <v>0</v>
      </c>
      <c r="N896">
        <f t="shared" si="41"/>
        <v>1</v>
      </c>
    </row>
    <row r="897" spans="1:14" x14ac:dyDescent="0.35">
      <c r="A897" t="s">
        <v>2453</v>
      </c>
      <c r="B897" t="s">
        <v>269</v>
      </c>
      <c r="C897" t="s">
        <v>1192</v>
      </c>
      <c r="D897">
        <v>25</v>
      </c>
      <c r="E897" t="s">
        <v>13</v>
      </c>
      <c r="F897" s="1">
        <v>44497</v>
      </c>
      <c r="G897" s="1">
        <v>46059</v>
      </c>
      <c r="H897" t="s">
        <v>14</v>
      </c>
      <c r="I897" s="2">
        <v>24826</v>
      </c>
      <c r="J897">
        <v>261565</v>
      </c>
      <c r="K897" t="s">
        <v>30</v>
      </c>
      <c r="L897" t="str">
        <f t="shared" si="39"/>
        <v>Available</v>
      </c>
      <c r="M897">
        <f t="shared" si="40"/>
        <v>0</v>
      </c>
      <c r="N897">
        <f t="shared" si="41"/>
        <v>1</v>
      </c>
    </row>
    <row r="898" spans="1:14" x14ac:dyDescent="0.35">
      <c r="A898" t="s">
        <v>2454</v>
      </c>
      <c r="B898" t="s">
        <v>373</v>
      </c>
      <c r="C898" t="s">
        <v>1194</v>
      </c>
      <c r="D898">
        <v>17.921147000000001</v>
      </c>
      <c r="E898" t="s">
        <v>35</v>
      </c>
      <c r="F898" s="1">
        <v>44497</v>
      </c>
      <c r="G898" s="1">
        <v>46047</v>
      </c>
      <c r="H898" t="s">
        <v>14</v>
      </c>
      <c r="I898" t="s">
        <v>2778</v>
      </c>
      <c r="J898">
        <v>264267</v>
      </c>
      <c r="K898" t="s">
        <v>30</v>
      </c>
      <c r="L898" t="str">
        <f t="shared" si="39"/>
        <v>Available</v>
      </c>
      <c r="M898">
        <f t="shared" si="40"/>
        <v>0</v>
      </c>
      <c r="N898">
        <f t="shared" si="41"/>
        <v>1</v>
      </c>
    </row>
    <row r="899" spans="1:14" x14ac:dyDescent="0.35">
      <c r="A899" t="s">
        <v>2455</v>
      </c>
      <c r="B899" t="s">
        <v>47</v>
      </c>
      <c r="C899" t="s">
        <v>1195</v>
      </c>
      <c r="D899">
        <v>45</v>
      </c>
      <c r="E899" t="s">
        <v>13</v>
      </c>
      <c r="F899" s="1">
        <v>44497</v>
      </c>
      <c r="G899" s="1">
        <v>46060</v>
      </c>
      <c r="H899" t="s">
        <v>14</v>
      </c>
      <c r="I899" s="2">
        <v>73904</v>
      </c>
      <c r="J899">
        <v>264138</v>
      </c>
      <c r="K899" t="s">
        <v>30</v>
      </c>
      <c r="L899" t="str">
        <f t="shared" ref="L899:L962" si="42">IF(OR(B899="",ISBLANK(B899)),"Missing","Available")</f>
        <v>Available</v>
      </c>
      <c r="M899">
        <f t="shared" ref="M899:M962" si="43">IF(K899="Mapped",1,0)</f>
        <v>0</v>
      </c>
      <c r="N899">
        <f t="shared" ref="N899:N962" si="44">IF(AND(B899&lt;&gt;"",A899&lt;&gt;""),1,0)</f>
        <v>1</v>
      </c>
    </row>
    <row r="900" spans="1:14" x14ac:dyDescent="0.35">
      <c r="A900" t="s">
        <v>2456</v>
      </c>
      <c r="B900" t="s">
        <v>400</v>
      </c>
      <c r="C900" t="s">
        <v>1196</v>
      </c>
      <c r="D900">
        <v>25</v>
      </c>
      <c r="E900" t="s">
        <v>13</v>
      </c>
      <c r="F900" s="1">
        <v>45561</v>
      </c>
      <c r="G900" s="1">
        <v>46059</v>
      </c>
      <c r="H900" t="s">
        <v>14</v>
      </c>
      <c r="I900" s="2">
        <v>57422773</v>
      </c>
      <c r="J900">
        <v>266400</v>
      </c>
      <c r="K900" t="s">
        <v>15</v>
      </c>
      <c r="L900" t="str">
        <f t="shared" si="42"/>
        <v>Available</v>
      </c>
      <c r="M900">
        <f t="shared" si="43"/>
        <v>1</v>
      </c>
      <c r="N900">
        <f t="shared" si="44"/>
        <v>1</v>
      </c>
    </row>
    <row r="901" spans="1:14" x14ac:dyDescent="0.35">
      <c r="A901" t="s">
        <v>2457</v>
      </c>
      <c r="B901" t="s">
        <v>2778</v>
      </c>
      <c r="C901" t="s">
        <v>1197</v>
      </c>
      <c r="D901">
        <v>26</v>
      </c>
      <c r="E901" t="s">
        <v>13</v>
      </c>
      <c r="F901" s="1">
        <v>44498</v>
      </c>
      <c r="G901" s="1">
        <v>46056</v>
      </c>
      <c r="H901" t="s">
        <v>14</v>
      </c>
      <c r="I901" s="2">
        <v>312692</v>
      </c>
      <c r="J901">
        <v>261835</v>
      </c>
      <c r="K901" t="s">
        <v>15</v>
      </c>
      <c r="L901" t="str">
        <f t="shared" si="42"/>
        <v>Missing</v>
      </c>
      <c r="M901">
        <f t="shared" si="43"/>
        <v>1</v>
      </c>
      <c r="N901">
        <f t="shared" si="44"/>
        <v>0</v>
      </c>
    </row>
    <row r="902" spans="1:14" x14ac:dyDescent="0.35">
      <c r="A902" t="s">
        <v>2458</v>
      </c>
      <c r="B902" t="s">
        <v>1199</v>
      </c>
      <c r="C902" t="s">
        <v>1198</v>
      </c>
      <c r="D902">
        <v>24</v>
      </c>
      <c r="E902" t="s">
        <v>13</v>
      </c>
      <c r="F902" s="1">
        <v>44500</v>
      </c>
      <c r="G902" s="1">
        <v>46059</v>
      </c>
      <c r="H902" t="s">
        <v>14</v>
      </c>
      <c r="I902" s="2">
        <v>577767</v>
      </c>
      <c r="J902">
        <v>261743</v>
      </c>
      <c r="K902" t="s">
        <v>30</v>
      </c>
      <c r="L902" t="str">
        <f t="shared" si="42"/>
        <v>Available</v>
      </c>
      <c r="M902">
        <f t="shared" si="43"/>
        <v>0</v>
      </c>
      <c r="N902">
        <f t="shared" si="44"/>
        <v>1</v>
      </c>
    </row>
    <row r="903" spans="1:14" x14ac:dyDescent="0.35">
      <c r="A903" t="s">
        <v>2459</v>
      </c>
      <c r="B903" t="s">
        <v>156</v>
      </c>
      <c r="C903" t="s">
        <v>1200</v>
      </c>
      <c r="D903">
        <v>24</v>
      </c>
      <c r="E903" t="s">
        <v>13</v>
      </c>
      <c r="F903" s="1">
        <v>45939</v>
      </c>
      <c r="G903" s="1">
        <v>46059</v>
      </c>
      <c r="H903" t="s">
        <v>14</v>
      </c>
      <c r="I903" s="2">
        <v>89944336</v>
      </c>
      <c r="J903">
        <v>267006</v>
      </c>
      <c r="K903" t="s">
        <v>30</v>
      </c>
      <c r="L903" t="str">
        <f t="shared" si="42"/>
        <v>Available</v>
      </c>
      <c r="M903">
        <f t="shared" si="43"/>
        <v>0</v>
      </c>
      <c r="N903">
        <f t="shared" si="44"/>
        <v>1</v>
      </c>
    </row>
    <row r="904" spans="1:14" x14ac:dyDescent="0.35">
      <c r="A904" t="s">
        <v>2460</v>
      </c>
      <c r="B904" t="s">
        <v>139</v>
      </c>
      <c r="C904" t="s">
        <v>1201</v>
      </c>
      <c r="D904">
        <v>24</v>
      </c>
      <c r="E904" t="s">
        <v>13</v>
      </c>
      <c r="F904" s="1">
        <v>44497</v>
      </c>
      <c r="G904" s="1">
        <v>46059</v>
      </c>
      <c r="H904" t="s">
        <v>14</v>
      </c>
      <c r="I904" s="2">
        <v>23801232</v>
      </c>
      <c r="J904">
        <v>261856</v>
      </c>
      <c r="K904" t="s">
        <v>30</v>
      </c>
      <c r="L904" t="str">
        <f t="shared" si="42"/>
        <v>Available</v>
      </c>
      <c r="M904">
        <f t="shared" si="43"/>
        <v>0</v>
      </c>
      <c r="N904">
        <f t="shared" si="44"/>
        <v>1</v>
      </c>
    </row>
    <row r="905" spans="1:14" x14ac:dyDescent="0.35">
      <c r="A905" t="s">
        <v>2461</v>
      </c>
      <c r="B905" t="s">
        <v>2778</v>
      </c>
      <c r="C905" t="s">
        <v>1202</v>
      </c>
      <c r="D905">
        <v>35</v>
      </c>
      <c r="E905" t="s">
        <v>13</v>
      </c>
      <c r="F905" s="1">
        <v>44501</v>
      </c>
      <c r="G905" s="1">
        <v>46059</v>
      </c>
      <c r="H905" t="s">
        <v>14</v>
      </c>
      <c r="I905" s="2">
        <v>25392841</v>
      </c>
      <c r="J905">
        <v>262166</v>
      </c>
      <c r="K905" t="s">
        <v>15</v>
      </c>
      <c r="L905" t="str">
        <f t="shared" si="42"/>
        <v>Missing</v>
      </c>
      <c r="M905">
        <f t="shared" si="43"/>
        <v>1</v>
      </c>
      <c r="N905">
        <f t="shared" si="44"/>
        <v>0</v>
      </c>
    </row>
    <row r="906" spans="1:14" x14ac:dyDescent="0.35">
      <c r="A906" t="s">
        <v>2462</v>
      </c>
      <c r="B906" t="s">
        <v>58</v>
      </c>
      <c r="C906" t="s">
        <v>1203</v>
      </c>
      <c r="D906">
        <v>24</v>
      </c>
      <c r="E906" t="s">
        <v>13</v>
      </c>
      <c r="F906" s="1">
        <v>44497</v>
      </c>
      <c r="G906" s="1">
        <v>46060</v>
      </c>
      <c r="H906" t="s">
        <v>14</v>
      </c>
      <c r="I906" s="2">
        <v>73901</v>
      </c>
      <c r="J906">
        <v>261853</v>
      </c>
      <c r="K906" t="s">
        <v>15</v>
      </c>
      <c r="L906" t="str">
        <f t="shared" si="42"/>
        <v>Available</v>
      </c>
      <c r="M906">
        <f t="shared" si="43"/>
        <v>1</v>
      </c>
      <c r="N906">
        <f t="shared" si="44"/>
        <v>1</v>
      </c>
    </row>
    <row r="907" spans="1:14" x14ac:dyDescent="0.35">
      <c r="A907" t="s">
        <v>2463</v>
      </c>
      <c r="B907" t="s">
        <v>2803</v>
      </c>
      <c r="C907" t="s">
        <v>1204</v>
      </c>
      <c r="D907">
        <v>32</v>
      </c>
      <c r="E907" t="s">
        <v>13</v>
      </c>
      <c r="F907" s="1">
        <v>44497</v>
      </c>
      <c r="G907" s="1">
        <v>45441</v>
      </c>
      <c r="H907" t="s">
        <v>14</v>
      </c>
      <c r="I907" t="s">
        <v>2778</v>
      </c>
      <c r="J907">
        <v>266847</v>
      </c>
      <c r="K907" t="s">
        <v>30</v>
      </c>
      <c r="L907" t="str">
        <f t="shared" si="42"/>
        <v>Available</v>
      </c>
      <c r="M907">
        <f t="shared" si="43"/>
        <v>0</v>
      </c>
      <c r="N907">
        <f t="shared" si="44"/>
        <v>1</v>
      </c>
    </row>
    <row r="908" spans="1:14" x14ac:dyDescent="0.35">
      <c r="A908" t="s">
        <v>2464</v>
      </c>
      <c r="B908" t="s">
        <v>2826</v>
      </c>
      <c r="C908" t="s">
        <v>1205</v>
      </c>
      <c r="D908">
        <v>16.5</v>
      </c>
      <c r="E908" t="s">
        <v>13</v>
      </c>
      <c r="F908" s="1">
        <v>45210</v>
      </c>
      <c r="G908" s="1">
        <v>46057</v>
      </c>
      <c r="H908" t="s">
        <v>14</v>
      </c>
      <c r="I908" t="s">
        <v>2778</v>
      </c>
      <c r="J908">
        <v>267073</v>
      </c>
      <c r="K908" t="s">
        <v>30</v>
      </c>
      <c r="L908" t="str">
        <f t="shared" si="42"/>
        <v>Available</v>
      </c>
      <c r="M908">
        <f t="shared" si="43"/>
        <v>0</v>
      </c>
      <c r="N908">
        <f t="shared" si="44"/>
        <v>1</v>
      </c>
    </row>
    <row r="909" spans="1:14" x14ac:dyDescent="0.35">
      <c r="A909" t="s">
        <v>2465</v>
      </c>
      <c r="B909" t="s">
        <v>2887</v>
      </c>
      <c r="C909" t="s">
        <v>1206</v>
      </c>
      <c r="D909">
        <v>16</v>
      </c>
      <c r="E909" t="s">
        <v>13</v>
      </c>
      <c r="F909" s="1">
        <v>44500</v>
      </c>
      <c r="G909" s="1">
        <v>46057</v>
      </c>
      <c r="H909" t="s">
        <v>14</v>
      </c>
      <c r="I909" s="2">
        <v>3321442</v>
      </c>
      <c r="J909">
        <v>264570</v>
      </c>
      <c r="K909" t="s">
        <v>30</v>
      </c>
      <c r="L909" t="str">
        <f t="shared" si="42"/>
        <v>Available</v>
      </c>
      <c r="M909">
        <f t="shared" si="43"/>
        <v>0</v>
      </c>
      <c r="N909">
        <f t="shared" si="44"/>
        <v>1</v>
      </c>
    </row>
    <row r="910" spans="1:14" x14ac:dyDescent="0.35">
      <c r="A910" t="s">
        <v>2466</v>
      </c>
      <c r="B910" t="s">
        <v>58</v>
      </c>
      <c r="C910" t="s">
        <v>1208</v>
      </c>
      <c r="D910">
        <v>21.978764999999999</v>
      </c>
      <c r="E910" t="s">
        <v>35</v>
      </c>
      <c r="F910" s="1">
        <v>44497</v>
      </c>
      <c r="G910" s="1">
        <v>46047</v>
      </c>
      <c r="H910" t="s">
        <v>14</v>
      </c>
      <c r="I910" t="s">
        <v>2778</v>
      </c>
      <c r="J910">
        <v>264375</v>
      </c>
      <c r="K910" t="s">
        <v>15</v>
      </c>
      <c r="L910" t="str">
        <f t="shared" si="42"/>
        <v>Available</v>
      </c>
      <c r="M910">
        <f t="shared" si="43"/>
        <v>1</v>
      </c>
      <c r="N910">
        <f t="shared" si="44"/>
        <v>1</v>
      </c>
    </row>
    <row r="911" spans="1:14" x14ac:dyDescent="0.35">
      <c r="A911" t="s">
        <v>2467</v>
      </c>
      <c r="B911" t="s">
        <v>1210</v>
      </c>
      <c r="C911" t="s">
        <v>1209</v>
      </c>
      <c r="D911">
        <v>24</v>
      </c>
      <c r="E911" t="s">
        <v>13</v>
      </c>
      <c r="F911" s="1">
        <v>44521</v>
      </c>
      <c r="G911" s="1">
        <v>46056</v>
      </c>
      <c r="H911" t="s">
        <v>14</v>
      </c>
      <c r="I911" s="2">
        <v>26134768</v>
      </c>
      <c r="J911">
        <v>266582</v>
      </c>
      <c r="K911" t="s">
        <v>30</v>
      </c>
      <c r="L911" t="str">
        <f t="shared" si="42"/>
        <v>Available</v>
      </c>
      <c r="M911">
        <f t="shared" si="43"/>
        <v>0</v>
      </c>
      <c r="N911">
        <f t="shared" si="44"/>
        <v>1</v>
      </c>
    </row>
    <row r="912" spans="1:14" x14ac:dyDescent="0.35">
      <c r="A912" t="s">
        <v>2468</v>
      </c>
      <c r="B912" t="s">
        <v>2799</v>
      </c>
      <c r="C912" t="s">
        <v>78</v>
      </c>
      <c r="D912">
        <v>32</v>
      </c>
      <c r="E912" t="s">
        <v>13</v>
      </c>
      <c r="F912" s="1">
        <v>44497</v>
      </c>
      <c r="G912" s="1">
        <v>46059</v>
      </c>
      <c r="H912" t="s">
        <v>14</v>
      </c>
      <c r="I912" t="s">
        <v>2785</v>
      </c>
      <c r="J912" t="s">
        <v>1211</v>
      </c>
      <c r="K912" t="s">
        <v>15</v>
      </c>
      <c r="L912" t="str">
        <f t="shared" si="42"/>
        <v>Available</v>
      </c>
      <c r="M912">
        <f t="shared" si="43"/>
        <v>1</v>
      </c>
      <c r="N912">
        <f t="shared" si="44"/>
        <v>1</v>
      </c>
    </row>
    <row r="913" spans="1:14" x14ac:dyDescent="0.35">
      <c r="A913" t="s">
        <v>2469</v>
      </c>
      <c r="B913" t="s">
        <v>1210</v>
      </c>
      <c r="C913" t="s">
        <v>1212</v>
      </c>
      <c r="D913">
        <v>24</v>
      </c>
      <c r="E913" t="s">
        <v>13</v>
      </c>
      <c r="F913" s="1">
        <v>44521</v>
      </c>
      <c r="G913" s="1">
        <v>46056</v>
      </c>
      <c r="H913" t="s">
        <v>14</v>
      </c>
      <c r="I913" s="2">
        <v>26134750</v>
      </c>
      <c r="J913">
        <v>264229</v>
      </c>
      <c r="K913" t="s">
        <v>15</v>
      </c>
      <c r="L913" t="str">
        <f t="shared" si="42"/>
        <v>Available</v>
      </c>
      <c r="M913">
        <f t="shared" si="43"/>
        <v>1</v>
      </c>
      <c r="N913">
        <f t="shared" si="44"/>
        <v>1</v>
      </c>
    </row>
    <row r="914" spans="1:14" x14ac:dyDescent="0.35">
      <c r="A914" t="s">
        <v>2470</v>
      </c>
      <c r="B914" t="s">
        <v>2792</v>
      </c>
      <c r="C914" t="s">
        <v>1213</v>
      </c>
      <c r="D914">
        <v>24</v>
      </c>
      <c r="E914" t="s">
        <v>13</v>
      </c>
      <c r="F914" s="1">
        <v>44497</v>
      </c>
      <c r="G914" s="1">
        <v>46057</v>
      </c>
      <c r="H914" t="s">
        <v>14</v>
      </c>
      <c r="I914" s="2">
        <v>24805</v>
      </c>
      <c r="J914">
        <v>261683</v>
      </c>
      <c r="K914" t="s">
        <v>15</v>
      </c>
      <c r="L914" t="str">
        <f t="shared" si="42"/>
        <v>Available</v>
      </c>
      <c r="M914">
        <f t="shared" si="43"/>
        <v>1</v>
      </c>
      <c r="N914">
        <f t="shared" si="44"/>
        <v>1</v>
      </c>
    </row>
    <row r="915" spans="1:14" x14ac:dyDescent="0.35">
      <c r="A915" t="s">
        <v>2471</v>
      </c>
      <c r="B915" t="s">
        <v>47</v>
      </c>
      <c r="C915" t="s">
        <v>1214</v>
      </c>
      <c r="D915">
        <v>45</v>
      </c>
      <c r="E915" t="s">
        <v>13</v>
      </c>
      <c r="F915" s="1">
        <v>44497</v>
      </c>
      <c r="G915" s="1">
        <v>46060</v>
      </c>
      <c r="H915" t="s">
        <v>14</v>
      </c>
      <c r="I915" s="2">
        <v>73906</v>
      </c>
      <c r="J915">
        <v>266326</v>
      </c>
      <c r="K915" t="s">
        <v>30</v>
      </c>
      <c r="L915" t="str">
        <f t="shared" si="42"/>
        <v>Available</v>
      </c>
      <c r="M915">
        <f t="shared" si="43"/>
        <v>0</v>
      </c>
      <c r="N915">
        <f t="shared" si="44"/>
        <v>1</v>
      </c>
    </row>
    <row r="916" spans="1:14" x14ac:dyDescent="0.35">
      <c r="A916" t="s">
        <v>2472</v>
      </c>
      <c r="B916" t="s">
        <v>2888</v>
      </c>
      <c r="C916" t="s">
        <v>1215</v>
      </c>
      <c r="F916" s="1">
        <v>44866</v>
      </c>
      <c r="G916" s="1">
        <v>45099</v>
      </c>
      <c r="H916" t="s">
        <v>14</v>
      </c>
      <c r="I916" t="s">
        <v>2778</v>
      </c>
      <c r="J916">
        <v>266443</v>
      </c>
      <c r="K916" t="s">
        <v>15</v>
      </c>
      <c r="L916" t="str">
        <f t="shared" si="42"/>
        <v>Available</v>
      </c>
      <c r="M916">
        <f t="shared" si="43"/>
        <v>1</v>
      </c>
      <c r="N916">
        <f t="shared" si="44"/>
        <v>1</v>
      </c>
    </row>
    <row r="917" spans="1:14" x14ac:dyDescent="0.35">
      <c r="A917" t="s">
        <v>2473</v>
      </c>
      <c r="B917" t="s">
        <v>2846</v>
      </c>
      <c r="C917" t="s">
        <v>1217</v>
      </c>
      <c r="D917">
        <v>24</v>
      </c>
      <c r="E917" t="s">
        <v>35</v>
      </c>
      <c r="F917" s="1">
        <v>44497</v>
      </c>
      <c r="G917" s="1">
        <v>46060</v>
      </c>
      <c r="H917" t="s">
        <v>14</v>
      </c>
      <c r="I917" s="2">
        <v>18648</v>
      </c>
      <c r="J917">
        <v>261535</v>
      </c>
      <c r="K917" t="s">
        <v>30</v>
      </c>
      <c r="L917" t="str">
        <f t="shared" si="42"/>
        <v>Available</v>
      </c>
      <c r="M917">
        <f t="shared" si="43"/>
        <v>0</v>
      </c>
      <c r="N917">
        <f t="shared" si="44"/>
        <v>1</v>
      </c>
    </row>
    <row r="918" spans="1:14" x14ac:dyDescent="0.35">
      <c r="A918" t="s">
        <v>2474</v>
      </c>
      <c r="B918" t="s">
        <v>1219</v>
      </c>
      <c r="C918" t="s">
        <v>1218</v>
      </c>
      <c r="D918">
        <v>26</v>
      </c>
      <c r="E918" t="s">
        <v>13</v>
      </c>
      <c r="F918" s="1">
        <v>44497</v>
      </c>
      <c r="G918" s="1">
        <v>46059</v>
      </c>
      <c r="H918" t="s">
        <v>14</v>
      </c>
      <c r="I918" s="2">
        <v>95025</v>
      </c>
      <c r="J918">
        <v>264062</v>
      </c>
      <c r="K918" t="s">
        <v>15</v>
      </c>
      <c r="L918" t="str">
        <f t="shared" si="42"/>
        <v>Available</v>
      </c>
      <c r="M918">
        <f t="shared" si="43"/>
        <v>1</v>
      </c>
      <c r="N918">
        <f t="shared" si="44"/>
        <v>1</v>
      </c>
    </row>
    <row r="919" spans="1:14" x14ac:dyDescent="0.35">
      <c r="A919" t="s">
        <v>2475</v>
      </c>
      <c r="B919" t="s">
        <v>25</v>
      </c>
      <c r="C919" t="s">
        <v>1220</v>
      </c>
      <c r="D919">
        <v>23.75</v>
      </c>
      <c r="E919" t="s">
        <v>13</v>
      </c>
      <c r="F919" s="1">
        <v>44969</v>
      </c>
      <c r="G919" s="1">
        <v>46059</v>
      </c>
      <c r="H919" t="s">
        <v>14</v>
      </c>
      <c r="I919" s="2">
        <v>29503419</v>
      </c>
      <c r="J919">
        <v>267007</v>
      </c>
      <c r="K919" t="s">
        <v>30</v>
      </c>
      <c r="L919" t="str">
        <f t="shared" si="42"/>
        <v>Available</v>
      </c>
      <c r="M919">
        <f t="shared" si="43"/>
        <v>0</v>
      </c>
      <c r="N919">
        <f t="shared" si="44"/>
        <v>1</v>
      </c>
    </row>
    <row r="920" spans="1:14" x14ac:dyDescent="0.35">
      <c r="A920" t="s">
        <v>2476</v>
      </c>
      <c r="B920" t="s">
        <v>453</v>
      </c>
      <c r="C920" t="s">
        <v>1222</v>
      </c>
      <c r="D920">
        <v>25</v>
      </c>
      <c r="E920" t="s">
        <v>13</v>
      </c>
      <c r="F920" s="1">
        <v>44497</v>
      </c>
      <c r="G920" s="1">
        <v>46059</v>
      </c>
      <c r="H920" t="s">
        <v>14</v>
      </c>
      <c r="I920" s="2">
        <v>98547</v>
      </c>
      <c r="J920">
        <v>262588</v>
      </c>
      <c r="K920" t="s">
        <v>30</v>
      </c>
      <c r="L920" t="str">
        <f t="shared" si="42"/>
        <v>Available</v>
      </c>
      <c r="M920">
        <f t="shared" si="43"/>
        <v>0</v>
      </c>
      <c r="N920">
        <f t="shared" si="44"/>
        <v>1</v>
      </c>
    </row>
    <row r="921" spans="1:14" x14ac:dyDescent="0.35">
      <c r="A921" t="s">
        <v>2477</v>
      </c>
      <c r="B921" t="s">
        <v>392</v>
      </c>
      <c r="C921" t="s">
        <v>398</v>
      </c>
      <c r="D921">
        <v>25</v>
      </c>
      <c r="E921" t="s">
        <v>13</v>
      </c>
      <c r="F921" s="1">
        <v>44497</v>
      </c>
      <c r="G921" s="1">
        <v>46059</v>
      </c>
      <c r="H921" t="s">
        <v>14</v>
      </c>
      <c r="I921" s="2">
        <v>3343081</v>
      </c>
      <c r="J921">
        <v>261686</v>
      </c>
      <c r="K921" t="s">
        <v>15</v>
      </c>
      <c r="L921" t="str">
        <f t="shared" si="42"/>
        <v>Available</v>
      </c>
      <c r="M921">
        <f t="shared" si="43"/>
        <v>1</v>
      </c>
      <c r="N921">
        <f t="shared" si="44"/>
        <v>1</v>
      </c>
    </row>
    <row r="922" spans="1:14" x14ac:dyDescent="0.35">
      <c r="A922" t="s">
        <v>2478</v>
      </c>
      <c r="B922" t="s">
        <v>926</v>
      </c>
      <c r="C922" t="s">
        <v>1224</v>
      </c>
      <c r="D922">
        <v>25</v>
      </c>
      <c r="E922" t="s">
        <v>13</v>
      </c>
      <c r="F922" s="1">
        <v>44497</v>
      </c>
      <c r="G922" s="1">
        <v>46057</v>
      </c>
      <c r="H922" t="s">
        <v>14</v>
      </c>
      <c r="I922" s="2">
        <v>17438567</v>
      </c>
      <c r="J922">
        <v>262329</v>
      </c>
      <c r="K922" t="s">
        <v>15</v>
      </c>
      <c r="L922" t="str">
        <f t="shared" si="42"/>
        <v>Available</v>
      </c>
      <c r="M922">
        <f t="shared" si="43"/>
        <v>1</v>
      </c>
      <c r="N922">
        <f t="shared" si="44"/>
        <v>1</v>
      </c>
    </row>
    <row r="923" spans="1:14" x14ac:dyDescent="0.35">
      <c r="A923" t="s">
        <v>2479</v>
      </c>
      <c r="B923" t="s">
        <v>25</v>
      </c>
      <c r="C923" t="s">
        <v>1225</v>
      </c>
      <c r="D923">
        <v>23.75</v>
      </c>
      <c r="E923" t="s">
        <v>13</v>
      </c>
      <c r="F923" s="1">
        <v>45728</v>
      </c>
      <c r="G923" s="1">
        <v>46059</v>
      </c>
      <c r="H923" t="s">
        <v>14</v>
      </c>
      <c r="I923" s="2">
        <v>64392531</v>
      </c>
      <c r="J923">
        <v>264283</v>
      </c>
      <c r="K923" t="s">
        <v>15</v>
      </c>
      <c r="L923" t="str">
        <f t="shared" si="42"/>
        <v>Available</v>
      </c>
      <c r="M923">
        <f t="shared" si="43"/>
        <v>1</v>
      </c>
      <c r="N923">
        <f t="shared" si="44"/>
        <v>1</v>
      </c>
    </row>
    <row r="924" spans="1:14" x14ac:dyDescent="0.35">
      <c r="A924" t="s">
        <v>2480</v>
      </c>
      <c r="B924" t="s">
        <v>103</v>
      </c>
      <c r="C924" t="s">
        <v>1226</v>
      </c>
      <c r="D924">
        <v>16</v>
      </c>
      <c r="E924" t="s">
        <v>13</v>
      </c>
      <c r="F924" s="1">
        <v>45543</v>
      </c>
      <c r="G924" s="1">
        <v>46059</v>
      </c>
      <c r="H924" t="s">
        <v>14</v>
      </c>
      <c r="I924" s="2">
        <v>56340183</v>
      </c>
      <c r="J924">
        <v>264524</v>
      </c>
      <c r="K924" t="s">
        <v>30</v>
      </c>
      <c r="L924" t="str">
        <f t="shared" si="42"/>
        <v>Available</v>
      </c>
      <c r="M924">
        <f t="shared" si="43"/>
        <v>0</v>
      </c>
      <c r="N924">
        <f t="shared" si="44"/>
        <v>1</v>
      </c>
    </row>
    <row r="925" spans="1:14" x14ac:dyDescent="0.35">
      <c r="A925" t="s">
        <v>2481</v>
      </c>
      <c r="B925" t="s">
        <v>2778</v>
      </c>
      <c r="C925" t="s">
        <v>1227</v>
      </c>
      <c r="F925" s="1">
        <v>44502</v>
      </c>
      <c r="G925" s="1">
        <v>45088</v>
      </c>
      <c r="H925" t="s">
        <v>14</v>
      </c>
      <c r="I925" t="s">
        <v>2778</v>
      </c>
      <c r="J925">
        <v>264241</v>
      </c>
      <c r="K925" t="s">
        <v>30</v>
      </c>
      <c r="L925" t="str">
        <f t="shared" si="42"/>
        <v>Missing</v>
      </c>
      <c r="M925">
        <f t="shared" si="43"/>
        <v>0</v>
      </c>
      <c r="N925">
        <f t="shared" si="44"/>
        <v>0</v>
      </c>
    </row>
    <row r="926" spans="1:14" x14ac:dyDescent="0.35">
      <c r="A926" t="s">
        <v>2482</v>
      </c>
      <c r="B926" t="s">
        <v>439</v>
      </c>
      <c r="C926" t="s">
        <v>1228</v>
      </c>
      <c r="D926">
        <v>45</v>
      </c>
      <c r="E926" t="s">
        <v>13</v>
      </c>
      <c r="F926" s="1">
        <v>44497</v>
      </c>
      <c r="G926" s="1">
        <v>46056</v>
      </c>
      <c r="H926" t="s">
        <v>14</v>
      </c>
      <c r="I926" t="s">
        <v>2778</v>
      </c>
      <c r="J926">
        <v>261786</v>
      </c>
      <c r="K926" t="s">
        <v>30</v>
      </c>
      <c r="L926" t="str">
        <f t="shared" si="42"/>
        <v>Available</v>
      </c>
      <c r="M926">
        <f t="shared" si="43"/>
        <v>0</v>
      </c>
      <c r="N926">
        <f t="shared" si="44"/>
        <v>1</v>
      </c>
    </row>
    <row r="927" spans="1:14" x14ac:dyDescent="0.35">
      <c r="A927" t="s">
        <v>2483</v>
      </c>
      <c r="B927" t="s">
        <v>598</v>
      </c>
      <c r="C927" t="s">
        <v>1229</v>
      </c>
      <c r="D927">
        <v>26</v>
      </c>
      <c r="E927" t="s">
        <v>13</v>
      </c>
      <c r="F927" s="1">
        <v>44497</v>
      </c>
      <c r="G927" s="1">
        <v>46059</v>
      </c>
      <c r="H927" t="s">
        <v>14</v>
      </c>
      <c r="I927" s="2">
        <v>18683585</v>
      </c>
      <c r="J927">
        <v>266964</v>
      </c>
      <c r="K927" t="s">
        <v>15</v>
      </c>
      <c r="L927" t="str">
        <f t="shared" si="42"/>
        <v>Available</v>
      </c>
      <c r="M927">
        <f t="shared" si="43"/>
        <v>1</v>
      </c>
      <c r="N927">
        <f t="shared" si="44"/>
        <v>1</v>
      </c>
    </row>
    <row r="928" spans="1:14" x14ac:dyDescent="0.35">
      <c r="A928" t="s">
        <v>2484</v>
      </c>
      <c r="B928" t="s">
        <v>25</v>
      </c>
      <c r="C928" t="s">
        <v>1230</v>
      </c>
      <c r="D928">
        <v>23.5</v>
      </c>
      <c r="E928" t="s">
        <v>13</v>
      </c>
      <c r="F928" s="1">
        <v>44497</v>
      </c>
      <c r="G928" s="1">
        <v>46059</v>
      </c>
      <c r="H928" t="s">
        <v>14</v>
      </c>
      <c r="I928" s="2">
        <v>3280025</v>
      </c>
      <c r="J928">
        <v>261890</v>
      </c>
      <c r="K928" t="s">
        <v>15</v>
      </c>
      <c r="L928" t="str">
        <f t="shared" si="42"/>
        <v>Available</v>
      </c>
      <c r="M928">
        <f t="shared" si="43"/>
        <v>1</v>
      </c>
      <c r="N928">
        <f t="shared" si="44"/>
        <v>1</v>
      </c>
    </row>
    <row r="929" spans="1:14" x14ac:dyDescent="0.35">
      <c r="A929" t="s">
        <v>2485</v>
      </c>
      <c r="B929" t="s">
        <v>2801</v>
      </c>
      <c r="C929" t="s">
        <v>1231</v>
      </c>
      <c r="D929">
        <v>16</v>
      </c>
      <c r="E929" t="s">
        <v>13</v>
      </c>
      <c r="F929" s="1">
        <v>44514</v>
      </c>
      <c r="G929" s="1">
        <v>46055</v>
      </c>
      <c r="H929" t="s">
        <v>14</v>
      </c>
      <c r="I929" s="2">
        <v>2812438</v>
      </c>
      <c r="J929">
        <v>261877</v>
      </c>
      <c r="K929" t="s">
        <v>30</v>
      </c>
      <c r="L929" t="str">
        <f t="shared" si="42"/>
        <v>Available</v>
      </c>
      <c r="M929">
        <f t="shared" si="43"/>
        <v>0</v>
      </c>
      <c r="N929">
        <f t="shared" si="44"/>
        <v>1</v>
      </c>
    </row>
    <row r="930" spans="1:14" x14ac:dyDescent="0.35">
      <c r="A930" t="s">
        <v>2486</v>
      </c>
      <c r="B930" t="s">
        <v>2884</v>
      </c>
      <c r="C930" t="s">
        <v>1232</v>
      </c>
      <c r="D930">
        <v>24</v>
      </c>
      <c r="E930" t="s">
        <v>13</v>
      </c>
      <c r="F930" s="1">
        <v>44501</v>
      </c>
      <c r="G930" s="1">
        <v>46059</v>
      </c>
      <c r="H930" t="s">
        <v>14</v>
      </c>
      <c r="I930" s="2">
        <v>162275</v>
      </c>
      <c r="J930">
        <v>261873</v>
      </c>
      <c r="K930" t="s">
        <v>30</v>
      </c>
      <c r="L930" t="str">
        <f t="shared" si="42"/>
        <v>Available</v>
      </c>
      <c r="M930">
        <f t="shared" si="43"/>
        <v>0</v>
      </c>
      <c r="N930">
        <f t="shared" si="44"/>
        <v>1</v>
      </c>
    </row>
    <row r="931" spans="1:14" x14ac:dyDescent="0.35">
      <c r="A931" t="s">
        <v>2487</v>
      </c>
      <c r="B931" t="s">
        <v>118</v>
      </c>
      <c r="C931" t="s">
        <v>1233</v>
      </c>
      <c r="D931">
        <v>24</v>
      </c>
      <c r="E931" t="s">
        <v>13</v>
      </c>
      <c r="F931" s="1">
        <v>45460</v>
      </c>
      <c r="G931" s="1">
        <v>46059</v>
      </c>
      <c r="H931" t="s">
        <v>14</v>
      </c>
      <c r="I931" s="2">
        <v>48699361</v>
      </c>
      <c r="J931">
        <v>262132</v>
      </c>
      <c r="K931" t="s">
        <v>15</v>
      </c>
      <c r="L931" t="str">
        <f t="shared" si="42"/>
        <v>Available</v>
      </c>
      <c r="M931">
        <f t="shared" si="43"/>
        <v>1</v>
      </c>
      <c r="N931">
        <f t="shared" si="44"/>
        <v>1</v>
      </c>
    </row>
    <row r="932" spans="1:14" x14ac:dyDescent="0.35">
      <c r="A932" t="s">
        <v>2488</v>
      </c>
      <c r="B932" t="s">
        <v>1235</v>
      </c>
      <c r="C932" t="s">
        <v>1234</v>
      </c>
      <c r="D932">
        <v>24</v>
      </c>
      <c r="E932" t="s">
        <v>13</v>
      </c>
      <c r="F932" s="1">
        <v>44579</v>
      </c>
      <c r="G932" s="1">
        <v>46058</v>
      </c>
      <c r="H932" t="s">
        <v>14</v>
      </c>
      <c r="I932" s="2">
        <v>26511872</v>
      </c>
      <c r="J932">
        <v>261490</v>
      </c>
      <c r="K932" t="s">
        <v>15</v>
      </c>
      <c r="L932" t="str">
        <f t="shared" si="42"/>
        <v>Available</v>
      </c>
      <c r="M932">
        <f t="shared" si="43"/>
        <v>1</v>
      </c>
      <c r="N932">
        <f t="shared" si="44"/>
        <v>1</v>
      </c>
    </row>
    <row r="933" spans="1:14" x14ac:dyDescent="0.35">
      <c r="A933" t="s">
        <v>2489</v>
      </c>
      <c r="B933" t="s">
        <v>2889</v>
      </c>
      <c r="C933" t="s">
        <v>1236</v>
      </c>
      <c r="D933">
        <v>25</v>
      </c>
      <c r="E933" t="s">
        <v>13</v>
      </c>
      <c r="F933" s="1">
        <v>44497</v>
      </c>
      <c r="G933" s="1">
        <v>46059</v>
      </c>
      <c r="H933" t="s">
        <v>14</v>
      </c>
      <c r="I933" s="2">
        <v>19316288</v>
      </c>
      <c r="J933">
        <v>264204</v>
      </c>
      <c r="K933" t="s">
        <v>30</v>
      </c>
      <c r="L933" t="str">
        <f t="shared" si="42"/>
        <v>Available</v>
      </c>
      <c r="M933">
        <f t="shared" si="43"/>
        <v>0</v>
      </c>
      <c r="N933">
        <f t="shared" si="44"/>
        <v>1</v>
      </c>
    </row>
    <row r="934" spans="1:14" x14ac:dyDescent="0.35">
      <c r="A934" t="s">
        <v>2490</v>
      </c>
      <c r="B934" t="s">
        <v>491</v>
      </c>
      <c r="C934" t="s">
        <v>1238</v>
      </c>
      <c r="D934">
        <v>16</v>
      </c>
      <c r="E934" t="s">
        <v>13</v>
      </c>
      <c r="F934" s="1">
        <v>45294</v>
      </c>
      <c r="G934" s="1">
        <v>45877</v>
      </c>
      <c r="H934" t="s">
        <v>14</v>
      </c>
      <c r="I934" t="s">
        <v>2778</v>
      </c>
      <c r="J934">
        <v>266413</v>
      </c>
      <c r="K934" t="s">
        <v>30</v>
      </c>
      <c r="L934" t="str">
        <f t="shared" si="42"/>
        <v>Available</v>
      </c>
      <c r="M934">
        <f t="shared" si="43"/>
        <v>0</v>
      </c>
      <c r="N934">
        <f t="shared" si="44"/>
        <v>1</v>
      </c>
    </row>
    <row r="935" spans="1:14" x14ac:dyDescent="0.35">
      <c r="A935" t="s">
        <v>2491</v>
      </c>
      <c r="B935" t="s">
        <v>439</v>
      </c>
      <c r="C935" t="s">
        <v>1239</v>
      </c>
      <c r="D935">
        <v>24</v>
      </c>
      <c r="E935" t="s">
        <v>13</v>
      </c>
      <c r="F935" s="1">
        <v>44497</v>
      </c>
      <c r="G935" s="1">
        <v>46059</v>
      </c>
      <c r="H935" t="s">
        <v>14</v>
      </c>
      <c r="I935" s="2">
        <v>3363861</v>
      </c>
      <c r="J935">
        <v>261848</v>
      </c>
      <c r="K935" t="s">
        <v>30</v>
      </c>
      <c r="L935" t="str">
        <f t="shared" si="42"/>
        <v>Available</v>
      </c>
      <c r="M935">
        <f t="shared" si="43"/>
        <v>0</v>
      </c>
      <c r="N935">
        <f t="shared" si="44"/>
        <v>1</v>
      </c>
    </row>
    <row r="936" spans="1:14" x14ac:dyDescent="0.35">
      <c r="A936" t="s">
        <v>2492</v>
      </c>
      <c r="B936" t="s">
        <v>25</v>
      </c>
      <c r="C936" t="s">
        <v>1240</v>
      </c>
      <c r="D936">
        <v>135</v>
      </c>
      <c r="E936" t="s">
        <v>13</v>
      </c>
      <c r="F936" s="1">
        <v>44497</v>
      </c>
      <c r="G936" s="1">
        <v>46045</v>
      </c>
      <c r="H936" t="s">
        <v>14</v>
      </c>
      <c r="I936" s="2">
        <v>25836412</v>
      </c>
      <c r="J936">
        <v>261876</v>
      </c>
      <c r="K936" t="s">
        <v>15</v>
      </c>
      <c r="L936" t="str">
        <f t="shared" si="42"/>
        <v>Available</v>
      </c>
      <c r="M936">
        <f t="shared" si="43"/>
        <v>1</v>
      </c>
      <c r="N936">
        <f t="shared" si="44"/>
        <v>1</v>
      </c>
    </row>
    <row r="937" spans="1:14" x14ac:dyDescent="0.35">
      <c r="A937" t="s">
        <v>2493</v>
      </c>
      <c r="B937" t="s">
        <v>2809</v>
      </c>
      <c r="C937" t="s">
        <v>1241</v>
      </c>
      <c r="D937">
        <v>24</v>
      </c>
      <c r="E937" t="s">
        <v>13</v>
      </c>
      <c r="F937" s="1">
        <v>45088</v>
      </c>
      <c r="G937" s="1">
        <v>46056</v>
      </c>
      <c r="H937" t="s">
        <v>14</v>
      </c>
      <c r="I937" t="s">
        <v>2786</v>
      </c>
      <c r="J937" t="s">
        <v>1242</v>
      </c>
      <c r="K937" t="s">
        <v>30</v>
      </c>
      <c r="L937" t="str">
        <f t="shared" si="42"/>
        <v>Available</v>
      </c>
      <c r="M937">
        <f t="shared" si="43"/>
        <v>0</v>
      </c>
      <c r="N937">
        <f t="shared" si="44"/>
        <v>1</v>
      </c>
    </row>
    <row r="938" spans="1:14" x14ac:dyDescent="0.35">
      <c r="A938" t="s">
        <v>2494</v>
      </c>
      <c r="B938" t="s">
        <v>2890</v>
      </c>
      <c r="C938" t="s">
        <v>1243</v>
      </c>
      <c r="D938">
        <v>16</v>
      </c>
      <c r="E938" t="s">
        <v>13</v>
      </c>
      <c r="F938" s="1">
        <v>44500</v>
      </c>
      <c r="G938" s="1">
        <v>46057</v>
      </c>
      <c r="H938" t="s">
        <v>14</v>
      </c>
      <c r="I938" s="2">
        <v>110839</v>
      </c>
      <c r="J938">
        <v>261693</v>
      </c>
      <c r="K938" t="s">
        <v>15</v>
      </c>
      <c r="L938" t="str">
        <f t="shared" si="42"/>
        <v>Available</v>
      </c>
      <c r="M938">
        <f t="shared" si="43"/>
        <v>1</v>
      </c>
      <c r="N938">
        <f t="shared" si="44"/>
        <v>1</v>
      </c>
    </row>
    <row r="939" spans="1:14" x14ac:dyDescent="0.35">
      <c r="A939" t="s">
        <v>2495</v>
      </c>
      <c r="B939" t="s">
        <v>2891</v>
      </c>
      <c r="C939" t="s">
        <v>1245</v>
      </c>
      <c r="D939">
        <v>24</v>
      </c>
      <c r="E939" t="s">
        <v>13</v>
      </c>
      <c r="F939" s="1">
        <v>44497</v>
      </c>
      <c r="G939" s="1">
        <v>46060</v>
      </c>
      <c r="H939" t="s">
        <v>14</v>
      </c>
      <c r="I939" s="2">
        <v>34645477</v>
      </c>
      <c r="J939">
        <v>264113</v>
      </c>
      <c r="K939" t="s">
        <v>15</v>
      </c>
      <c r="L939" t="str">
        <f t="shared" si="42"/>
        <v>Available</v>
      </c>
      <c r="M939">
        <f t="shared" si="43"/>
        <v>1</v>
      </c>
      <c r="N939">
        <f t="shared" si="44"/>
        <v>1</v>
      </c>
    </row>
    <row r="940" spans="1:14" x14ac:dyDescent="0.35">
      <c r="A940" t="s">
        <v>2496</v>
      </c>
      <c r="B940" t="s">
        <v>771</v>
      </c>
      <c r="C940" t="s">
        <v>1247</v>
      </c>
      <c r="D940">
        <v>18</v>
      </c>
      <c r="E940" t="s">
        <v>13</v>
      </c>
      <c r="F940" s="1">
        <v>44497</v>
      </c>
      <c r="G940" s="1">
        <v>46059</v>
      </c>
      <c r="H940" t="s">
        <v>14</v>
      </c>
      <c r="I940" s="2">
        <v>135706</v>
      </c>
      <c r="J940">
        <v>266412</v>
      </c>
      <c r="K940" t="s">
        <v>15</v>
      </c>
      <c r="L940" t="str">
        <f t="shared" si="42"/>
        <v>Available</v>
      </c>
      <c r="M940">
        <f t="shared" si="43"/>
        <v>1</v>
      </c>
      <c r="N940">
        <f t="shared" si="44"/>
        <v>1</v>
      </c>
    </row>
    <row r="941" spans="1:14" x14ac:dyDescent="0.35">
      <c r="A941" t="s">
        <v>2497</v>
      </c>
      <c r="B941" t="s">
        <v>2838</v>
      </c>
      <c r="C941" t="s">
        <v>1248</v>
      </c>
      <c r="D941">
        <v>24</v>
      </c>
      <c r="E941" t="s">
        <v>13</v>
      </c>
      <c r="F941" s="1">
        <v>45693</v>
      </c>
      <c r="G941" s="1">
        <v>46059</v>
      </c>
      <c r="H941" t="s">
        <v>14</v>
      </c>
      <c r="I941" s="2">
        <v>33224753</v>
      </c>
      <c r="J941">
        <v>264257</v>
      </c>
      <c r="K941" t="s">
        <v>15</v>
      </c>
      <c r="L941" t="str">
        <f t="shared" si="42"/>
        <v>Available</v>
      </c>
      <c r="M941">
        <f t="shared" si="43"/>
        <v>1</v>
      </c>
      <c r="N941">
        <f t="shared" si="44"/>
        <v>1</v>
      </c>
    </row>
    <row r="942" spans="1:14" x14ac:dyDescent="0.35">
      <c r="A942" t="s">
        <v>2498</v>
      </c>
      <c r="B942" t="s">
        <v>2892</v>
      </c>
      <c r="C942" t="s">
        <v>1249</v>
      </c>
      <c r="D942">
        <v>24</v>
      </c>
      <c r="E942" t="s">
        <v>13</v>
      </c>
      <c r="F942" s="1">
        <v>44498</v>
      </c>
      <c r="G942" s="1">
        <v>46059</v>
      </c>
      <c r="H942" t="s">
        <v>14</v>
      </c>
      <c r="I942" s="2">
        <v>19832369</v>
      </c>
      <c r="J942">
        <v>262174</v>
      </c>
      <c r="K942" t="s">
        <v>30</v>
      </c>
      <c r="L942" t="str">
        <f t="shared" si="42"/>
        <v>Available</v>
      </c>
      <c r="M942">
        <f t="shared" si="43"/>
        <v>0</v>
      </c>
      <c r="N942">
        <f t="shared" si="44"/>
        <v>1</v>
      </c>
    </row>
    <row r="943" spans="1:14" x14ac:dyDescent="0.35">
      <c r="A943" t="s">
        <v>2499</v>
      </c>
      <c r="B943" t="s">
        <v>595</v>
      </c>
      <c r="C943" t="s">
        <v>1251</v>
      </c>
      <c r="D943">
        <v>19.75</v>
      </c>
      <c r="E943" t="s">
        <v>13</v>
      </c>
      <c r="F943" s="1">
        <v>44497</v>
      </c>
      <c r="G943" s="1">
        <v>45918</v>
      </c>
      <c r="H943" t="s">
        <v>14</v>
      </c>
      <c r="I943" t="s">
        <v>2778</v>
      </c>
      <c r="J943">
        <v>262612</v>
      </c>
      <c r="K943" t="s">
        <v>15</v>
      </c>
      <c r="L943" t="str">
        <f t="shared" si="42"/>
        <v>Available</v>
      </c>
      <c r="M943">
        <f t="shared" si="43"/>
        <v>1</v>
      </c>
      <c r="N943">
        <f t="shared" si="44"/>
        <v>1</v>
      </c>
    </row>
    <row r="944" spans="1:14" x14ac:dyDescent="0.35">
      <c r="A944" t="s">
        <v>2500</v>
      </c>
      <c r="B944" t="s">
        <v>105</v>
      </c>
      <c r="C944" t="s">
        <v>1252</v>
      </c>
      <c r="D944">
        <v>24</v>
      </c>
      <c r="E944" t="s">
        <v>13</v>
      </c>
      <c r="F944" s="1">
        <v>44497</v>
      </c>
      <c r="G944" s="1">
        <v>46059</v>
      </c>
      <c r="H944" t="s">
        <v>14</v>
      </c>
      <c r="I944" s="2">
        <v>20218111</v>
      </c>
      <c r="J944">
        <v>264167</v>
      </c>
      <c r="K944" t="s">
        <v>30</v>
      </c>
      <c r="L944" t="str">
        <f t="shared" si="42"/>
        <v>Available</v>
      </c>
      <c r="M944">
        <f t="shared" si="43"/>
        <v>0</v>
      </c>
      <c r="N944">
        <f t="shared" si="44"/>
        <v>1</v>
      </c>
    </row>
    <row r="945" spans="1:14" x14ac:dyDescent="0.35">
      <c r="A945" t="s">
        <v>2501</v>
      </c>
      <c r="B945" t="s">
        <v>2830</v>
      </c>
      <c r="C945" t="s">
        <v>1253</v>
      </c>
      <c r="D945">
        <v>13.9</v>
      </c>
      <c r="E945" t="s">
        <v>13</v>
      </c>
      <c r="F945" s="1">
        <v>45694</v>
      </c>
      <c r="G945" s="1">
        <v>46059</v>
      </c>
      <c r="H945" t="s">
        <v>14</v>
      </c>
      <c r="I945" t="s">
        <v>2778</v>
      </c>
      <c r="J945">
        <v>264530</v>
      </c>
      <c r="K945" t="s">
        <v>15</v>
      </c>
      <c r="L945" t="str">
        <f t="shared" si="42"/>
        <v>Available</v>
      </c>
      <c r="M945">
        <f t="shared" si="43"/>
        <v>1</v>
      </c>
      <c r="N945">
        <f t="shared" si="44"/>
        <v>1</v>
      </c>
    </row>
    <row r="946" spans="1:14" x14ac:dyDescent="0.35">
      <c r="A946" t="s">
        <v>2502</v>
      </c>
      <c r="B946" t="s">
        <v>334</v>
      </c>
      <c r="C946" t="s">
        <v>1254</v>
      </c>
      <c r="D946">
        <v>16.8</v>
      </c>
      <c r="E946" t="s">
        <v>13</v>
      </c>
      <c r="F946" s="1">
        <v>44497</v>
      </c>
      <c r="G946" s="1">
        <v>46059</v>
      </c>
      <c r="H946" t="s">
        <v>14</v>
      </c>
      <c r="I946" s="2">
        <v>3258014</v>
      </c>
      <c r="J946">
        <v>261658</v>
      </c>
      <c r="K946" t="s">
        <v>30</v>
      </c>
      <c r="L946" t="str">
        <f t="shared" si="42"/>
        <v>Available</v>
      </c>
      <c r="M946">
        <f t="shared" si="43"/>
        <v>0</v>
      </c>
      <c r="N946">
        <f t="shared" si="44"/>
        <v>1</v>
      </c>
    </row>
    <row r="947" spans="1:14" x14ac:dyDescent="0.35">
      <c r="A947" t="s">
        <v>2503</v>
      </c>
      <c r="B947" t="s">
        <v>2778</v>
      </c>
      <c r="C947" t="s">
        <v>1255</v>
      </c>
      <c r="D947">
        <v>24</v>
      </c>
      <c r="E947" t="s">
        <v>13</v>
      </c>
      <c r="F947" s="1">
        <v>44497</v>
      </c>
      <c r="G947" s="1">
        <v>46059</v>
      </c>
      <c r="H947" t="s">
        <v>14</v>
      </c>
      <c r="I947" t="s">
        <v>2778</v>
      </c>
      <c r="J947">
        <v>264308</v>
      </c>
      <c r="K947" t="s">
        <v>30</v>
      </c>
      <c r="L947" t="str">
        <f t="shared" si="42"/>
        <v>Missing</v>
      </c>
      <c r="M947">
        <f t="shared" si="43"/>
        <v>0</v>
      </c>
      <c r="N947">
        <f t="shared" si="44"/>
        <v>0</v>
      </c>
    </row>
    <row r="948" spans="1:14" x14ac:dyDescent="0.35">
      <c r="A948" t="s">
        <v>2504</v>
      </c>
      <c r="B948" t="s">
        <v>25</v>
      </c>
      <c r="C948" t="s">
        <v>1256</v>
      </c>
      <c r="D948">
        <v>23.5</v>
      </c>
      <c r="E948" t="s">
        <v>13</v>
      </c>
      <c r="F948" s="1">
        <v>44497</v>
      </c>
      <c r="G948" s="1">
        <v>46060</v>
      </c>
      <c r="H948" t="s">
        <v>14</v>
      </c>
      <c r="I948" s="2">
        <v>18510112</v>
      </c>
      <c r="J948">
        <v>264566</v>
      </c>
      <c r="K948" t="s">
        <v>15</v>
      </c>
      <c r="L948" t="str">
        <f t="shared" si="42"/>
        <v>Available</v>
      </c>
      <c r="M948">
        <f t="shared" si="43"/>
        <v>1</v>
      </c>
      <c r="N948">
        <f t="shared" si="44"/>
        <v>1</v>
      </c>
    </row>
    <row r="949" spans="1:14" x14ac:dyDescent="0.35">
      <c r="A949" t="s">
        <v>2505</v>
      </c>
      <c r="B949" t="s">
        <v>2824</v>
      </c>
      <c r="C949" t="s">
        <v>1257</v>
      </c>
      <c r="D949">
        <v>16</v>
      </c>
      <c r="E949" t="s">
        <v>13</v>
      </c>
      <c r="F949" s="1">
        <v>44500</v>
      </c>
      <c r="G949" s="1">
        <v>46057</v>
      </c>
      <c r="H949" t="s">
        <v>14</v>
      </c>
      <c r="I949" t="s">
        <v>2778</v>
      </c>
      <c r="J949">
        <v>267063</v>
      </c>
      <c r="K949" t="s">
        <v>30</v>
      </c>
      <c r="L949" t="str">
        <f t="shared" si="42"/>
        <v>Available</v>
      </c>
      <c r="M949">
        <f t="shared" si="43"/>
        <v>0</v>
      </c>
      <c r="N949">
        <f t="shared" si="44"/>
        <v>1</v>
      </c>
    </row>
    <row r="950" spans="1:14" x14ac:dyDescent="0.35">
      <c r="A950" t="s">
        <v>2506</v>
      </c>
      <c r="B950" t="s">
        <v>515</v>
      </c>
      <c r="C950" t="s">
        <v>1258</v>
      </c>
      <c r="D950">
        <v>24</v>
      </c>
      <c r="E950" t="s">
        <v>13</v>
      </c>
      <c r="F950" s="1">
        <v>45151</v>
      </c>
      <c r="G950" s="1">
        <v>46059</v>
      </c>
      <c r="H950" t="s">
        <v>14</v>
      </c>
      <c r="I950" s="2">
        <v>29063059</v>
      </c>
      <c r="J950">
        <v>261885</v>
      </c>
      <c r="K950" t="s">
        <v>30</v>
      </c>
      <c r="L950" t="str">
        <f t="shared" si="42"/>
        <v>Available</v>
      </c>
      <c r="M950">
        <f t="shared" si="43"/>
        <v>0</v>
      </c>
      <c r="N950">
        <f t="shared" si="44"/>
        <v>1</v>
      </c>
    </row>
    <row r="951" spans="1:14" x14ac:dyDescent="0.35">
      <c r="A951" t="s">
        <v>2507</v>
      </c>
      <c r="B951" t="s">
        <v>1260</v>
      </c>
      <c r="C951" t="s">
        <v>1259</v>
      </c>
      <c r="D951">
        <v>26</v>
      </c>
      <c r="E951" t="s">
        <v>13</v>
      </c>
      <c r="F951" s="1">
        <v>44498</v>
      </c>
      <c r="G951" s="1">
        <v>46058</v>
      </c>
      <c r="H951" t="s">
        <v>14</v>
      </c>
      <c r="I951" s="2">
        <v>53424</v>
      </c>
      <c r="J951">
        <v>261897</v>
      </c>
      <c r="K951" t="s">
        <v>30</v>
      </c>
      <c r="L951" t="str">
        <f t="shared" si="42"/>
        <v>Available</v>
      </c>
      <c r="M951">
        <f t="shared" si="43"/>
        <v>0</v>
      </c>
      <c r="N951">
        <f t="shared" si="44"/>
        <v>1</v>
      </c>
    </row>
    <row r="952" spans="1:14" x14ac:dyDescent="0.35">
      <c r="A952" t="s">
        <v>2508</v>
      </c>
      <c r="B952" t="s">
        <v>2778</v>
      </c>
      <c r="C952" t="s">
        <v>1261</v>
      </c>
      <c r="D952">
        <v>16</v>
      </c>
      <c r="E952" t="s">
        <v>13</v>
      </c>
      <c r="F952" s="1">
        <v>44500</v>
      </c>
      <c r="G952" s="1">
        <v>45961</v>
      </c>
      <c r="H952" t="s">
        <v>14</v>
      </c>
      <c r="I952" s="2">
        <v>110841</v>
      </c>
      <c r="J952">
        <v>264756</v>
      </c>
      <c r="K952" t="s">
        <v>30</v>
      </c>
      <c r="L952" t="str">
        <f t="shared" si="42"/>
        <v>Missing</v>
      </c>
      <c r="M952">
        <f t="shared" si="43"/>
        <v>0</v>
      </c>
      <c r="N952">
        <f t="shared" si="44"/>
        <v>0</v>
      </c>
    </row>
    <row r="953" spans="1:14" x14ac:dyDescent="0.35">
      <c r="A953" t="s">
        <v>2509</v>
      </c>
      <c r="B953" t="s">
        <v>186</v>
      </c>
      <c r="C953" t="s">
        <v>1262</v>
      </c>
      <c r="D953">
        <v>24</v>
      </c>
      <c r="E953" t="s">
        <v>13</v>
      </c>
      <c r="F953" s="1">
        <v>44497</v>
      </c>
      <c r="G953" s="1">
        <v>46059</v>
      </c>
      <c r="H953" t="s">
        <v>14</v>
      </c>
      <c r="I953" s="2">
        <v>98563</v>
      </c>
      <c r="J953">
        <v>261861</v>
      </c>
      <c r="K953" t="s">
        <v>15</v>
      </c>
      <c r="L953" t="str">
        <f t="shared" si="42"/>
        <v>Available</v>
      </c>
      <c r="M953">
        <f t="shared" si="43"/>
        <v>1</v>
      </c>
      <c r="N953">
        <f t="shared" si="44"/>
        <v>1</v>
      </c>
    </row>
    <row r="954" spans="1:14" x14ac:dyDescent="0.35">
      <c r="A954" t="s">
        <v>2510</v>
      </c>
      <c r="B954" t="s">
        <v>2872</v>
      </c>
      <c r="C954" t="s">
        <v>1263</v>
      </c>
      <c r="D954">
        <v>25</v>
      </c>
      <c r="E954" t="s">
        <v>13</v>
      </c>
      <c r="F954" s="1">
        <v>45702</v>
      </c>
      <c r="G954" s="1">
        <v>46059</v>
      </c>
      <c r="H954" t="s">
        <v>14</v>
      </c>
      <c r="I954" s="2">
        <v>73538910</v>
      </c>
      <c r="J954">
        <v>264146</v>
      </c>
      <c r="K954" t="s">
        <v>30</v>
      </c>
      <c r="L954" t="str">
        <f t="shared" si="42"/>
        <v>Available</v>
      </c>
      <c r="M954">
        <f t="shared" si="43"/>
        <v>0</v>
      </c>
      <c r="N954">
        <f t="shared" si="44"/>
        <v>1</v>
      </c>
    </row>
    <row r="955" spans="1:14" x14ac:dyDescent="0.35">
      <c r="A955" t="s">
        <v>2511</v>
      </c>
      <c r="B955" t="s">
        <v>2778</v>
      </c>
      <c r="C955" t="s">
        <v>1264</v>
      </c>
      <c r="D955">
        <v>28</v>
      </c>
      <c r="E955" t="s">
        <v>13</v>
      </c>
      <c r="F955" s="1">
        <v>44503</v>
      </c>
      <c r="G955" s="1">
        <v>46058</v>
      </c>
      <c r="H955" t="s">
        <v>14</v>
      </c>
      <c r="I955" s="2">
        <v>1741595</v>
      </c>
      <c r="J955">
        <v>266402</v>
      </c>
      <c r="K955" t="s">
        <v>30</v>
      </c>
      <c r="L955" t="str">
        <f t="shared" si="42"/>
        <v>Missing</v>
      </c>
      <c r="M955">
        <f t="shared" si="43"/>
        <v>0</v>
      </c>
      <c r="N955">
        <f t="shared" si="44"/>
        <v>0</v>
      </c>
    </row>
    <row r="956" spans="1:14" x14ac:dyDescent="0.35">
      <c r="A956" t="s">
        <v>2512</v>
      </c>
      <c r="B956" t="s">
        <v>55</v>
      </c>
      <c r="C956" t="s">
        <v>1265</v>
      </c>
      <c r="D956">
        <v>12</v>
      </c>
      <c r="E956" t="s">
        <v>13</v>
      </c>
      <c r="F956" s="1">
        <v>45368</v>
      </c>
      <c r="G956" s="1">
        <v>46058</v>
      </c>
      <c r="H956" t="s">
        <v>14</v>
      </c>
      <c r="I956" s="2">
        <v>44979140</v>
      </c>
      <c r="J956">
        <v>266873</v>
      </c>
      <c r="K956" t="s">
        <v>30</v>
      </c>
      <c r="L956" t="str">
        <f t="shared" si="42"/>
        <v>Available</v>
      </c>
      <c r="M956">
        <f t="shared" si="43"/>
        <v>0</v>
      </c>
      <c r="N956">
        <f t="shared" si="44"/>
        <v>1</v>
      </c>
    </row>
    <row r="957" spans="1:14" x14ac:dyDescent="0.35">
      <c r="A957" t="s">
        <v>2513</v>
      </c>
      <c r="B957" t="s">
        <v>121</v>
      </c>
      <c r="C957" t="s">
        <v>1267</v>
      </c>
      <c r="D957">
        <v>34.799999999999997</v>
      </c>
      <c r="E957" t="s">
        <v>13</v>
      </c>
      <c r="F957" s="1">
        <v>44775</v>
      </c>
      <c r="G957" s="1">
        <v>45480</v>
      </c>
      <c r="H957" t="s">
        <v>14</v>
      </c>
      <c r="I957" t="s">
        <v>2778</v>
      </c>
      <c r="J957">
        <v>266850</v>
      </c>
      <c r="K957" t="s">
        <v>30</v>
      </c>
      <c r="L957" t="str">
        <f t="shared" si="42"/>
        <v>Available</v>
      </c>
      <c r="M957">
        <f t="shared" si="43"/>
        <v>0</v>
      </c>
      <c r="N957">
        <f t="shared" si="44"/>
        <v>1</v>
      </c>
    </row>
    <row r="958" spans="1:14" x14ac:dyDescent="0.35">
      <c r="A958" t="s">
        <v>2514</v>
      </c>
      <c r="B958" t="s">
        <v>2804</v>
      </c>
      <c r="C958" t="s">
        <v>1268</v>
      </c>
      <c r="D958">
        <v>45</v>
      </c>
      <c r="E958" t="s">
        <v>13</v>
      </c>
      <c r="F958" s="1">
        <v>44526</v>
      </c>
      <c r="G958" s="1">
        <v>45685</v>
      </c>
      <c r="H958" t="s">
        <v>14</v>
      </c>
      <c r="I958" t="s">
        <v>2778</v>
      </c>
      <c r="J958">
        <v>266856</v>
      </c>
      <c r="K958" t="s">
        <v>30</v>
      </c>
      <c r="L958" t="str">
        <f t="shared" si="42"/>
        <v>Available</v>
      </c>
      <c r="M958">
        <f t="shared" si="43"/>
        <v>0</v>
      </c>
      <c r="N958">
        <f t="shared" si="44"/>
        <v>1</v>
      </c>
    </row>
    <row r="959" spans="1:14" x14ac:dyDescent="0.35">
      <c r="A959" t="s">
        <v>2515</v>
      </c>
      <c r="B959" t="s">
        <v>41</v>
      </c>
      <c r="C959" t="s">
        <v>1269</v>
      </c>
      <c r="D959">
        <v>24.3</v>
      </c>
      <c r="E959" t="s">
        <v>13</v>
      </c>
      <c r="F959" s="1">
        <v>44497</v>
      </c>
      <c r="G959" s="1">
        <v>46058</v>
      </c>
      <c r="H959" t="s">
        <v>14</v>
      </c>
      <c r="I959" s="2">
        <v>333901</v>
      </c>
      <c r="J959">
        <v>266309</v>
      </c>
      <c r="K959" t="s">
        <v>15</v>
      </c>
      <c r="L959" t="str">
        <f t="shared" si="42"/>
        <v>Available</v>
      </c>
      <c r="M959">
        <f t="shared" si="43"/>
        <v>1</v>
      </c>
      <c r="N959">
        <f t="shared" si="44"/>
        <v>1</v>
      </c>
    </row>
    <row r="960" spans="1:14" x14ac:dyDescent="0.35">
      <c r="A960" t="s">
        <v>2516</v>
      </c>
      <c r="B960" t="s">
        <v>25</v>
      </c>
      <c r="C960" t="s">
        <v>1270</v>
      </c>
      <c r="D960">
        <v>23.5</v>
      </c>
      <c r="E960" t="s">
        <v>13</v>
      </c>
      <c r="F960" s="1">
        <v>45088</v>
      </c>
      <c r="G960" s="1">
        <v>46059</v>
      </c>
      <c r="H960" t="s">
        <v>14</v>
      </c>
      <c r="I960" s="2">
        <v>29627849</v>
      </c>
      <c r="J960">
        <v>261825</v>
      </c>
      <c r="K960" t="s">
        <v>30</v>
      </c>
      <c r="L960" t="str">
        <f t="shared" si="42"/>
        <v>Available</v>
      </c>
      <c r="M960">
        <f t="shared" si="43"/>
        <v>0</v>
      </c>
      <c r="N960">
        <f t="shared" si="44"/>
        <v>1</v>
      </c>
    </row>
    <row r="961" spans="1:14" x14ac:dyDescent="0.35">
      <c r="A961" t="s">
        <v>2517</v>
      </c>
      <c r="B961" t="s">
        <v>2893</v>
      </c>
      <c r="C961" t="s">
        <v>1271</v>
      </c>
      <c r="D961">
        <v>24</v>
      </c>
      <c r="E961" t="s">
        <v>13</v>
      </c>
      <c r="F961" s="1">
        <v>44498</v>
      </c>
      <c r="G961" s="1">
        <v>45952</v>
      </c>
      <c r="H961" t="s">
        <v>14</v>
      </c>
      <c r="I961" t="s">
        <v>2778</v>
      </c>
      <c r="J961">
        <v>266855</v>
      </c>
      <c r="K961" t="s">
        <v>15</v>
      </c>
      <c r="L961" t="str">
        <f t="shared" si="42"/>
        <v>Available</v>
      </c>
      <c r="M961">
        <f t="shared" si="43"/>
        <v>1</v>
      </c>
      <c r="N961">
        <f t="shared" si="44"/>
        <v>1</v>
      </c>
    </row>
    <row r="962" spans="1:14" x14ac:dyDescent="0.35">
      <c r="A962" t="s">
        <v>2518</v>
      </c>
      <c r="B962" t="s">
        <v>2819</v>
      </c>
      <c r="C962" t="s">
        <v>1273</v>
      </c>
      <c r="D962">
        <v>24</v>
      </c>
      <c r="E962" t="s">
        <v>13</v>
      </c>
      <c r="F962" s="1">
        <v>44498</v>
      </c>
      <c r="G962" s="1">
        <v>45952</v>
      </c>
      <c r="H962" t="s">
        <v>14</v>
      </c>
      <c r="I962" t="s">
        <v>2778</v>
      </c>
      <c r="J962">
        <v>261653</v>
      </c>
      <c r="K962" t="s">
        <v>30</v>
      </c>
      <c r="L962" t="str">
        <f t="shared" si="42"/>
        <v>Available</v>
      </c>
      <c r="M962">
        <f t="shared" si="43"/>
        <v>0</v>
      </c>
      <c r="N962">
        <f t="shared" si="44"/>
        <v>1</v>
      </c>
    </row>
    <row r="963" spans="1:14" x14ac:dyDescent="0.35">
      <c r="A963" t="s">
        <v>2519</v>
      </c>
      <c r="B963" t="s">
        <v>392</v>
      </c>
      <c r="C963" t="s">
        <v>1274</v>
      </c>
      <c r="D963">
        <v>25</v>
      </c>
      <c r="E963" t="s">
        <v>13</v>
      </c>
      <c r="F963" s="1">
        <v>44497</v>
      </c>
      <c r="G963" s="1">
        <v>46059</v>
      </c>
      <c r="H963" t="s">
        <v>14</v>
      </c>
      <c r="I963" s="2">
        <v>16401813</v>
      </c>
      <c r="J963">
        <v>264288</v>
      </c>
      <c r="K963" t="s">
        <v>30</v>
      </c>
      <c r="L963" t="str">
        <f t="shared" ref="L963:L1026" si="45">IF(OR(B963="",ISBLANK(B963)),"Missing","Available")</f>
        <v>Available</v>
      </c>
      <c r="M963">
        <f t="shared" ref="M963:M1026" si="46">IF(K963="Mapped",1,0)</f>
        <v>0</v>
      </c>
      <c r="N963">
        <f t="shared" ref="N963:N1026" si="47">IF(AND(B963&lt;&gt;"",A963&lt;&gt;""),1,0)</f>
        <v>1</v>
      </c>
    </row>
    <row r="964" spans="1:14" x14ac:dyDescent="0.35">
      <c r="A964" t="s">
        <v>2520</v>
      </c>
      <c r="B964" t="s">
        <v>121</v>
      </c>
      <c r="C964" t="s">
        <v>1275</v>
      </c>
      <c r="D964">
        <v>24</v>
      </c>
      <c r="E964" t="s">
        <v>13</v>
      </c>
      <c r="F964" s="1">
        <v>44497</v>
      </c>
      <c r="G964" s="1">
        <v>46059</v>
      </c>
      <c r="H964" t="s">
        <v>14</v>
      </c>
      <c r="I964" s="2">
        <v>32956382</v>
      </c>
      <c r="J964">
        <v>261679</v>
      </c>
      <c r="K964" t="s">
        <v>15</v>
      </c>
      <c r="L964" t="str">
        <f t="shared" si="45"/>
        <v>Available</v>
      </c>
      <c r="M964">
        <f t="shared" si="46"/>
        <v>1</v>
      </c>
      <c r="N964">
        <f t="shared" si="47"/>
        <v>1</v>
      </c>
    </row>
    <row r="965" spans="1:14" x14ac:dyDescent="0.35">
      <c r="A965" t="s">
        <v>2521</v>
      </c>
      <c r="B965" t="s">
        <v>2797</v>
      </c>
      <c r="C965" t="s">
        <v>1276</v>
      </c>
      <c r="D965">
        <v>1</v>
      </c>
      <c r="E965" t="s">
        <v>13</v>
      </c>
      <c r="F965" s="1">
        <v>44497</v>
      </c>
      <c r="G965" s="1">
        <v>46059</v>
      </c>
      <c r="H965" t="s">
        <v>14</v>
      </c>
      <c r="I965" s="2">
        <v>2642372</v>
      </c>
      <c r="J965">
        <v>264563</v>
      </c>
      <c r="K965" t="s">
        <v>30</v>
      </c>
      <c r="L965" t="str">
        <f t="shared" si="45"/>
        <v>Available</v>
      </c>
      <c r="M965">
        <f t="shared" si="46"/>
        <v>0</v>
      </c>
      <c r="N965">
        <f t="shared" si="47"/>
        <v>1</v>
      </c>
    </row>
    <row r="966" spans="1:14" x14ac:dyDescent="0.35">
      <c r="A966" t="s">
        <v>2522</v>
      </c>
      <c r="B966" t="s">
        <v>927</v>
      </c>
      <c r="C966" t="s">
        <v>1277</v>
      </c>
      <c r="D966">
        <v>25</v>
      </c>
      <c r="E966" t="s">
        <v>13</v>
      </c>
      <c r="F966" s="1">
        <v>44497</v>
      </c>
      <c r="G966" s="1">
        <v>46051</v>
      </c>
      <c r="H966" t="s">
        <v>14</v>
      </c>
      <c r="I966" s="2">
        <v>17438764</v>
      </c>
      <c r="J966">
        <v>266589</v>
      </c>
      <c r="K966" t="s">
        <v>15</v>
      </c>
      <c r="L966" t="str">
        <f t="shared" si="45"/>
        <v>Available</v>
      </c>
      <c r="M966">
        <f t="shared" si="46"/>
        <v>1</v>
      </c>
      <c r="N966">
        <f t="shared" si="47"/>
        <v>1</v>
      </c>
    </row>
    <row r="967" spans="1:14" x14ac:dyDescent="0.35">
      <c r="A967" t="s">
        <v>2523</v>
      </c>
      <c r="B967" t="s">
        <v>2790</v>
      </c>
      <c r="C967" t="s">
        <v>1278</v>
      </c>
      <c r="D967">
        <v>15.5</v>
      </c>
      <c r="E967" t="s">
        <v>13</v>
      </c>
      <c r="F967" s="1">
        <v>44497</v>
      </c>
      <c r="G967" s="1">
        <v>46059</v>
      </c>
      <c r="H967" t="s">
        <v>14</v>
      </c>
      <c r="I967" s="2">
        <v>98551</v>
      </c>
      <c r="J967">
        <v>266911</v>
      </c>
      <c r="K967" t="s">
        <v>15</v>
      </c>
      <c r="L967" t="str">
        <f t="shared" si="45"/>
        <v>Available</v>
      </c>
      <c r="M967">
        <f t="shared" si="46"/>
        <v>1</v>
      </c>
      <c r="N967">
        <f t="shared" si="47"/>
        <v>1</v>
      </c>
    </row>
    <row r="968" spans="1:14" x14ac:dyDescent="0.35">
      <c r="A968" t="s">
        <v>2524</v>
      </c>
      <c r="B968" t="s">
        <v>156</v>
      </c>
      <c r="C968" t="s">
        <v>1279</v>
      </c>
      <c r="D968">
        <v>24</v>
      </c>
      <c r="E968" t="s">
        <v>13</v>
      </c>
      <c r="F968" s="1">
        <v>45679</v>
      </c>
      <c r="G968" s="1">
        <v>46059</v>
      </c>
      <c r="H968" t="s">
        <v>14</v>
      </c>
      <c r="I968" s="2">
        <v>64570527</v>
      </c>
      <c r="J968">
        <v>261702</v>
      </c>
      <c r="K968" t="s">
        <v>15</v>
      </c>
      <c r="L968" t="str">
        <f t="shared" si="45"/>
        <v>Available</v>
      </c>
      <c r="M968">
        <f t="shared" si="46"/>
        <v>1</v>
      </c>
      <c r="N968">
        <f t="shared" si="47"/>
        <v>1</v>
      </c>
    </row>
    <row r="969" spans="1:14" x14ac:dyDescent="0.35">
      <c r="A969" t="s">
        <v>2525</v>
      </c>
      <c r="B969" t="s">
        <v>192</v>
      </c>
      <c r="C969" t="s">
        <v>1281</v>
      </c>
      <c r="D969">
        <v>64</v>
      </c>
      <c r="E969" t="s">
        <v>13</v>
      </c>
      <c r="F969" s="1">
        <v>44498</v>
      </c>
      <c r="G969" s="1">
        <v>45744</v>
      </c>
      <c r="H969" t="s">
        <v>14</v>
      </c>
      <c r="I969" t="s">
        <v>2778</v>
      </c>
      <c r="J969">
        <v>261811</v>
      </c>
      <c r="K969" t="s">
        <v>15</v>
      </c>
      <c r="L969" t="str">
        <f t="shared" si="45"/>
        <v>Available</v>
      </c>
      <c r="M969">
        <f t="shared" si="46"/>
        <v>1</v>
      </c>
      <c r="N969">
        <f t="shared" si="47"/>
        <v>1</v>
      </c>
    </row>
    <row r="970" spans="1:14" x14ac:dyDescent="0.35">
      <c r="A970" t="s">
        <v>2526</v>
      </c>
      <c r="B970" t="s">
        <v>2797</v>
      </c>
      <c r="C970" t="s">
        <v>1283</v>
      </c>
      <c r="D970">
        <v>8</v>
      </c>
      <c r="E970" t="s">
        <v>13</v>
      </c>
      <c r="F970" s="1">
        <v>44497</v>
      </c>
      <c r="G970" s="1">
        <v>46060</v>
      </c>
      <c r="H970" t="s">
        <v>14</v>
      </c>
      <c r="I970" s="2">
        <v>38974</v>
      </c>
      <c r="J970">
        <v>264035</v>
      </c>
      <c r="K970" t="s">
        <v>30</v>
      </c>
      <c r="L970" t="str">
        <f t="shared" si="45"/>
        <v>Available</v>
      </c>
      <c r="M970">
        <f t="shared" si="46"/>
        <v>0</v>
      </c>
      <c r="N970">
        <f t="shared" si="47"/>
        <v>1</v>
      </c>
    </row>
    <row r="971" spans="1:14" x14ac:dyDescent="0.35">
      <c r="A971" t="s">
        <v>2527</v>
      </c>
      <c r="B971" t="s">
        <v>47</v>
      </c>
      <c r="C971" t="s">
        <v>1284</v>
      </c>
      <c r="D971">
        <v>24</v>
      </c>
      <c r="E971" t="s">
        <v>13</v>
      </c>
      <c r="F971" s="1">
        <v>44497</v>
      </c>
      <c r="G971" s="1">
        <v>46060</v>
      </c>
      <c r="H971" t="s">
        <v>14</v>
      </c>
      <c r="I971" s="2">
        <v>19820553</v>
      </c>
      <c r="J971">
        <v>262029</v>
      </c>
      <c r="K971" t="s">
        <v>15</v>
      </c>
      <c r="L971" t="str">
        <f t="shared" si="45"/>
        <v>Available</v>
      </c>
      <c r="M971">
        <f t="shared" si="46"/>
        <v>1</v>
      </c>
      <c r="N971">
        <f t="shared" si="47"/>
        <v>1</v>
      </c>
    </row>
    <row r="972" spans="1:14" x14ac:dyDescent="0.35">
      <c r="A972" t="s">
        <v>2528</v>
      </c>
      <c r="B972" t="s">
        <v>2778</v>
      </c>
      <c r="C972" t="s">
        <v>1285</v>
      </c>
      <c r="D972">
        <v>26</v>
      </c>
      <c r="E972" t="s">
        <v>13</v>
      </c>
      <c r="F972" s="1">
        <v>44500</v>
      </c>
      <c r="G972" s="1">
        <v>46058</v>
      </c>
      <c r="H972" t="s">
        <v>14</v>
      </c>
      <c r="I972" s="2">
        <v>49021489</v>
      </c>
      <c r="J972">
        <v>266983</v>
      </c>
      <c r="K972" t="s">
        <v>15</v>
      </c>
      <c r="L972" t="str">
        <f t="shared" si="45"/>
        <v>Missing</v>
      </c>
      <c r="M972">
        <f t="shared" si="46"/>
        <v>1</v>
      </c>
      <c r="N972">
        <f t="shared" si="47"/>
        <v>0</v>
      </c>
    </row>
    <row r="973" spans="1:14" x14ac:dyDescent="0.35">
      <c r="A973" t="s">
        <v>2529</v>
      </c>
      <c r="B973" t="s">
        <v>2842</v>
      </c>
      <c r="C973" t="s">
        <v>1286</v>
      </c>
      <c r="D973">
        <v>32</v>
      </c>
      <c r="E973" t="s">
        <v>13</v>
      </c>
      <c r="F973" s="1">
        <v>44497</v>
      </c>
      <c r="G973" s="1">
        <v>46056</v>
      </c>
      <c r="H973" t="s">
        <v>14</v>
      </c>
      <c r="I973" s="2">
        <v>17330579</v>
      </c>
      <c r="J973">
        <v>262623</v>
      </c>
      <c r="K973" t="s">
        <v>15</v>
      </c>
      <c r="L973" t="str">
        <f t="shared" si="45"/>
        <v>Available</v>
      </c>
      <c r="M973">
        <f t="shared" si="46"/>
        <v>1</v>
      </c>
      <c r="N973">
        <f t="shared" si="47"/>
        <v>1</v>
      </c>
    </row>
    <row r="974" spans="1:14" x14ac:dyDescent="0.35">
      <c r="A974" t="s">
        <v>2530</v>
      </c>
      <c r="B974" t="s">
        <v>2810</v>
      </c>
      <c r="C974" t="s">
        <v>1010</v>
      </c>
      <c r="D974">
        <v>25</v>
      </c>
      <c r="E974" t="s">
        <v>13</v>
      </c>
      <c r="F974" s="1">
        <v>44501</v>
      </c>
      <c r="G974" s="1">
        <v>46057</v>
      </c>
      <c r="H974" t="s">
        <v>14</v>
      </c>
      <c r="I974" s="2">
        <v>80811</v>
      </c>
      <c r="J974">
        <v>264457</v>
      </c>
      <c r="K974" t="s">
        <v>15</v>
      </c>
      <c r="L974" t="str">
        <f t="shared" si="45"/>
        <v>Available</v>
      </c>
      <c r="M974">
        <f t="shared" si="46"/>
        <v>1</v>
      </c>
      <c r="N974">
        <f t="shared" si="47"/>
        <v>1</v>
      </c>
    </row>
    <row r="975" spans="1:14" x14ac:dyDescent="0.35">
      <c r="A975" t="s">
        <v>2531</v>
      </c>
      <c r="B975" t="s">
        <v>2778</v>
      </c>
      <c r="C975" t="s">
        <v>1287</v>
      </c>
      <c r="D975">
        <v>18</v>
      </c>
      <c r="E975" t="s">
        <v>13</v>
      </c>
      <c r="F975" s="1">
        <v>44832</v>
      </c>
      <c r="G975" s="1">
        <v>45966</v>
      </c>
      <c r="H975" t="s">
        <v>14</v>
      </c>
      <c r="I975" s="2">
        <v>27661492</v>
      </c>
      <c r="J975">
        <v>262629</v>
      </c>
      <c r="K975" t="s">
        <v>15</v>
      </c>
      <c r="L975" t="str">
        <f t="shared" si="45"/>
        <v>Missing</v>
      </c>
      <c r="M975">
        <f t="shared" si="46"/>
        <v>1</v>
      </c>
      <c r="N975">
        <f t="shared" si="47"/>
        <v>0</v>
      </c>
    </row>
    <row r="976" spans="1:14" x14ac:dyDescent="0.35">
      <c r="A976" t="s">
        <v>2532</v>
      </c>
      <c r="B976" t="s">
        <v>132</v>
      </c>
      <c r="C976" t="s">
        <v>1288</v>
      </c>
      <c r="F976" s="1">
        <v>45009</v>
      </c>
      <c r="G976" s="1">
        <v>45099</v>
      </c>
      <c r="H976" t="s">
        <v>14</v>
      </c>
      <c r="I976" t="s">
        <v>2778</v>
      </c>
      <c r="J976">
        <v>266344</v>
      </c>
      <c r="K976" t="s">
        <v>15</v>
      </c>
      <c r="L976" t="str">
        <f t="shared" si="45"/>
        <v>Available</v>
      </c>
      <c r="M976">
        <f t="shared" si="46"/>
        <v>1</v>
      </c>
      <c r="N976">
        <f t="shared" si="47"/>
        <v>1</v>
      </c>
    </row>
    <row r="977" spans="1:14" x14ac:dyDescent="0.35">
      <c r="A977" t="s">
        <v>2533</v>
      </c>
      <c r="B977" t="s">
        <v>2855</v>
      </c>
      <c r="C977" t="s">
        <v>1289</v>
      </c>
      <c r="D977">
        <v>24</v>
      </c>
      <c r="E977" t="s">
        <v>13</v>
      </c>
      <c r="F977" s="1">
        <v>44497</v>
      </c>
      <c r="G977" s="1">
        <v>46058</v>
      </c>
      <c r="H977" t="s">
        <v>14</v>
      </c>
      <c r="I977" s="2">
        <v>20166009</v>
      </c>
      <c r="J977">
        <v>262578</v>
      </c>
      <c r="K977" t="s">
        <v>15</v>
      </c>
      <c r="L977" t="str">
        <f t="shared" si="45"/>
        <v>Available</v>
      </c>
      <c r="M977">
        <f t="shared" si="46"/>
        <v>1</v>
      </c>
      <c r="N977">
        <f t="shared" si="47"/>
        <v>1</v>
      </c>
    </row>
    <row r="978" spans="1:14" x14ac:dyDescent="0.35">
      <c r="A978" t="s">
        <v>2534</v>
      </c>
      <c r="B978" t="s">
        <v>103</v>
      </c>
      <c r="C978" t="s">
        <v>1290</v>
      </c>
      <c r="D978">
        <v>18</v>
      </c>
      <c r="E978" t="s">
        <v>13</v>
      </c>
      <c r="F978" s="1">
        <v>44790</v>
      </c>
      <c r="G978" s="1">
        <v>46058</v>
      </c>
      <c r="H978" t="s">
        <v>14</v>
      </c>
      <c r="I978" s="2">
        <v>27663317</v>
      </c>
      <c r="J978">
        <v>262545</v>
      </c>
      <c r="K978" t="s">
        <v>30</v>
      </c>
      <c r="L978" t="str">
        <f t="shared" si="45"/>
        <v>Available</v>
      </c>
      <c r="M978">
        <f t="shared" si="46"/>
        <v>0</v>
      </c>
      <c r="N978">
        <f t="shared" si="47"/>
        <v>1</v>
      </c>
    </row>
    <row r="979" spans="1:14" x14ac:dyDescent="0.35">
      <c r="A979" t="s">
        <v>2535</v>
      </c>
      <c r="B979" t="s">
        <v>269</v>
      </c>
      <c r="C979" t="s">
        <v>1291</v>
      </c>
      <c r="D979">
        <v>16.899999999999999</v>
      </c>
      <c r="E979" t="s">
        <v>13</v>
      </c>
      <c r="F979" s="1">
        <v>44791</v>
      </c>
      <c r="G979" s="1">
        <v>46059</v>
      </c>
      <c r="H979" t="s">
        <v>14</v>
      </c>
      <c r="I979" s="2">
        <v>27494712</v>
      </c>
      <c r="J979">
        <v>261737</v>
      </c>
      <c r="K979" t="s">
        <v>15</v>
      </c>
      <c r="L979" t="str">
        <f t="shared" si="45"/>
        <v>Available</v>
      </c>
      <c r="M979">
        <f t="shared" si="46"/>
        <v>1</v>
      </c>
      <c r="N979">
        <f t="shared" si="47"/>
        <v>1</v>
      </c>
    </row>
    <row r="980" spans="1:14" x14ac:dyDescent="0.35">
      <c r="A980" t="s">
        <v>2536</v>
      </c>
      <c r="B980" t="s">
        <v>2894</v>
      </c>
      <c r="C980" t="s">
        <v>1292</v>
      </c>
      <c r="D980">
        <v>25</v>
      </c>
      <c r="E980" t="s">
        <v>13</v>
      </c>
      <c r="F980" s="1">
        <v>44497</v>
      </c>
      <c r="G980" s="1">
        <v>46059</v>
      </c>
      <c r="H980" t="s">
        <v>14</v>
      </c>
      <c r="I980" s="2">
        <v>98560</v>
      </c>
      <c r="J980">
        <v>261580</v>
      </c>
      <c r="K980" t="s">
        <v>30</v>
      </c>
      <c r="L980" t="str">
        <f t="shared" si="45"/>
        <v>Available</v>
      </c>
      <c r="M980">
        <f t="shared" si="46"/>
        <v>0</v>
      </c>
      <c r="N980">
        <f t="shared" si="47"/>
        <v>1</v>
      </c>
    </row>
    <row r="981" spans="1:14" x14ac:dyDescent="0.35">
      <c r="A981" t="s">
        <v>2537</v>
      </c>
      <c r="B981" t="s">
        <v>2808</v>
      </c>
      <c r="C981" t="s">
        <v>1294</v>
      </c>
      <c r="D981">
        <v>23.75</v>
      </c>
      <c r="E981" t="s">
        <v>13</v>
      </c>
      <c r="F981" s="1">
        <v>44969</v>
      </c>
      <c r="G981" s="1">
        <v>46060</v>
      </c>
      <c r="H981" t="s">
        <v>14</v>
      </c>
      <c r="I981" s="2">
        <v>29503633</v>
      </c>
      <c r="J981">
        <v>266393</v>
      </c>
      <c r="K981" t="s">
        <v>30</v>
      </c>
      <c r="L981" t="str">
        <f t="shared" si="45"/>
        <v>Available</v>
      </c>
      <c r="M981">
        <f t="shared" si="46"/>
        <v>0</v>
      </c>
      <c r="N981">
        <f t="shared" si="47"/>
        <v>1</v>
      </c>
    </row>
    <row r="982" spans="1:14" x14ac:dyDescent="0.35">
      <c r="A982" t="s">
        <v>2538</v>
      </c>
      <c r="B982" t="s">
        <v>2778</v>
      </c>
      <c r="C982" t="s">
        <v>1295</v>
      </c>
      <c r="D982">
        <v>26</v>
      </c>
      <c r="E982" t="s">
        <v>13</v>
      </c>
      <c r="F982" s="1">
        <v>44503</v>
      </c>
      <c r="G982" s="1">
        <v>46057</v>
      </c>
      <c r="H982" t="s">
        <v>14</v>
      </c>
      <c r="I982" s="2">
        <v>19739879</v>
      </c>
      <c r="J982">
        <v>264464</v>
      </c>
      <c r="K982" t="s">
        <v>15</v>
      </c>
      <c r="L982" t="str">
        <f t="shared" si="45"/>
        <v>Missing</v>
      </c>
      <c r="M982">
        <f t="shared" si="46"/>
        <v>1</v>
      </c>
      <c r="N982">
        <f t="shared" si="47"/>
        <v>0</v>
      </c>
    </row>
    <row r="983" spans="1:14" x14ac:dyDescent="0.35">
      <c r="A983" t="s">
        <v>2539</v>
      </c>
      <c r="B983" t="s">
        <v>2808</v>
      </c>
      <c r="C983" t="s">
        <v>1296</v>
      </c>
      <c r="D983">
        <v>23.5</v>
      </c>
      <c r="E983" t="s">
        <v>13</v>
      </c>
      <c r="F983" s="1">
        <v>44497</v>
      </c>
      <c r="G983" s="1">
        <v>46060</v>
      </c>
      <c r="H983" t="s">
        <v>14</v>
      </c>
      <c r="I983" s="2">
        <v>34157</v>
      </c>
      <c r="J983">
        <v>264722</v>
      </c>
      <c r="K983" t="s">
        <v>15</v>
      </c>
      <c r="L983" t="str">
        <f t="shared" si="45"/>
        <v>Available</v>
      </c>
      <c r="M983">
        <f t="shared" si="46"/>
        <v>1</v>
      </c>
      <c r="N983">
        <f t="shared" si="47"/>
        <v>1</v>
      </c>
    </row>
    <row r="984" spans="1:14" x14ac:dyDescent="0.35">
      <c r="A984" t="s">
        <v>2540</v>
      </c>
      <c r="B984" t="s">
        <v>130</v>
      </c>
      <c r="C984" t="s">
        <v>1297</v>
      </c>
      <c r="D984">
        <v>25</v>
      </c>
      <c r="E984" t="s">
        <v>13</v>
      </c>
      <c r="F984" s="1">
        <v>44497</v>
      </c>
      <c r="G984" s="1">
        <v>46059</v>
      </c>
      <c r="H984" t="s">
        <v>14</v>
      </c>
      <c r="I984" s="2">
        <v>2219082</v>
      </c>
      <c r="J984">
        <v>266936</v>
      </c>
      <c r="K984" t="s">
        <v>30</v>
      </c>
      <c r="L984" t="str">
        <f t="shared" si="45"/>
        <v>Available</v>
      </c>
      <c r="M984">
        <f t="shared" si="46"/>
        <v>0</v>
      </c>
      <c r="N984">
        <f t="shared" si="47"/>
        <v>1</v>
      </c>
    </row>
    <row r="985" spans="1:14" x14ac:dyDescent="0.35">
      <c r="A985" t="s">
        <v>2541</v>
      </c>
      <c r="B985" t="s">
        <v>2808</v>
      </c>
      <c r="C985" t="s">
        <v>1298</v>
      </c>
      <c r="D985">
        <v>44</v>
      </c>
      <c r="E985" t="s">
        <v>13</v>
      </c>
      <c r="F985" s="1">
        <v>44497</v>
      </c>
      <c r="G985" s="1">
        <v>46060</v>
      </c>
      <c r="H985" t="s">
        <v>14</v>
      </c>
      <c r="I985" s="2">
        <v>20021629</v>
      </c>
      <c r="J985">
        <v>264741</v>
      </c>
      <c r="K985" t="s">
        <v>15</v>
      </c>
      <c r="L985" t="str">
        <f t="shared" si="45"/>
        <v>Available</v>
      </c>
      <c r="M985">
        <f t="shared" si="46"/>
        <v>1</v>
      </c>
      <c r="N985">
        <f t="shared" si="47"/>
        <v>1</v>
      </c>
    </row>
    <row r="986" spans="1:14" x14ac:dyDescent="0.35">
      <c r="A986" t="s">
        <v>2542</v>
      </c>
      <c r="B986" t="s">
        <v>242</v>
      </c>
      <c r="C986" t="s">
        <v>1299</v>
      </c>
      <c r="D986">
        <v>32</v>
      </c>
      <c r="E986" t="s">
        <v>13</v>
      </c>
      <c r="F986" s="1">
        <v>44500</v>
      </c>
      <c r="G986" s="1">
        <v>46059</v>
      </c>
      <c r="H986" t="s">
        <v>14</v>
      </c>
      <c r="I986" s="2">
        <v>226646</v>
      </c>
      <c r="J986">
        <v>266498</v>
      </c>
      <c r="K986" t="s">
        <v>15</v>
      </c>
      <c r="L986" t="str">
        <f t="shared" si="45"/>
        <v>Available</v>
      </c>
      <c r="M986">
        <f t="shared" si="46"/>
        <v>1</v>
      </c>
      <c r="N986">
        <f t="shared" si="47"/>
        <v>1</v>
      </c>
    </row>
    <row r="987" spans="1:14" x14ac:dyDescent="0.35">
      <c r="A987" t="s">
        <v>2543</v>
      </c>
      <c r="B987" t="s">
        <v>27</v>
      </c>
      <c r="C987" t="s">
        <v>1300</v>
      </c>
      <c r="D987">
        <v>24</v>
      </c>
      <c r="E987" t="s">
        <v>13</v>
      </c>
      <c r="F987" s="1">
        <v>44497</v>
      </c>
      <c r="G987" s="1">
        <v>46060</v>
      </c>
      <c r="H987" t="s">
        <v>14</v>
      </c>
      <c r="I987" s="2">
        <v>2915073</v>
      </c>
      <c r="J987">
        <v>264628</v>
      </c>
      <c r="K987" t="s">
        <v>15</v>
      </c>
      <c r="L987" t="str">
        <f t="shared" si="45"/>
        <v>Available</v>
      </c>
      <c r="M987">
        <f t="shared" si="46"/>
        <v>1</v>
      </c>
      <c r="N987">
        <f t="shared" si="47"/>
        <v>1</v>
      </c>
    </row>
    <row r="988" spans="1:14" x14ac:dyDescent="0.35">
      <c r="A988" t="s">
        <v>2544</v>
      </c>
      <c r="B988" t="s">
        <v>2792</v>
      </c>
      <c r="C988" t="s">
        <v>255</v>
      </c>
      <c r="D988">
        <v>32</v>
      </c>
      <c r="E988" t="s">
        <v>13</v>
      </c>
      <c r="F988" s="1">
        <v>44501</v>
      </c>
      <c r="G988" s="1">
        <v>46055</v>
      </c>
      <c r="H988" t="s">
        <v>14</v>
      </c>
      <c r="I988" s="2">
        <v>18628190</v>
      </c>
      <c r="J988">
        <v>261595</v>
      </c>
      <c r="K988" t="s">
        <v>30</v>
      </c>
      <c r="L988" t="str">
        <f t="shared" si="45"/>
        <v>Available</v>
      </c>
      <c r="M988">
        <f t="shared" si="46"/>
        <v>0</v>
      </c>
      <c r="N988">
        <f t="shared" si="47"/>
        <v>1</v>
      </c>
    </row>
    <row r="989" spans="1:14" x14ac:dyDescent="0.35">
      <c r="A989" t="s">
        <v>2545</v>
      </c>
      <c r="B989" t="s">
        <v>570</v>
      </c>
      <c r="C989" t="s">
        <v>1302</v>
      </c>
      <c r="D989">
        <v>24</v>
      </c>
      <c r="E989" t="s">
        <v>13</v>
      </c>
      <c r="F989" s="1">
        <v>45548</v>
      </c>
      <c r="G989" s="1">
        <v>46057</v>
      </c>
      <c r="H989" t="s">
        <v>14</v>
      </c>
      <c r="I989" t="s">
        <v>2778</v>
      </c>
      <c r="J989">
        <v>264667</v>
      </c>
      <c r="K989" t="s">
        <v>30</v>
      </c>
      <c r="L989" t="str">
        <f t="shared" si="45"/>
        <v>Available</v>
      </c>
      <c r="M989">
        <f t="shared" si="46"/>
        <v>0</v>
      </c>
      <c r="N989">
        <f t="shared" si="47"/>
        <v>1</v>
      </c>
    </row>
    <row r="990" spans="1:14" x14ac:dyDescent="0.35">
      <c r="A990" t="s">
        <v>2546</v>
      </c>
      <c r="B990" t="s">
        <v>2778</v>
      </c>
      <c r="C990" t="s">
        <v>1303</v>
      </c>
      <c r="D990">
        <v>24</v>
      </c>
      <c r="E990" t="s">
        <v>13</v>
      </c>
      <c r="F990" s="1">
        <v>44497</v>
      </c>
      <c r="G990" s="1">
        <v>46059</v>
      </c>
      <c r="H990" t="s">
        <v>14</v>
      </c>
      <c r="I990" t="s">
        <v>2778</v>
      </c>
      <c r="J990">
        <v>264209</v>
      </c>
      <c r="K990" t="s">
        <v>15</v>
      </c>
      <c r="L990" t="str">
        <f t="shared" si="45"/>
        <v>Missing</v>
      </c>
      <c r="M990">
        <f t="shared" si="46"/>
        <v>1</v>
      </c>
      <c r="N990">
        <f t="shared" si="47"/>
        <v>0</v>
      </c>
    </row>
    <row r="991" spans="1:14" x14ac:dyDescent="0.35">
      <c r="A991" t="s">
        <v>2547</v>
      </c>
      <c r="B991" t="s">
        <v>112</v>
      </c>
      <c r="C991" t="s">
        <v>1304</v>
      </c>
      <c r="D991">
        <v>23.5</v>
      </c>
      <c r="E991" t="s">
        <v>13</v>
      </c>
      <c r="F991" s="1">
        <v>44815</v>
      </c>
      <c r="G991" s="1">
        <v>46059</v>
      </c>
      <c r="H991" t="s">
        <v>14</v>
      </c>
      <c r="I991" s="2">
        <v>34623727</v>
      </c>
      <c r="J991">
        <v>267043</v>
      </c>
      <c r="K991" t="s">
        <v>15</v>
      </c>
      <c r="L991" t="str">
        <f t="shared" si="45"/>
        <v>Available</v>
      </c>
      <c r="M991">
        <f t="shared" si="46"/>
        <v>1</v>
      </c>
      <c r="N991">
        <f t="shared" si="47"/>
        <v>1</v>
      </c>
    </row>
    <row r="992" spans="1:14" x14ac:dyDescent="0.35">
      <c r="A992" t="s">
        <v>2548</v>
      </c>
      <c r="B992" t="s">
        <v>269</v>
      </c>
      <c r="C992" t="s">
        <v>1306</v>
      </c>
      <c r="D992">
        <v>25</v>
      </c>
      <c r="E992" t="s">
        <v>13</v>
      </c>
      <c r="F992" s="1">
        <v>45322</v>
      </c>
      <c r="G992" s="1">
        <v>46057</v>
      </c>
      <c r="H992" t="s">
        <v>14</v>
      </c>
      <c r="I992" t="s">
        <v>2778</v>
      </c>
      <c r="J992">
        <v>266543</v>
      </c>
      <c r="K992" t="s">
        <v>30</v>
      </c>
      <c r="L992" t="str">
        <f t="shared" si="45"/>
        <v>Available</v>
      </c>
      <c r="M992">
        <f t="shared" si="46"/>
        <v>0</v>
      </c>
      <c r="N992">
        <f t="shared" si="47"/>
        <v>1</v>
      </c>
    </row>
    <row r="993" spans="1:14" x14ac:dyDescent="0.35">
      <c r="A993" t="s">
        <v>2549</v>
      </c>
      <c r="B993" t="s">
        <v>668</v>
      </c>
      <c r="C993" t="s">
        <v>1307</v>
      </c>
      <c r="D993">
        <v>24</v>
      </c>
      <c r="E993" t="s">
        <v>13</v>
      </c>
      <c r="F993" s="1">
        <v>44497</v>
      </c>
      <c r="G993" s="1">
        <v>46059</v>
      </c>
      <c r="H993" t="s">
        <v>14</v>
      </c>
      <c r="I993" s="2">
        <v>73881</v>
      </c>
      <c r="J993">
        <v>266901</v>
      </c>
      <c r="K993" t="s">
        <v>15</v>
      </c>
      <c r="L993" t="str">
        <f t="shared" si="45"/>
        <v>Available</v>
      </c>
      <c r="M993">
        <f t="shared" si="46"/>
        <v>1</v>
      </c>
      <c r="N993">
        <f t="shared" si="47"/>
        <v>1</v>
      </c>
    </row>
    <row r="994" spans="1:14" x14ac:dyDescent="0.35">
      <c r="A994" t="s">
        <v>2550</v>
      </c>
      <c r="B994" t="s">
        <v>2866</v>
      </c>
      <c r="C994" t="s">
        <v>1308</v>
      </c>
      <c r="D994">
        <v>45</v>
      </c>
      <c r="E994" t="s">
        <v>13</v>
      </c>
      <c r="F994" s="1">
        <v>44497</v>
      </c>
      <c r="G994" s="1">
        <v>46060</v>
      </c>
      <c r="H994" t="s">
        <v>14</v>
      </c>
      <c r="I994" s="2">
        <v>77085</v>
      </c>
      <c r="J994">
        <v>261870</v>
      </c>
      <c r="K994" t="s">
        <v>30</v>
      </c>
      <c r="L994" t="str">
        <f t="shared" si="45"/>
        <v>Available</v>
      </c>
      <c r="M994">
        <f t="shared" si="46"/>
        <v>0</v>
      </c>
      <c r="N994">
        <f t="shared" si="47"/>
        <v>1</v>
      </c>
    </row>
    <row r="995" spans="1:14" x14ac:dyDescent="0.35">
      <c r="A995" t="s">
        <v>2551</v>
      </c>
      <c r="B995" t="s">
        <v>318</v>
      </c>
      <c r="C995" t="s">
        <v>1309</v>
      </c>
      <c r="D995">
        <v>24</v>
      </c>
      <c r="E995" t="s">
        <v>13</v>
      </c>
      <c r="F995" s="1">
        <v>44497</v>
      </c>
      <c r="G995" s="1">
        <v>46059</v>
      </c>
      <c r="H995" t="s">
        <v>14</v>
      </c>
      <c r="I995" s="2">
        <v>2503683</v>
      </c>
      <c r="J995">
        <v>261882</v>
      </c>
      <c r="K995" t="s">
        <v>15</v>
      </c>
      <c r="L995" t="str">
        <f t="shared" si="45"/>
        <v>Available</v>
      </c>
      <c r="M995">
        <f t="shared" si="46"/>
        <v>1</v>
      </c>
      <c r="N995">
        <f t="shared" si="47"/>
        <v>1</v>
      </c>
    </row>
    <row r="996" spans="1:14" x14ac:dyDescent="0.35">
      <c r="A996" t="s">
        <v>2552</v>
      </c>
      <c r="B996" t="s">
        <v>2861</v>
      </c>
      <c r="C996" t="s">
        <v>1310</v>
      </c>
      <c r="D996">
        <v>24</v>
      </c>
      <c r="E996" t="s">
        <v>13</v>
      </c>
      <c r="F996" s="1">
        <v>45679</v>
      </c>
      <c r="G996" s="1">
        <v>46057</v>
      </c>
      <c r="H996" t="s">
        <v>14</v>
      </c>
      <c r="I996" s="2">
        <v>55079690</v>
      </c>
      <c r="J996">
        <v>264203</v>
      </c>
      <c r="K996" t="s">
        <v>30</v>
      </c>
      <c r="L996" t="str">
        <f t="shared" si="45"/>
        <v>Available</v>
      </c>
      <c r="M996">
        <f t="shared" si="46"/>
        <v>0</v>
      </c>
      <c r="N996">
        <f t="shared" si="47"/>
        <v>1</v>
      </c>
    </row>
    <row r="997" spans="1:14" x14ac:dyDescent="0.35">
      <c r="A997" t="s">
        <v>2553</v>
      </c>
      <c r="B997" t="s">
        <v>2845</v>
      </c>
      <c r="C997" t="s">
        <v>1311</v>
      </c>
      <c r="D997">
        <v>23.9</v>
      </c>
      <c r="E997" t="s">
        <v>13</v>
      </c>
      <c r="F997" s="1">
        <v>44497</v>
      </c>
      <c r="G997" s="1">
        <v>46059</v>
      </c>
      <c r="H997" t="s">
        <v>14</v>
      </c>
      <c r="I997" s="2">
        <v>2786310</v>
      </c>
      <c r="J997">
        <v>264086</v>
      </c>
      <c r="K997" t="s">
        <v>15</v>
      </c>
      <c r="L997" t="str">
        <f t="shared" si="45"/>
        <v>Available</v>
      </c>
      <c r="M997">
        <f t="shared" si="46"/>
        <v>1</v>
      </c>
      <c r="N997">
        <f t="shared" si="47"/>
        <v>1</v>
      </c>
    </row>
    <row r="998" spans="1:14" x14ac:dyDescent="0.35">
      <c r="A998" t="s">
        <v>2554</v>
      </c>
      <c r="B998" t="s">
        <v>58</v>
      </c>
      <c r="C998" t="s">
        <v>1312</v>
      </c>
      <c r="D998">
        <v>24</v>
      </c>
      <c r="E998" t="s">
        <v>13</v>
      </c>
      <c r="F998" s="1">
        <v>44497</v>
      </c>
      <c r="G998" s="1">
        <v>46059</v>
      </c>
      <c r="H998" t="s">
        <v>14</v>
      </c>
      <c r="I998" s="2">
        <v>125443</v>
      </c>
      <c r="J998">
        <v>266538</v>
      </c>
      <c r="K998" t="s">
        <v>30</v>
      </c>
      <c r="L998" t="str">
        <f t="shared" si="45"/>
        <v>Available</v>
      </c>
      <c r="M998">
        <f t="shared" si="46"/>
        <v>0</v>
      </c>
      <c r="N998">
        <f t="shared" si="47"/>
        <v>1</v>
      </c>
    </row>
    <row r="999" spans="1:14" x14ac:dyDescent="0.35">
      <c r="A999" t="s">
        <v>2555</v>
      </c>
      <c r="B999" t="s">
        <v>2778</v>
      </c>
      <c r="C999" t="s">
        <v>1313</v>
      </c>
      <c r="D999">
        <v>6</v>
      </c>
      <c r="E999" t="s">
        <v>13</v>
      </c>
      <c r="F999" s="1">
        <v>45245</v>
      </c>
      <c r="G999" s="1">
        <v>46059</v>
      </c>
      <c r="H999" t="s">
        <v>14</v>
      </c>
      <c r="I999" s="2">
        <v>35595100</v>
      </c>
      <c r="J999">
        <v>261795</v>
      </c>
      <c r="K999" t="s">
        <v>15</v>
      </c>
      <c r="L999" t="str">
        <f t="shared" si="45"/>
        <v>Missing</v>
      </c>
      <c r="M999">
        <f t="shared" si="46"/>
        <v>1</v>
      </c>
      <c r="N999">
        <f t="shared" si="47"/>
        <v>0</v>
      </c>
    </row>
    <row r="1000" spans="1:14" x14ac:dyDescent="0.35">
      <c r="A1000" t="s">
        <v>2556</v>
      </c>
      <c r="B1000" t="s">
        <v>318</v>
      </c>
      <c r="C1000" t="s">
        <v>1314</v>
      </c>
      <c r="D1000">
        <v>24</v>
      </c>
      <c r="E1000" t="s">
        <v>13</v>
      </c>
      <c r="F1000" s="1">
        <v>44497</v>
      </c>
      <c r="G1000" s="1">
        <v>46059</v>
      </c>
      <c r="H1000" t="s">
        <v>14</v>
      </c>
      <c r="I1000" s="2">
        <v>1499839</v>
      </c>
      <c r="J1000">
        <v>262557</v>
      </c>
      <c r="K1000" t="s">
        <v>15</v>
      </c>
      <c r="L1000" t="str">
        <f t="shared" si="45"/>
        <v>Available</v>
      </c>
      <c r="M1000">
        <f t="shared" si="46"/>
        <v>1</v>
      </c>
      <c r="N1000">
        <f t="shared" si="47"/>
        <v>1</v>
      </c>
    </row>
    <row r="1001" spans="1:14" x14ac:dyDescent="0.35">
      <c r="A1001" t="s">
        <v>2557</v>
      </c>
      <c r="B1001" t="s">
        <v>1316</v>
      </c>
      <c r="C1001" t="s">
        <v>1315</v>
      </c>
      <c r="D1001">
        <v>11.99</v>
      </c>
      <c r="E1001" t="s">
        <v>13</v>
      </c>
      <c r="F1001" s="1">
        <v>44714</v>
      </c>
      <c r="G1001" s="1">
        <v>46059</v>
      </c>
      <c r="H1001" t="s">
        <v>14</v>
      </c>
      <c r="I1001" s="2">
        <v>16635325</v>
      </c>
      <c r="J1001">
        <v>264345</v>
      </c>
      <c r="K1001" t="s">
        <v>30</v>
      </c>
      <c r="L1001" t="str">
        <f t="shared" si="45"/>
        <v>Available</v>
      </c>
      <c r="M1001">
        <f t="shared" si="46"/>
        <v>0</v>
      </c>
      <c r="N1001">
        <f t="shared" si="47"/>
        <v>1</v>
      </c>
    </row>
    <row r="1002" spans="1:14" x14ac:dyDescent="0.35">
      <c r="A1002" t="s">
        <v>2558</v>
      </c>
      <c r="B1002" t="s">
        <v>103</v>
      </c>
      <c r="C1002" t="s">
        <v>1317</v>
      </c>
      <c r="D1002">
        <v>18</v>
      </c>
      <c r="E1002" t="s">
        <v>13</v>
      </c>
      <c r="F1002" s="1">
        <v>44783</v>
      </c>
      <c r="G1002" s="1">
        <v>46058</v>
      </c>
      <c r="H1002" t="s">
        <v>14</v>
      </c>
      <c r="I1002" s="2">
        <v>27662188</v>
      </c>
      <c r="J1002">
        <v>267079</v>
      </c>
      <c r="K1002" t="s">
        <v>15</v>
      </c>
      <c r="L1002" t="str">
        <f t="shared" si="45"/>
        <v>Available</v>
      </c>
      <c r="M1002">
        <f t="shared" si="46"/>
        <v>1</v>
      </c>
      <c r="N1002">
        <f t="shared" si="47"/>
        <v>1</v>
      </c>
    </row>
    <row r="1003" spans="1:14" x14ac:dyDescent="0.35">
      <c r="A1003" t="s">
        <v>2559</v>
      </c>
      <c r="B1003" t="s">
        <v>2889</v>
      </c>
      <c r="C1003" t="s">
        <v>1318</v>
      </c>
      <c r="D1003">
        <v>25</v>
      </c>
      <c r="E1003" t="s">
        <v>13</v>
      </c>
      <c r="F1003" s="1">
        <v>44501</v>
      </c>
      <c r="G1003" s="1">
        <v>46059</v>
      </c>
      <c r="H1003" t="s">
        <v>14</v>
      </c>
      <c r="I1003" s="2">
        <v>22685595</v>
      </c>
      <c r="J1003">
        <v>267080</v>
      </c>
      <c r="K1003" t="s">
        <v>30</v>
      </c>
      <c r="L1003" t="str">
        <f t="shared" si="45"/>
        <v>Available</v>
      </c>
      <c r="M1003">
        <f t="shared" si="46"/>
        <v>0</v>
      </c>
      <c r="N1003">
        <f t="shared" si="47"/>
        <v>1</v>
      </c>
    </row>
    <row r="1004" spans="1:14" x14ac:dyDescent="0.35">
      <c r="A1004" t="s">
        <v>2560</v>
      </c>
      <c r="B1004" t="s">
        <v>2810</v>
      </c>
      <c r="C1004" t="s">
        <v>893</v>
      </c>
      <c r="D1004">
        <v>25</v>
      </c>
      <c r="E1004" t="s">
        <v>13</v>
      </c>
      <c r="F1004" s="1">
        <v>44497</v>
      </c>
      <c r="G1004" s="1">
        <v>46057</v>
      </c>
      <c r="H1004" t="s">
        <v>14</v>
      </c>
      <c r="I1004" s="2">
        <v>53396</v>
      </c>
      <c r="J1004">
        <v>261765</v>
      </c>
      <c r="K1004" t="s">
        <v>15</v>
      </c>
      <c r="L1004" t="str">
        <f t="shared" si="45"/>
        <v>Available</v>
      </c>
      <c r="M1004">
        <f t="shared" si="46"/>
        <v>1</v>
      </c>
      <c r="N1004">
        <f t="shared" si="47"/>
        <v>1</v>
      </c>
    </row>
    <row r="1005" spans="1:14" x14ac:dyDescent="0.35">
      <c r="A1005" t="s">
        <v>2561</v>
      </c>
      <c r="B1005" t="s">
        <v>628</v>
      </c>
      <c r="C1005" t="s">
        <v>1319</v>
      </c>
      <c r="D1005">
        <v>24</v>
      </c>
      <c r="E1005" t="s">
        <v>13</v>
      </c>
      <c r="F1005" s="1">
        <v>44952</v>
      </c>
      <c r="G1005" s="1">
        <v>46059</v>
      </c>
      <c r="H1005" t="s">
        <v>14</v>
      </c>
      <c r="I1005" s="2">
        <v>19962763</v>
      </c>
      <c r="J1005">
        <v>261512</v>
      </c>
      <c r="K1005" t="s">
        <v>15</v>
      </c>
      <c r="L1005" t="str">
        <f t="shared" si="45"/>
        <v>Available</v>
      </c>
      <c r="M1005">
        <f t="shared" si="46"/>
        <v>1</v>
      </c>
      <c r="N1005">
        <f t="shared" si="47"/>
        <v>1</v>
      </c>
    </row>
    <row r="1006" spans="1:14" x14ac:dyDescent="0.35">
      <c r="A1006" t="s">
        <v>2562</v>
      </c>
      <c r="B1006" t="s">
        <v>62</v>
      </c>
      <c r="C1006" t="s">
        <v>1320</v>
      </c>
      <c r="D1006">
        <v>24</v>
      </c>
      <c r="E1006" t="s">
        <v>13</v>
      </c>
      <c r="F1006" s="1">
        <v>44497</v>
      </c>
      <c r="G1006" s="1">
        <v>46059</v>
      </c>
      <c r="H1006" t="s">
        <v>14</v>
      </c>
      <c r="I1006" s="2">
        <v>18301267</v>
      </c>
      <c r="J1006">
        <v>261688</v>
      </c>
      <c r="K1006" t="s">
        <v>15</v>
      </c>
      <c r="L1006" t="str">
        <f t="shared" si="45"/>
        <v>Available</v>
      </c>
      <c r="M1006">
        <f t="shared" si="46"/>
        <v>1</v>
      </c>
      <c r="N1006">
        <f t="shared" si="47"/>
        <v>1</v>
      </c>
    </row>
    <row r="1007" spans="1:14" x14ac:dyDescent="0.35">
      <c r="A1007" t="s">
        <v>2563</v>
      </c>
      <c r="B1007" t="s">
        <v>2895</v>
      </c>
      <c r="C1007" t="s">
        <v>1321</v>
      </c>
      <c r="D1007">
        <v>24</v>
      </c>
      <c r="E1007" t="s">
        <v>13</v>
      </c>
      <c r="F1007" s="1">
        <v>45679</v>
      </c>
      <c r="G1007" s="1">
        <v>46057</v>
      </c>
      <c r="H1007" t="s">
        <v>14</v>
      </c>
      <c r="I1007" s="2">
        <v>55410668</v>
      </c>
      <c r="J1007">
        <v>264034</v>
      </c>
      <c r="K1007" t="s">
        <v>15</v>
      </c>
      <c r="L1007" t="str">
        <f t="shared" si="45"/>
        <v>Available</v>
      </c>
      <c r="M1007">
        <f t="shared" si="46"/>
        <v>1</v>
      </c>
      <c r="N1007">
        <f t="shared" si="47"/>
        <v>1</v>
      </c>
    </row>
    <row r="1008" spans="1:14" x14ac:dyDescent="0.35">
      <c r="A1008" t="s">
        <v>2564</v>
      </c>
      <c r="B1008" t="s">
        <v>62</v>
      </c>
      <c r="C1008" t="s">
        <v>1323</v>
      </c>
      <c r="D1008">
        <v>24</v>
      </c>
      <c r="E1008" t="s">
        <v>13</v>
      </c>
      <c r="F1008" s="1">
        <v>44497</v>
      </c>
      <c r="G1008" s="1">
        <v>46059</v>
      </c>
      <c r="H1008" t="s">
        <v>14</v>
      </c>
      <c r="I1008" t="s">
        <v>2778</v>
      </c>
      <c r="J1008">
        <v>266371</v>
      </c>
      <c r="K1008" t="s">
        <v>15</v>
      </c>
      <c r="L1008" t="str">
        <f t="shared" si="45"/>
        <v>Available</v>
      </c>
      <c r="M1008">
        <f t="shared" si="46"/>
        <v>1</v>
      </c>
      <c r="N1008">
        <f t="shared" si="47"/>
        <v>1</v>
      </c>
    </row>
    <row r="1009" spans="1:14" x14ac:dyDescent="0.35">
      <c r="A1009" t="s">
        <v>2565</v>
      </c>
      <c r="B1009" t="s">
        <v>445</v>
      </c>
      <c r="C1009" t="s">
        <v>1324</v>
      </c>
      <c r="D1009">
        <v>24</v>
      </c>
      <c r="E1009" t="s">
        <v>13</v>
      </c>
      <c r="F1009" s="1">
        <v>44497</v>
      </c>
      <c r="G1009" s="1">
        <v>46059</v>
      </c>
      <c r="H1009" t="s">
        <v>14</v>
      </c>
      <c r="I1009" s="2">
        <v>3340287</v>
      </c>
      <c r="J1009">
        <v>267001</v>
      </c>
      <c r="K1009" t="s">
        <v>30</v>
      </c>
      <c r="L1009" t="str">
        <f t="shared" si="45"/>
        <v>Available</v>
      </c>
      <c r="M1009">
        <f t="shared" si="46"/>
        <v>0</v>
      </c>
      <c r="N1009">
        <f t="shared" si="47"/>
        <v>1</v>
      </c>
    </row>
    <row r="1010" spans="1:14" x14ac:dyDescent="0.35">
      <c r="A1010" t="s">
        <v>2566</v>
      </c>
      <c r="B1010" t="s">
        <v>200</v>
      </c>
      <c r="C1010" t="s">
        <v>1325</v>
      </c>
      <c r="D1010">
        <v>26</v>
      </c>
      <c r="E1010" t="s">
        <v>13</v>
      </c>
      <c r="F1010" s="1">
        <v>44497</v>
      </c>
      <c r="G1010" s="1">
        <v>46059</v>
      </c>
      <c r="H1010" t="s">
        <v>14</v>
      </c>
      <c r="I1010" s="2">
        <v>145157</v>
      </c>
      <c r="J1010">
        <v>262028</v>
      </c>
      <c r="K1010" t="s">
        <v>30</v>
      </c>
      <c r="L1010" t="str">
        <f t="shared" si="45"/>
        <v>Available</v>
      </c>
      <c r="M1010">
        <f t="shared" si="46"/>
        <v>0</v>
      </c>
      <c r="N1010">
        <f t="shared" si="47"/>
        <v>1</v>
      </c>
    </row>
    <row r="1011" spans="1:14" x14ac:dyDescent="0.35">
      <c r="A1011" t="s">
        <v>2567</v>
      </c>
      <c r="B1011" t="s">
        <v>2790</v>
      </c>
      <c r="C1011" t="s">
        <v>1326</v>
      </c>
      <c r="D1011">
        <v>24</v>
      </c>
      <c r="E1011" t="s">
        <v>13</v>
      </c>
      <c r="F1011" s="1">
        <v>44497</v>
      </c>
      <c r="G1011" s="1">
        <v>46060</v>
      </c>
      <c r="H1011" t="s">
        <v>14</v>
      </c>
      <c r="I1011" s="2">
        <v>18957838</v>
      </c>
      <c r="J1011">
        <v>267034</v>
      </c>
      <c r="K1011" t="s">
        <v>15</v>
      </c>
      <c r="L1011" t="str">
        <f t="shared" si="45"/>
        <v>Available</v>
      </c>
      <c r="M1011">
        <f t="shared" si="46"/>
        <v>1</v>
      </c>
      <c r="N1011">
        <f t="shared" si="47"/>
        <v>1</v>
      </c>
    </row>
    <row r="1012" spans="1:14" x14ac:dyDescent="0.35">
      <c r="A1012" t="s">
        <v>2568</v>
      </c>
      <c r="B1012" t="s">
        <v>58</v>
      </c>
      <c r="C1012" t="s">
        <v>1328</v>
      </c>
      <c r="D1012">
        <v>20.288091000000001</v>
      </c>
      <c r="E1012" t="s">
        <v>35</v>
      </c>
      <c r="F1012" s="1">
        <v>45631</v>
      </c>
      <c r="G1012" s="1">
        <v>46058</v>
      </c>
      <c r="H1012" t="s">
        <v>14</v>
      </c>
      <c r="I1012" t="s">
        <v>2778</v>
      </c>
      <c r="J1012">
        <v>267062</v>
      </c>
      <c r="K1012" t="s">
        <v>15</v>
      </c>
      <c r="L1012" t="str">
        <f t="shared" si="45"/>
        <v>Available</v>
      </c>
      <c r="M1012">
        <f t="shared" si="46"/>
        <v>1</v>
      </c>
      <c r="N1012">
        <f t="shared" si="47"/>
        <v>1</v>
      </c>
    </row>
    <row r="1013" spans="1:14" x14ac:dyDescent="0.35">
      <c r="A1013" t="s">
        <v>2569</v>
      </c>
      <c r="B1013" t="s">
        <v>515</v>
      </c>
      <c r="C1013" t="s">
        <v>1329</v>
      </c>
      <c r="D1013">
        <v>24</v>
      </c>
      <c r="E1013" t="s">
        <v>13</v>
      </c>
      <c r="F1013" s="1">
        <v>44665</v>
      </c>
      <c r="G1013" s="1">
        <v>46059</v>
      </c>
      <c r="H1013" t="s">
        <v>14</v>
      </c>
      <c r="I1013" s="2">
        <v>34713974</v>
      </c>
      <c r="J1013">
        <v>264048</v>
      </c>
      <c r="K1013" t="s">
        <v>30</v>
      </c>
      <c r="L1013" t="str">
        <f t="shared" si="45"/>
        <v>Available</v>
      </c>
      <c r="M1013">
        <f t="shared" si="46"/>
        <v>0</v>
      </c>
      <c r="N1013">
        <f t="shared" si="47"/>
        <v>1</v>
      </c>
    </row>
    <row r="1014" spans="1:14" x14ac:dyDescent="0.35">
      <c r="A1014" t="s">
        <v>2570</v>
      </c>
      <c r="B1014" t="s">
        <v>598</v>
      </c>
      <c r="C1014" t="s">
        <v>1330</v>
      </c>
      <c r="F1014" s="1">
        <v>44497</v>
      </c>
      <c r="G1014" s="1">
        <v>46059</v>
      </c>
      <c r="H1014" t="s">
        <v>14</v>
      </c>
      <c r="I1014" t="s">
        <v>2778</v>
      </c>
      <c r="J1014">
        <v>264338</v>
      </c>
      <c r="K1014" t="s">
        <v>15</v>
      </c>
      <c r="L1014" t="str">
        <f t="shared" si="45"/>
        <v>Available</v>
      </c>
      <c r="M1014">
        <f t="shared" si="46"/>
        <v>1</v>
      </c>
      <c r="N1014">
        <f t="shared" si="47"/>
        <v>1</v>
      </c>
    </row>
    <row r="1015" spans="1:14" x14ac:dyDescent="0.35">
      <c r="A1015" t="s">
        <v>2571</v>
      </c>
      <c r="B1015" t="s">
        <v>58</v>
      </c>
      <c r="C1015" t="s">
        <v>1331</v>
      </c>
      <c r="D1015">
        <v>24</v>
      </c>
      <c r="E1015" t="s">
        <v>13</v>
      </c>
      <c r="F1015" s="1">
        <v>44497</v>
      </c>
      <c r="G1015" s="1">
        <v>46059</v>
      </c>
      <c r="H1015" t="s">
        <v>14</v>
      </c>
      <c r="I1015" s="2">
        <v>98538</v>
      </c>
      <c r="J1015">
        <v>266366</v>
      </c>
      <c r="K1015" t="s">
        <v>15</v>
      </c>
      <c r="L1015" t="str">
        <f t="shared" si="45"/>
        <v>Available</v>
      </c>
      <c r="M1015">
        <f t="shared" si="46"/>
        <v>1</v>
      </c>
      <c r="N1015">
        <f t="shared" si="47"/>
        <v>1</v>
      </c>
    </row>
    <row r="1016" spans="1:14" x14ac:dyDescent="0.35">
      <c r="A1016" t="s">
        <v>2572</v>
      </c>
      <c r="B1016" t="s">
        <v>2896</v>
      </c>
      <c r="C1016" t="s">
        <v>1332</v>
      </c>
      <c r="D1016">
        <v>25.5</v>
      </c>
      <c r="E1016" t="s">
        <v>13</v>
      </c>
      <c r="F1016" s="1">
        <v>44500</v>
      </c>
      <c r="G1016" s="1">
        <v>46054</v>
      </c>
      <c r="H1016" t="s">
        <v>14</v>
      </c>
      <c r="I1016" s="2">
        <v>228678</v>
      </c>
      <c r="J1016">
        <v>266509</v>
      </c>
      <c r="K1016" t="s">
        <v>15</v>
      </c>
      <c r="L1016" t="str">
        <f t="shared" si="45"/>
        <v>Available</v>
      </c>
      <c r="M1016">
        <f t="shared" si="46"/>
        <v>1</v>
      </c>
      <c r="N1016">
        <f t="shared" si="47"/>
        <v>1</v>
      </c>
    </row>
    <row r="1017" spans="1:14" x14ac:dyDescent="0.35">
      <c r="A1017" t="s">
        <v>2573</v>
      </c>
      <c r="B1017" t="s">
        <v>575</v>
      </c>
      <c r="C1017" t="s">
        <v>1334</v>
      </c>
      <c r="D1017">
        <v>25</v>
      </c>
      <c r="E1017" t="s">
        <v>13</v>
      </c>
      <c r="F1017" s="1">
        <v>44500</v>
      </c>
      <c r="G1017" s="1">
        <v>46059</v>
      </c>
      <c r="H1017" t="s">
        <v>14</v>
      </c>
      <c r="I1017" s="2">
        <v>138169</v>
      </c>
      <c r="J1017">
        <v>267047</v>
      </c>
      <c r="K1017" t="s">
        <v>15</v>
      </c>
      <c r="L1017" t="str">
        <f t="shared" si="45"/>
        <v>Available</v>
      </c>
      <c r="M1017">
        <f t="shared" si="46"/>
        <v>1</v>
      </c>
      <c r="N1017">
        <f t="shared" si="47"/>
        <v>1</v>
      </c>
    </row>
    <row r="1018" spans="1:14" x14ac:dyDescent="0.35">
      <c r="A1018" t="s">
        <v>2574</v>
      </c>
      <c r="B1018" t="s">
        <v>2897</v>
      </c>
      <c r="C1018" t="s">
        <v>1335</v>
      </c>
      <c r="D1018">
        <v>24.007574000000002</v>
      </c>
      <c r="E1018" t="s">
        <v>35</v>
      </c>
      <c r="F1018" s="1">
        <v>45981</v>
      </c>
      <c r="G1018" s="1">
        <v>46058</v>
      </c>
      <c r="H1018" t="s">
        <v>14</v>
      </c>
      <c r="I1018" t="s">
        <v>2778</v>
      </c>
      <c r="J1018">
        <v>261710</v>
      </c>
      <c r="K1018" t="s">
        <v>15</v>
      </c>
      <c r="L1018" t="str">
        <f t="shared" si="45"/>
        <v>Available</v>
      </c>
      <c r="M1018">
        <f t="shared" si="46"/>
        <v>1</v>
      </c>
      <c r="N1018">
        <f t="shared" si="47"/>
        <v>1</v>
      </c>
    </row>
    <row r="1019" spans="1:14" x14ac:dyDescent="0.35">
      <c r="A1019" t="s">
        <v>2575</v>
      </c>
      <c r="B1019" t="s">
        <v>402</v>
      </c>
      <c r="C1019" t="s">
        <v>1337</v>
      </c>
      <c r="D1019">
        <v>24</v>
      </c>
      <c r="E1019" t="s">
        <v>13</v>
      </c>
      <c r="F1019" s="1">
        <v>44497</v>
      </c>
      <c r="G1019" s="1">
        <v>46059</v>
      </c>
      <c r="H1019" t="s">
        <v>14</v>
      </c>
      <c r="I1019" s="2">
        <v>91490</v>
      </c>
      <c r="J1019">
        <v>261775</v>
      </c>
      <c r="K1019" t="s">
        <v>15</v>
      </c>
      <c r="L1019" t="str">
        <f t="shared" si="45"/>
        <v>Available</v>
      </c>
      <c r="M1019">
        <f t="shared" si="46"/>
        <v>1</v>
      </c>
      <c r="N1019">
        <f t="shared" si="47"/>
        <v>1</v>
      </c>
    </row>
    <row r="1020" spans="1:14" x14ac:dyDescent="0.35">
      <c r="A1020" t="s">
        <v>2576</v>
      </c>
      <c r="B1020" t="s">
        <v>2898</v>
      </c>
      <c r="C1020" t="s">
        <v>1338</v>
      </c>
      <c r="D1020">
        <v>24</v>
      </c>
      <c r="E1020" t="s">
        <v>13</v>
      </c>
      <c r="F1020" s="1">
        <v>44497</v>
      </c>
      <c r="G1020" s="1">
        <v>46059</v>
      </c>
      <c r="H1020" t="s">
        <v>14</v>
      </c>
      <c r="I1020" s="2">
        <v>17316065</v>
      </c>
      <c r="J1020">
        <v>266493</v>
      </c>
      <c r="K1020" t="s">
        <v>15</v>
      </c>
      <c r="L1020" t="str">
        <f t="shared" si="45"/>
        <v>Available</v>
      </c>
      <c r="M1020">
        <f t="shared" si="46"/>
        <v>1</v>
      </c>
      <c r="N1020">
        <f t="shared" si="47"/>
        <v>1</v>
      </c>
    </row>
    <row r="1021" spans="1:14" x14ac:dyDescent="0.35">
      <c r="A1021" t="s">
        <v>2577</v>
      </c>
      <c r="B1021" t="s">
        <v>615</v>
      </c>
      <c r="C1021" t="s">
        <v>1340</v>
      </c>
      <c r="D1021">
        <v>24</v>
      </c>
      <c r="E1021" t="s">
        <v>13</v>
      </c>
      <c r="F1021" s="1">
        <v>45085</v>
      </c>
      <c r="G1021" s="1">
        <v>46059</v>
      </c>
      <c r="H1021" t="s">
        <v>14</v>
      </c>
      <c r="I1021" s="2">
        <v>30517044</v>
      </c>
      <c r="J1021">
        <v>261874</v>
      </c>
      <c r="K1021" t="s">
        <v>30</v>
      </c>
      <c r="L1021" t="str">
        <f t="shared" si="45"/>
        <v>Available</v>
      </c>
      <c r="M1021">
        <f t="shared" si="46"/>
        <v>0</v>
      </c>
      <c r="N1021">
        <f t="shared" si="47"/>
        <v>1</v>
      </c>
    </row>
    <row r="1022" spans="1:14" x14ac:dyDescent="0.35">
      <c r="A1022" t="s">
        <v>2578</v>
      </c>
      <c r="B1022" t="s">
        <v>485</v>
      </c>
      <c r="C1022" t="s">
        <v>1341</v>
      </c>
      <c r="D1022">
        <v>24</v>
      </c>
      <c r="E1022" t="s">
        <v>13</v>
      </c>
      <c r="F1022" s="1">
        <v>44497</v>
      </c>
      <c r="G1022" s="1">
        <v>46059</v>
      </c>
      <c r="H1022" t="s">
        <v>14</v>
      </c>
      <c r="I1022" s="2">
        <v>24727950</v>
      </c>
      <c r="J1022">
        <v>266419</v>
      </c>
      <c r="K1022" t="s">
        <v>30</v>
      </c>
      <c r="L1022" t="str">
        <f t="shared" si="45"/>
        <v>Available</v>
      </c>
      <c r="M1022">
        <f t="shared" si="46"/>
        <v>0</v>
      </c>
      <c r="N1022">
        <f t="shared" si="47"/>
        <v>1</v>
      </c>
    </row>
    <row r="1023" spans="1:14" x14ac:dyDescent="0.35">
      <c r="A1023" t="s">
        <v>2579</v>
      </c>
      <c r="B1023" t="s">
        <v>103</v>
      </c>
      <c r="C1023" t="s">
        <v>1342</v>
      </c>
      <c r="D1023">
        <v>16</v>
      </c>
      <c r="E1023" t="s">
        <v>13</v>
      </c>
      <c r="F1023" s="1">
        <v>45653</v>
      </c>
      <c r="G1023" s="1">
        <v>46059</v>
      </c>
      <c r="H1023" t="s">
        <v>14</v>
      </c>
      <c r="I1023" s="2">
        <v>56340269</v>
      </c>
      <c r="J1023">
        <v>262604</v>
      </c>
      <c r="K1023" t="s">
        <v>15</v>
      </c>
      <c r="L1023" t="str">
        <f t="shared" si="45"/>
        <v>Available</v>
      </c>
      <c r="M1023">
        <f t="shared" si="46"/>
        <v>1</v>
      </c>
      <c r="N1023">
        <f t="shared" si="47"/>
        <v>1</v>
      </c>
    </row>
    <row r="1024" spans="1:14" x14ac:dyDescent="0.35">
      <c r="A1024" t="s">
        <v>2580</v>
      </c>
      <c r="B1024" t="s">
        <v>2896</v>
      </c>
      <c r="C1024" t="s">
        <v>1343</v>
      </c>
      <c r="D1024">
        <v>25.5</v>
      </c>
      <c r="E1024" t="s">
        <v>13</v>
      </c>
      <c r="F1024" s="1">
        <v>44500</v>
      </c>
      <c r="G1024" s="1">
        <v>45961</v>
      </c>
      <c r="H1024" t="s">
        <v>14</v>
      </c>
      <c r="I1024" s="2">
        <v>227976</v>
      </c>
      <c r="J1024">
        <v>266428</v>
      </c>
      <c r="K1024" t="s">
        <v>15</v>
      </c>
      <c r="L1024" t="str">
        <f t="shared" si="45"/>
        <v>Available</v>
      </c>
      <c r="M1024">
        <f t="shared" si="46"/>
        <v>1</v>
      </c>
      <c r="N1024">
        <f t="shared" si="47"/>
        <v>1</v>
      </c>
    </row>
    <row r="1025" spans="1:14" x14ac:dyDescent="0.35">
      <c r="A1025" t="s">
        <v>2581</v>
      </c>
      <c r="B1025" t="s">
        <v>186</v>
      </c>
      <c r="C1025" t="s">
        <v>1344</v>
      </c>
      <c r="D1025">
        <v>24</v>
      </c>
      <c r="E1025" t="s">
        <v>13</v>
      </c>
      <c r="F1025" s="1">
        <v>44497</v>
      </c>
      <c r="G1025" s="1">
        <v>46059</v>
      </c>
      <c r="H1025" t="s">
        <v>14</v>
      </c>
      <c r="I1025" s="2">
        <v>91463</v>
      </c>
      <c r="J1025">
        <v>264720</v>
      </c>
      <c r="K1025" t="s">
        <v>15</v>
      </c>
      <c r="L1025" t="str">
        <f t="shared" si="45"/>
        <v>Available</v>
      </c>
      <c r="M1025">
        <f t="shared" si="46"/>
        <v>1</v>
      </c>
      <c r="N1025">
        <f t="shared" si="47"/>
        <v>1</v>
      </c>
    </row>
    <row r="1026" spans="1:14" x14ac:dyDescent="0.35">
      <c r="A1026" t="s">
        <v>2582</v>
      </c>
      <c r="B1026" t="s">
        <v>47</v>
      </c>
      <c r="C1026" t="s">
        <v>1345</v>
      </c>
      <c r="D1026">
        <v>66</v>
      </c>
      <c r="E1026" t="s">
        <v>13</v>
      </c>
      <c r="F1026" s="1">
        <v>44497</v>
      </c>
      <c r="G1026" s="1">
        <v>46060</v>
      </c>
      <c r="H1026" t="s">
        <v>14</v>
      </c>
      <c r="I1026" s="2">
        <v>77099</v>
      </c>
      <c r="J1026">
        <v>264640</v>
      </c>
      <c r="K1026" t="s">
        <v>30</v>
      </c>
      <c r="L1026" t="str">
        <f t="shared" si="45"/>
        <v>Available</v>
      </c>
      <c r="M1026">
        <f t="shared" si="46"/>
        <v>0</v>
      </c>
      <c r="N1026">
        <f t="shared" si="47"/>
        <v>1</v>
      </c>
    </row>
    <row r="1027" spans="1:14" x14ac:dyDescent="0.35">
      <c r="A1027" t="s">
        <v>2583</v>
      </c>
      <c r="B1027" t="s">
        <v>147</v>
      </c>
      <c r="C1027" t="s">
        <v>1346</v>
      </c>
      <c r="D1027">
        <v>24</v>
      </c>
      <c r="E1027" t="s">
        <v>13</v>
      </c>
      <c r="F1027" s="1">
        <v>44497</v>
      </c>
      <c r="G1027" s="1">
        <v>46059</v>
      </c>
      <c r="H1027" t="s">
        <v>14</v>
      </c>
      <c r="I1027" s="2">
        <v>23897839</v>
      </c>
      <c r="J1027">
        <v>266324</v>
      </c>
      <c r="K1027" t="s">
        <v>15</v>
      </c>
      <c r="L1027" t="str">
        <f t="shared" ref="L1027:L1090" si="48">IF(OR(B1027="",ISBLANK(B1027)),"Missing","Available")</f>
        <v>Available</v>
      </c>
      <c r="M1027">
        <f t="shared" ref="M1027:M1090" si="49">IF(K1027="Mapped",1,0)</f>
        <v>1</v>
      </c>
      <c r="N1027">
        <f t="shared" ref="N1027:N1090" si="50">IF(AND(B1027&lt;&gt;"",A1027&lt;&gt;""),1,0)</f>
        <v>1</v>
      </c>
    </row>
    <row r="1028" spans="1:14" x14ac:dyDescent="0.35">
      <c r="A1028" t="s">
        <v>2584</v>
      </c>
      <c r="B1028" t="s">
        <v>2797</v>
      </c>
      <c r="C1028" t="s">
        <v>1347</v>
      </c>
      <c r="D1028">
        <v>24</v>
      </c>
      <c r="E1028" t="s">
        <v>13</v>
      </c>
      <c r="F1028" s="1">
        <v>44497</v>
      </c>
      <c r="G1028" s="1">
        <v>46060</v>
      </c>
      <c r="H1028" t="s">
        <v>14</v>
      </c>
      <c r="I1028" s="2">
        <v>18593074</v>
      </c>
      <c r="J1028">
        <v>261520</v>
      </c>
      <c r="K1028" t="s">
        <v>30</v>
      </c>
      <c r="L1028" t="str">
        <f t="shared" si="48"/>
        <v>Available</v>
      </c>
      <c r="M1028">
        <f t="shared" si="49"/>
        <v>0</v>
      </c>
      <c r="N1028">
        <f t="shared" si="50"/>
        <v>1</v>
      </c>
    </row>
    <row r="1029" spans="1:14" x14ac:dyDescent="0.35">
      <c r="A1029" t="s">
        <v>2585</v>
      </c>
      <c r="B1029" t="s">
        <v>961</v>
      </c>
      <c r="C1029" t="s">
        <v>1348</v>
      </c>
      <c r="D1029">
        <v>24.3</v>
      </c>
      <c r="E1029" t="s">
        <v>13</v>
      </c>
      <c r="F1029" s="1">
        <v>44497</v>
      </c>
      <c r="G1029" s="1">
        <v>46059</v>
      </c>
      <c r="H1029" t="s">
        <v>14</v>
      </c>
      <c r="I1029" s="2">
        <v>17457609</v>
      </c>
      <c r="J1029">
        <v>264543</v>
      </c>
      <c r="K1029" t="s">
        <v>30</v>
      </c>
      <c r="L1029" t="str">
        <f t="shared" si="48"/>
        <v>Available</v>
      </c>
      <c r="M1029">
        <f t="shared" si="49"/>
        <v>0</v>
      </c>
      <c r="N1029">
        <f t="shared" si="50"/>
        <v>1</v>
      </c>
    </row>
    <row r="1030" spans="1:14" x14ac:dyDescent="0.35">
      <c r="A1030" t="s">
        <v>2586</v>
      </c>
      <c r="B1030" t="s">
        <v>259</v>
      </c>
      <c r="C1030" t="s">
        <v>1349</v>
      </c>
      <c r="D1030">
        <v>24</v>
      </c>
      <c r="E1030" t="s">
        <v>13</v>
      </c>
      <c r="F1030" s="1">
        <v>44497</v>
      </c>
      <c r="G1030" s="1">
        <v>46059</v>
      </c>
      <c r="H1030" t="s">
        <v>14</v>
      </c>
      <c r="I1030" s="2">
        <v>143289</v>
      </c>
      <c r="J1030">
        <v>264140</v>
      </c>
      <c r="K1030" t="s">
        <v>15</v>
      </c>
      <c r="L1030" t="str">
        <f t="shared" si="48"/>
        <v>Available</v>
      </c>
      <c r="M1030">
        <f t="shared" si="49"/>
        <v>1</v>
      </c>
      <c r="N1030">
        <f t="shared" si="50"/>
        <v>1</v>
      </c>
    </row>
    <row r="1031" spans="1:14" x14ac:dyDescent="0.35">
      <c r="A1031" t="s">
        <v>2587</v>
      </c>
      <c r="B1031" t="s">
        <v>2804</v>
      </c>
      <c r="C1031" t="s">
        <v>1350</v>
      </c>
      <c r="D1031">
        <v>23.5</v>
      </c>
      <c r="E1031" t="s">
        <v>13</v>
      </c>
      <c r="F1031" s="1">
        <v>44497</v>
      </c>
      <c r="G1031" s="1">
        <v>46059</v>
      </c>
      <c r="H1031" t="s">
        <v>14</v>
      </c>
      <c r="I1031" s="2">
        <v>118422</v>
      </c>
      <c r="J1031">
        <v>261820</v>
      </c>
      <c r="K1031" t="s">
        <v>30</v>
      </c>
      <c r="L1031" t="str">
        <f t="shared" si="48"/>
        <v>Available</v>
      </c>
      <c r="M1031">
        <f t="shared" si="49"/>
        <v>0</v>
      </c>
      <c r="N1031">
        <f t="shared" si="50"/>
        <v>1</v>
      </c>
    </row>
    <row r="1032" spans="1:14" x14ac:dyDescent="0.35">
      <c r="A1032" t="s">
        <v>2588</v>
      </c>
      <c r="B1032" t="s">
        <v>2791</v>
      </c>
      <c r="C1032" t="s">
        <v>1351</v>
      </c>
      <c r="D1032">
        <v>23.25</v>
      </c>
      <c r="E1032" t="s">
        <v>13</v>
      </c>
      <c r="F1032" s="1">
        <v>45049</v>
      </c>
      <c r="G1032" s="1">
        <v>46057</v>
      </c>
      <c r="H1032" t="s">
        <v>14</v>
      </c>
      <c r="I1032" s="2">
        <v>29474934</v>
      </c>
      <c r="J1032">
        <v>266394</v>
      </c>
      <c r="K1032" t="s">
        <v>30</v>
      </c>
      <c r="L1032" t="str">
        <f t="shared" si="48"/>
        <v>Available</v>
      </c>
      <c r="M1032">
        <f t="shared" si="49"/>
        <v>0</v>
      </c>
      <c r="N1032">
        <f t="shared" si="50"/>
        <v>1</v>
      </c>
    </row>
    <row r="1033" spans="1:14" x14ac:dyDescent="0.35">
      <c r="A1033" t="s">
        <v>2589</v>
      </c>
      <c r="B1033" t="s">
        <v>2810</v>
      </c>
      <c r="C1033" t="s">
        <v>1010</v>
      </c>
      <c r="D1033">
        <v>25</v>
      </c>
      <c r="E1033" t="s">
        <v>13</v>
      </c>
      <c r="F1033" s="1">
        <v>44501</v>
      </c>
      <c r="G1033" s="1">
        <v>46057</v>
      </c>
      <c r="H1033" t="s">
        <v>14</v>
      </c>
      <c r="I1033" s="2">
        <v>80811</v>
      </c>
      <c r="J1033">
        <v>264465</v>
      </c>
      <c r="K1033" t="s">
        <v>30</v>
      </c>
      <c r="L1033" t="str">
        <f t="shared" si="48"/>
        <v>Available</v>
      </c>
      <c r="M1033">
        <f t="shared" si="49"/>
        <v>0</v>
      </c>
      <c r="N1033">
        <f t="shared" si="50"/>
        <v>1</v>
      </c>
    </row>
    <row r="1034" spans="1:14" x14ac:dyDescent="0.35">
      <c r="A1034" t="s">
        <v>2590</v>
      </c>
      <c r="B1034" t="s">
        <v>527</v>
      </c>
      <c r="C1034" t="s">
        <v>1352</v>
      </c>
      <c r="D1034">
        <v>24</v>
      </c>
      <c r="E1034" t="s">
        <v>13</v>
      </c>
      <c r="F1034" s="1">
        <v>44497</v>
      </c>
      <c r="G1034" s="1">
        <v>46058</v>
      </c>
      <c r="H1034" t="s">
        <v>14</v>
      </c>
      <c r="I1034" s="2">
        <v>3242669</v>
      </c>
      <c r="J1034">
        <v>266917</v>
      </c>
      <c r="K1034" t="s">
        <v>30</v>
      </c>
      <c r="L1034" t="str">
        <f t="shared" si="48"/>
        <v>Available</v>
      </c>
      <c r="M1034">
        <f t="shared" si="49"/>
        <v>0</v>
      </c>
      <c r="N1034">
        <f t="shared" si="50"/>
        <v>1</v>
      </c>
    </row>
    <row r="1035" spans="1:14" x14ac:dyDescent="0.35">
      <c r="A1035" t="s">
        <v>2591</v>
      </c>
      <c r="B1035" t="s">
        <v>47</v>
      </c>
      <c r="C1035" t="s">
        <v>1353</v>
      </c>
      <c r="D1035">
        <v>24</v>
      </c>
      <c r="E1035" t="s">
        <v>13</v>
      </c>
      <c r="F1035" s="1">
        <v>44497</v>
      </c>
      <c r="G1035" s="1">
        <v>46059</v>
      </c>
      <c r="H1035" t="s">
        <v>14</v>
      </c>
      <c r="I1035" s="2">
        <v>77114</v>
      </c>
      <c r="J1035">
        <v>262207</v>
      </c>
      <c r="K1035" t="s">
        <v>15</v>
      </c>
      <c r="L1035" t="str">
        <f t="shared" si="48"/>
        <v>Available</v>
      </c>
      <c r="M1035">
        <f t="shared" si="49"/>
        <v>1</v>
      </c>
      <c r="N1035">
        <f t="shared" si="50"/>
        <v>1</v>
      </c>
    </row>
    <row r="1036" spans="1:14" x14ac:dyDescent="0.35">
      <c r="A1036" t="s">
        <v>2592</v>
      </c>
      <c r="B1036" t="s">
        <v>242</v>
      </c>
      <c r="C1036" t="s">
        <v>1354</v>
      </c>
      <c r="D1036">
        <v>32</v>
      </c>
      <c r="E1036" t="s">
        <v>13</v>
      </c>
      <c r="F1036" s="1">
        <v>44500</v>
      </c>
      <c r="G1036" s="1">
        <v>46059</v>
      </c>
      <c r="H1036" t="s">
        <v>14</v>
      </c>
      <c r="I1036" s="2">
        <v>226644</v>
      </c>
      <c r="J1036">
        <v>267110</v>
      </c>
      <c r="K1036" t="s">
        <v>15</v>
      </c>
      <c r="L1036" t="str">
        <f t="shared" si="48"/>
        <v>Available</v>
      </c>
      <c r="M1036">
        <f t="shared" si="49"/>
        <v>1</v>
      </c>
      <c r="N1036">
        <f t="shared" si="50"/>
        <v>1</v>
      </c>
    </row>
    <row r="1037" spans="1:14" x14ac:dyDescent="0.35">
      <c r="A1037" t="s">
        <v>2593</v>
      </c>
      <c r="B1037" t="s">
        <v>2808</v>
      </c>
      <c r="C1037" t="s">
        <v>1355</v>
      </c>
      <c r="D1037">
        <v>23.75</v>
      </c>
      <c r="E1037" t="s">
        <v>13</v>
      </c>
      <c r="F1037" s="1">
        <v>44497</v>
      </c>
      <c r="G1037" s="1">
        <v>46060</v>
      </c>
      <c r="H1037" t="s">
        <v>14</v>
      </c>
      <c r="I1037" s="2">
        <v>207543</v>
      </c>
      <c r="J1037">
        <v>261568</v>
      </c>
      <c r="K1037" t="s">
        <v>30</v>
      </c>
      <c r="L1037" t="str">
        <f t="shared" si="48"/>
        <v>Available</v>
      </c>
      <c r="M1037">
        <f t="shared" si="49"/>
        <v>0</v>
      </c>
      <c r="N1037">
        <f t="shared" si="50"/>
        <v>1</v>
      </c>
    </row>
    <row r="1038" spans="1:14" x14ac:dyDescent="0.35">
      <c r="A1038" t="s">
        <v>2594</v>
      </c>
      <c r="B1038" t="s">
        <v>58</v>
      </c>
      <c r="C1038" t="s">
        <v>1356</v>
      </c>
      <c r="D1038">
        <v>24</v>
      </c>
      <c r="E1038" t="s">
        <v>13</v>
      </c>
      <c r="F1038" s="1">
        <v>44497</v>
      </c>
      <c r="G1038" s="1">
        <v>46058</v>
      </c>
      <c r="H1038" t="s">
        <v>14</v>
      </c>
      <c r="I1038" s="2">
        <v>125442</v>
      </c>
      <c r="J1038">
        <v>261875</v>
      </c>
      <c r="K1038" t="s">
        <v>30</v>
      </c>
      <c r="L1038" t="str">
        <f t="shared" si="48"/>
        <v>Available</v>
      </c>
      <c r="M1038">
        <f t="shared" si="49"/>
        <v>0</v>
      </c>
      <c r="N1038">
        <f t="shared" si="50"/>
        <v>1</v>
      </c>
    </row>
    <row r="1039" spans="1:14" x14ac:dyDescent="0.35">
      <c r="A1039" t="s">
        <v>2595</v>
      </c>
      <c r="B1039" t="s">
        <v>1358</v>
      </c>
      <c r="C1039" t="s">
        <v>1357</v>
      </c>
      <c r="D1039">
        <v>15</v>
      </c>
      <c r="E1039" t="s">
        <v>13</v>
      </c>
      <c r="F1039" s="1">
        <v>44497</v>
      </c>
      <c r="G1039" s="1">
        <v>46059</v>
      </c>
      <c r="H1039" t="s">
        <v>14</v>
      </c>
      <c r="I1039" s="2">
        <v>73909</v>
      </c>
      <c r="J1039">
        <v>262624</v>
      </c>
      <c r="K1039" t="s">
        <v>15</v>
      </c>
      <c r="L1039" t="str">
        <f t="shared" si="48"/>
        <v>Available</v>
      </c>
      <c r="M1039">
        <f t="shared" si="49"/>
        <v>1</v>
      </c>
      <c r="N1039">
        <f t="shared" si="50"/>
        <v>1</v>
      </c>
    </row>
    <row r="1040" spans="1:14" x14ac:dyDescent="0.35">
      <c r="A1040" t="s">
        <v>2596</v>
      </c>
      <c r="B1040" t="s">
        <v>1360</v>
      </c>
      <c r="C1040" t="s">
        <v>1359</v>
      </c>
      <c r="D1040">
        <v>24</v>
      </c>
      <c r="E1040" t="s">
        <v>13</v>
      </c>
      <c r="F1040" s="1">
        <v>44500</v>
      </c>
      <c r="G1040" s="1">
        <v>46058</v>
      </c>
      <c r="H1040" t="s">
        <v>14</v>
      </c>
      <c r="I1040" s="2">
        <v>288575</v>
      </c>
      <c r="J1040">
        <v>261491</v>
      </c>
      <c r="K1040" t="s">
        <v>15</v>
      </c>
      <c r="L1040" t="str">
        <f t="shared" si="48"/>
        <v>Available</v>
      </c>
      <c r="M1040">
        <f t="shared" si="49"/>
        <v>1</v>
      </c>
      <c r="N1040">
        <f t="shared" si="50"/>
        <v>1</v>
      </c>
    </row>
    <row r="1041" spans="1:14" x14ac:dyDescent="0.35">
      <c r="A1041" t="s">
        <v>2597</v>
      </c>
      <c r="B1041" t="s">
        <v>2778</v>
      </c>
      <c r="C1041" t="s">
        <v>1361</v>
      </c>
      <c r="D1041">
        <v>17.600000000000001</v>
      </c>
      <c r="E1041" t="s">
        <v>13</v>
      </c>
      <c r="F1041" s="1">
        <v>44500</v>
      </c>
      <c r="G1041" s="1">
        <v>46059</v>
      </c>
      <c r="H1041" t="s">
        <v>14</v>
      </c>
      <c r="I1041" t="s">
        <v>2778</v>
      </c>
      <c r="J1041">
        <v>266296</v>
      </c>
      <c r="K1041" t="s">
        <v>15</v>
      </c>
      <c r="L1041" t="str">
        <f t="shared" si="48"/>
        <v>Missing</v>
      </c>
      <c r="M1041">
        <f t="shared" si="49"/>
        <v>1</v>
      </c>
      <c r="N1041">
        <f t="shared" si="50"/>
        <v>0</v>
      </c>
    </row>
    <row r="1042" spans="1:14" x14ac:dyDescent="0.35">
      <c r="A1042" t="s">
        <v>2598</v>
      </c>
      <c r="B1042" t="s">
        <v>2798</v>
      </c>
      <c r="C1042" t="s">
        <v>1362</v>
      </c>
      <c r="D1042">
        <v>14</v>
      </c>
      <c r="E1042" t="s">
        <v>13</v>
      </c>
      <c r="F1042" s="1">
        <v>45347</v>
      </c>
      <c r="G1042" s="1">
        <v>46048</v>
      </c>
      <c r="H1042" t="s">
        <v>14</v>
      </c>
      <c r="I1042" s="2">
        <v>42887395</v>
      </c>
      <c r="J1042">
        <v>264417</v>
      </c>
      <c r="K1042" t="s">
        <v>30</v>
      </c>
      <c r="L1042" t="str">
        <f t="shared" si="48"/>
        <v>Available</v>
      </c>
      <c r="M1042">
        <f t="shared" si="49"/>
        <v>0</v>
      </c>
      <c r="N1042">
        <f t="shared" si="50"/>
        <v>1</v>
      </c>
    </row>
    <row r="1043" spans="1:14" x14ac:dyDescent="0.35">
      <c r="A1043" t="s">
        <v>2599</v>
      </c>
      <c r="B1043" t="s">
        <v>130</v>
      </c>
      <c r="C1043" t="s">
        <v>1363</v>
      </c>
      <c r="D1043">
        <v>25</v>
      </c>
      <c r="E1043" t="s">
        <v>13</v>
      </c>
      <c r="F1043" s="1">
        <v>44497</v>
      </c>
      <c r="G1043" s="1">
        <v>46057</v>
      </c>
      <c r="H1043" t="s">
        <v>14</v>
      </c>
      <c r="I1043" s="2">
        <v>2183191</v>
      </c>
      <c r="J1043">
        <v>266303</v>
      </c>
      <c r="K1043" t="s">
        <v>15</v>
      </c>
      <c r="L1043" t="str">
        <f t="shared" si="48"/>
        <v>Available</v>
      </c>
      <c r="M1043">
        <f t="shared" si="49"/>
        <v>1</v>
      </c>
      <c r="N1043">
        <f t="shared" si="50"/>
        <v>1</v>
      </c>
    </row>
    <row r="1044" spans="1:14" x14ac:dyDescent="0.35">
      <c r="A1044" t="s">
        <v>2600</v>
      </c>
      <c r="B1044" t="s">
        <v>58</v>
      </c>
      <c r="C1044" t="s">
        <v>1364</v>
      </c>
      <c r="D1044">
        <v>20.288091000000001</v>
      </c>
      <c r="E1044" t="s">
        <v>35</v>
      </c>
      <c r="F1044" s="1">
        <v>45631</v>
      </c>
      <c r="G1044" s="1">
        <v>46058</v>
      </c>
      <c r="H1044" t="s">
        <v>14</v>
      </c>
      <c r="I1044" t="s">
        <v>2778</v>
      </c>
      <c r="J1044">
        <v>266959</v>
      </c>
      <c r="K1044" t="s">
        <v>30</v>
      </c>
      <c r="L1044" t="str">
        <f t="shared" si="48"/>
        <v>Available</v>
      </c>
      <c r="M1044">
        <f t="shared" si="49"/>
        <v>0</v>
      </c>
      <c r="N1044">
        <f t="shared" si="50"/>
        <v>1</v>
      </c>
    </row>
    <row r="1045" spans="1:14" x14ac:dyDescent="0.35">
      <c r="A1045" t="s">
        <v>2601</v>
      </c>
      <c r="B1045" t="s">
        <v>103</v>
      </c>
      <c r="C1045" t="s">
        <v>1365</v>
      </c>
      <c r="D1045">
        <v>24</v>
      </c>
      <c r="E1045" t="s">
        <v>13</v>
      </c>
      <c r="F1045" s="1">
        <v>44500</v>
      </c>
      <c r="G1045" s="1">
        <v>46059</v>
      </c>
      <c r="H1045" t="s">
        <v>14</v>
      </c>
      <c r="I1045" t="s">
        <v>2778</v>
      </c>
      <c r="J1045">
        <v>261588</v>
      </c>
      <c r="K1045" t="s">
        <v>15</v>
      </c>
      <c r="L1045" t="str">
        <f t="shared" si="48"/>
        <v>Available</v>
      </c>
      <c r="M1045">
        <f t="shared" si="49"/>
        <v>1</v>
      </c>
      <c r="N1045">
        <f t="shared" si="50"/>
        <v>1</v>
      </c>
    </row>
    <row r="1046" spans="1:14" x14ac:dyDescent="0.35">
      <c r="A1046" t="s">
        <v>2602</v>
      </c>
      <c r="B1046" t="s">
        <v>2778</v>
      </c>
      <c r="C1046" t="s">
        <v>1366</v>
      </c>
      <c r="D1046">
        <v>24</v>
      </c>
      <c r="E1046" t="s">
        <v>13</v>
      </c>
      <c r="F1046" s="1">
        <v>44607</v>
      </c>
      <c r="G1046" s="1">
        <v>45952</v>
      </c>
      <c r="H1046" t="s">
        <v>14</v>
      </c>
      <c r="I1046" t="s">
        <v>2778</v>
      </c>
      <c r="J1046">
        <v>264704</v>
      </c>
      <c r="K1046" t="s">
        <v>30</v>
      </c>
      <c r="L1046" t="str">
        <f t="shared" si="48"/>
        <v>Missing</v>
      </c>
      <c r="M1046">
        <f t="shared" si="49"/>
        <v>0</v>
      </c>
      <c r="N1046">
        <f t="shared" si="50"/>
        <v>0</v>
      </c>
    </row>
    <row r="1047" spans="1:14" x14ac:dyDescent="0.35">
      <c r="A1047" t="s">
        <v>2603</v>
      </c>
      <c r="B1047" t="s">
        <v>2827</v>
      </c>
      <c r="C1047" t="s">
        <v>1367</v>
      </c>
      <c r="D1047">
        <v>19.399999999999999</v>
      </c>
      <c r="E1047" t="s">
        <v>13</v>
      </c>
      <c r="F1047" s="1">
        <v>45680</v>
      </c>
      <c r="G1047" s="1">
        <v>46059</v>
      </c>
      <c r="H1047" t="s">
        <v>14</v>
      </c>
      <c r="I1047" s="2">
        <v>59118033</v>
      </c>
      <c r="J1047">
        <v>261708</v>
      </c>
      <c r="K1047" t="s">
        <v>15</v>
      </c>
      <c r="L1047" t="str">
        <f t="shared" si="48"/>
        <v>Available</v>
      </c>
      <c r="M1047">
        <f t="shared" si="49"/>
        <v>1</v>
      </c>
      <c r="N1047">
        <f t="shared" si="50"/>
        <v>1</v>
      </c>
    </row>
    <row r="1048" spans="1:14" x14ac:dyDescent="0.35">
      <c r="A1048" t="s">
        <v>2604</v>
      </c>
      <c r="B1048" t="s">
        <v>1369</v>
      </c>
      <c r="C1048" t="s">
        <v>1368</v>
      </c>
      <c r="D1048">
        <v>24</v>
      </c>
      <c r="E1048" t="s">
        <v>13</v>
      </c>
      <c r="F1048" s="1">
        <v>44524</v>
      </c>
      <c r="G1048" s="1">
        <v>45859</v>
      </c>
      <c r="H1048" t="s">
        <v>14</v>
      </c>
      <c r="I1048" t="s">
        <v>2778</v>
      </c>
      <c r="J1048">
        <v>266846</v>
      </c>
      <c r="K1048" t="s">
        <v>30</v>
      </c>
      <c r="L1048" t="str">
        <f t="shared" si="48"/>
        <v>Available</v>
      </c>
      <c r="M1048">
        <f t="shared" si="49"/>
        <v>0</v>
      </c>
      <c r="N1048">
        <f t="shared" si="50"/>
        <v>1</v>
      </c>
    </row>
    <row r="1049" spans="1:14" x14ac:dyDescent="0.35">
      <c r="A1049" t="s">
        <v>2605</v>
      </c>
      <c r="B1049" t="s">
        <v>1360</v>
      </c>
      <c r="C1049" t="s">
        <v>1370</v>
      </c>
      <c r="D1049">
        <v>24</v>
      </c>
      <c r="E1049" t="s">
        <v>13</v>
      </c>
      <c r="F1049" s="1">
        <v>44500</v>
      </c>
      <c r="G1049" s="1">
        <v>46059</v>
      </c>
      <c r="H1049" t="s">
        <v>14</v>
      </c>
      <c r="I1049" s="2">
        <v>3321051</v>
      </c>
      <c r="J1049">
        <v>261841</v>
      </c>
      <c r="K1049" t="s">
        <v>30</v>
      </c>
      <c r="L1049" t="str">
        <f t="shared" si="48"/>
        <v>Available</v>
      </c>
      <c r="M1049">
        <f t="shared" si="49"/>
        <v>0</v>
      </c>
      <c r="N1049">
        <f t="shared" si="50"/>
        <v>1</v>
      </c>
    </row>
    <row r="1050" spans="1:14" x14ac:dyDescent="0.35">
      <c r="A1050" t="s">
        <v>2606</v>
      </c>
      <c r="B1050" t="s">
        <v>168</v>
      </c>
      <c r="C1050" t="s">
        <v>1371</v>
      </c>
      <c r="D1050">
        <v>2.5</v>
      </c>
      <c r="E1050" t="s">
        <v>13</v>
      </c>
      <c r="F1050" s="1">
        <v>44497</v>
      </c>
      <c r="G1050" s="1">
        <v>46059</v>
      </c>
      <c r="H1050" t="s">
        <v>14</v>
      </c>
      <c r="I1050" s="2">
        <v>20111494</v>
      </c>
      <c r="J1050">
        <v>266307</v>
      </c>
      <c r="K1050" t="s">
        <v>30</v>
      </c>
      <c r="L1050" t="str">
        <f t="shared" si="48"/>
        <v>Available</v>
      </c>
      <c r="M1050">
        <f t="shared" si="49"/>
        <v>0</v>
      </c>
      <c r="N1050">
        <f t="shared" si="50"/>
        <v>1</v>
      </c>
    </row>
    <row r="1051" spans="1:14" x14ac:dyDescent="0.35">
      <c r="A1051" t="s">
        <v>2607</v>
      </c>
      <c r="B1051" t="s">
        <v>961</v>
      </c>
      <c r="C1051" t="s">
        <v>1372</v>
      </c>
      <c r="D1051">
        <v>24.3</v>
      </c>
      <c r="E1051" t="s">
        <v>13</v>
      </c>
      <c r="F1051" s="1">
        <v>44497</v>
      </c>
      <c r="G1051" s="1">
        <v>46059</v>
      </c>
      <c r="H1051" t="s">
        <v>14</v>
      </c>
      <c r="I1051" s="2">
        <v>17457614</v>
      </c>
      <c r="J1051">
        <v>264083</v>
      </c>
      <c r="K1051" t="s">
        <v>30</v>
      </c>
      <c r="L1051" t="str">
        <f t="shared" si="48"/>
        <v>Available</v>
      </c>
      <c r="M1051">
        <f t="shared" si="49"/>
        <v>0</v>
      </c>
      <c r="N1051">
        <f t="shared" si="50"/>
        <v>1</v>
      </c>
    </row>
    <row r="1052" spans="1:14" x14ac:dyDescent="0.35">
      <c r="A1052" t="s">
        <v>2608</v>
      </c>
      <c r="B1052" t="s">
        <v>2866</v>
      </c>
      <c r="C1052" t="s">
        <v>1373</v>
      </c>
      <c r="D1052">
        <v>45</v>
      </c>
      <c r="E1052" t="s">
        <v>13</v>
      </c>
      <c r="F1052" s="1">
        <v>44497</v>
      </c>
      <c r="G1052" s="1">
        <v>46060</v>
      </c>
      <c r="H1052" t="s">
        <v>14</v>
      </c>
      <c r="I1052" s="2">
        <v>77105</v>
      </c>
      <c r="J1052">
        <v>267086</v>
      </c>
      <c r="K1052" t="s">
        <v>15</v>
      </c>
      <c r="L1052" t="str">
        <f t="shared" si="48"/>
        <v>Available</v>
      </c>
      <c r="M1052">
        <f t="shared" si="49"/>
        <v>1</v>
      </c>
      <c r="N1052">
        <f t="shared" si="50"/>
        <v>1</v>
      </c>
    </row>
    <row r="1053" spans="1:14" x14ac:dyDescent="0.35">
      <c r="A1053" t="s">
        <v>2609</v>
      </c>
      <c r="B1053" t="s">
        <v>139</v>
      </c>
      <c r="C1053" t="s">
        <v>1374</v>
      </c>
      <c r="D1053">
        <v>24</v>
      </c>
      <c r="E1053" t="s">
        <v>13</v>
      </c>
      <c r="F1053" s="1">
        <v>44497</v>
      </c>
      <c r="G1053" s="1">
        <v>46058</v>
      </c>
      <c r="H1053" t="s">
        <v>14</v>
      </c>
      <c r="I1053" s="2">
        <v>23801230</v>
      </c>
      <c r="J1053">
        <v>262191</v>
      </c>
      <c r="K1053" t="s">
        <v>15</v>
      </c>
      <c r="L1053" t="str">
        <f t="shared" si="48"/>
        <v>Available</v>
      </c>
      <c r="M1053">
        <f t="shared" si="49"/>
        <v>1</v>
      </c>
      <c r="N1053">
        <f t="shared" si="50"/>
        <v>1</v>
      </c>
    </row>
    <row r="1054" spans="1:14" x14ac:dyDescent="0.35">
      <c r="A1054" t="s">
        <v>2610</v>
      </c>
      <c r="B1054" t="s">
        <v>125</v>
      </c>
      <c r="C1054" t="s">
        <v>1376</v>
      </c>
      <c r="D1054">
        <v>25</v>
      </c>
      <c r="E1054" t="s">
        <v>13</v>
      </c>
      <c r="F1054" s="1">
        <v>44607</v>
      </c>
      <c r="G1054" s="1">
        <v>46059</v>
      </c>
      <c r="H1054" t="s">
        <v>14</v>
      </c>
      <c r="I1054" s="2">
        <v>27741062</v>
      </c>
      <c r="J1054">
        <v>267071</v>
      </c>
      <c r="K1054" t="s">
        <v>30</v>
      </c>
      <c r="L1054" t="str">
        <f t="shared" si="48"/>
        <v>Available</v>
      </c>
      <c r="M1054">
        <f t="shared" si="49"/>
        <v>0</v>
      </c>
      <c r="N1054">
        <f t="shared" si="50"/>
        <v>1</v>
      </c>
    </row>
    <row r="1055" spans="1:14" x14ac:dyDescent="0.35">
      <c r="A1055" t="s">
        <v>2611</v>
      </c>
      <c r="B1055" t="s">
        <v>439</v>
      </c>
      <c r="C1055" t="s">
        <v>1377</v>
      </c>
      <c r="D1055">
        <v>26</v>
      </c>
      <c r="E1055" t="s">
        <v>13</v>
      </c>
      <c r="F1055" s="1">
        <v>44497</v>
      </c>
      <c r="G1055" s="1">
        <v>46058</v>
      </c>
      <c r="H1055" t="s">
        <v>14</v>
      </c>
      <c r="I1055" s="2">
        <v>135699</v>
      </c>
      <c r="J1055">
        <v>266979</v>
      </c>
      <c r="K1055" t="s">
        <v>15</v>
      </c>
      <c r="L1055" t="str">
        <f t="shared" si="48"/>
        <v>Available</v>
      </c>
      <c r="M1055">
        <f t="shared" si="49"/>
        <v>1</v>
      </c>
      <c r="N1055">
        <f t="shared" si="50"/>
        <v>1</v>
      </c>
    </row>
    <row r="1056" spans="1:14" x14ac:dyDescent="0.35">
      <c r="A1056" t="s">
        <v>2612</v>
      </c>
      <c r="B1056" t="s">
        <v>192</v>
      </c>
      <c r="C1056" t="s">
        <v>1378</v>
      </c>
      <c r="D1056">
        <v>32</v>
      </c>
      <c r="E1056" t="s">
        <v>13</v>
      </c>
      <c r="F1056" s="1">
        <v>44499</v>
      </c>
      <c r="G1056" s="1">
        <v>45744</v>
      </c>
      <c r="H1056" t="s">
        <v>14</v>
      </c>
      <c r="I1056" t="s">
        <v>2778</v>
      </c>
      <c r="J1056">
        <v>266449</v>
      </c>
      <c r="K1056" t="s">
        <v>30</v>
      </c>
      <c r="L1056" t="str">
        <f t="shared" si="48"/>
        <v>Available</v>
      </c>
      <c r="M1056">
        <f t="shared" si="49"/>
        <v>0</v>
      </c>
      <c r="N1056">
        <f t="shared" si="50"/>
        <v>1</v>
      </c>
    </row>
    <row r="1057" spans="1:14" x14ac:dyDescent="0.35">
      <c r="A1057" t="s">
        <v>2613</v>
      </c>
      <c r="B1057" t="s">
        <v>1020</v>
      </c>
      <c r="C1057" t="s">
        <v>1379</v>
      </c>
      <c r="D1057">
        <v>21.978764999999999</v>
      </c>
      <c r="E1057" t="s">
        <v>35</v>
      </c>
      <c r="F1057" s="1">
        <v>44497</v>
      </c>
      <c r="G1057" s="1">
        <v>46044</v>
      </c>
      <c r="H1057" t="s">
        <v>14</v>
      </c>
      <c r="I1057" t="s">
        <v>2778</v>
      </c>
      <c r="J1057">
        <v>261613</v>
      </c>
      <c r="K1057" t="s">
        <v>15</v>
      </c>
      <c r="L1057" t="str">
        <f t="shared" si="48"/>
        <v>Available</v>
      </c>
      <c r="M1057">
        <f t="shared" si="49"/>
        <v>1</v>
      </c>
      <c r="N1057">
        <f t="shared" si="50"/>
        <v>1</v>
      </c>
    </row>
    <row r="1058" spans="1:14" x14ac:dyDescent="0.35">
      <c r="A1058" t="s">
        <v>2614</v>
      </c>
      <c r="B1058" t="s">
        <v>768</v>
      </c>
      <c r="C1058" t="s">
        <v>1380</v>
      </c>
      <c r="D1058">
        <v>25</v>
      </c>
      <c r="E1058" t="s">
        <v>13</v>
      </c>
      <c r="F1058" s="1">
        <v>44497</v>
      </c>
      <c r="G1058" s="1">
        <v>46059</v>
      </c>
      <c r="H1058" t="s">
        <v>14</v>
      </c>
      <c r="I1058" s="2">
        <v>73920</v>
      </c>
      <c r="J1058">
        <v>264197</v>
      </c>
      <c r="K1058" t="s">
        <v>30</v>
      </c>
      <c r="L1058" t="str">
        <f t="shared" si="48"/>
        <v>Available</v>
      </c>
      <c r="M1058">
        <f t="shared" si="49"/>
        <v>0</v>
      </c>
      <c r="N1058">
        <f t="shared" si="50"/>
        <v>1</v>
      </c>
    </row>
    <row r="1059" spans="1:14" x14ac:dyDescent="0.35">
      <c r="A1059" t="s">
        <v>2615</v>
      </c>
      <c r="B1059" t="s">
        <v>439</v>
      </c>
      <c r="C1059" t="s">
        <v>1382</v>
      </c>
      <c r="D1059">
        <v>24</v>
      </c>
      <c r="E1059" t="s">
        <v>13</v>
      </c>
      <c r="F1059" s="1">
        <v>44497</v>
      </c>
      <c r="G1059" s="1">
        <v>45859</v>
      </c>
      <c r="H1059" t="s">
        <v>14</v>
      </c>
      <c r="I1059" t="s">
        <v>2778</v>
      </c>
      <c r="J1059">
        <v>264101</v>
      </c>
      <c r="K1059" t="s">
        <v>15</v>
      </c>
      <c r="L1059" t="str">
        <f t="shared" si="48"/>
        <v>Available</v>
      </c>
      <c r="M1059">
        <f t="shared" si="49"/>
        <v>1</v>
      </c>
      <c r="N1059">
        <f t="shared" si="50"/>
        <v>1</v>
      </c>
    </row>
    <row r="1060" spans="1:14" x14ac:dyDescent="0.35">
      <c r="A1060" t="s">
        <v>2616</v>
      </c>
      <c r="B1060" t="s">
        <v>453</v>
      </c>
      <c r="C1060" t="s">
        <v>1383</v>
      </c>
      <c r="D1060">
        <v>24</v>
      </c>
      <c r="E1060" t="s">
        <v>13</v>
      </c>
      <c r="F1060" s="1">
        <v>44497</v>
      </c>
      <c r="G1060" s="1">
        <v>46059</v>
      </c>
      <c r="H1060" t="s">
        <v>14</v>
      </c>
      <c r="I1060" s="2">
        <v>143398</v>
      </c>
      <c r="J1060">
        <v>261609</v>
      </c>
      <c r="K1060" t="s">
        <v>15</v>
      </c>
      <c r="L1060" t="str">
        <f t="shared" si="48"/>
        <v>Available</v>
      </c>
      <c r="M1060">
        <f t="shared" si="49"/>
        <v>1</v>
      </c>
      <c r="N1060">
        <f t="shared" si="50"/>
        <v>1</v>
      </c>
    </row>
    <row r="1061" spans="1:14" x14ac:dyDescent="0.35">
      <c r="A1061" t="s">
        <v>2617</v>
      </c>
      <c r="B1061" t="s">
        <v>2798</v>
      </c>
      <c r="C1061" t="s">
        <v>1384</v>
      </c>
      <c r="D1061">
        <v>24</v>
      </c>
      <c r="E1061" t="s">
        <v>13</v>
      </c>
      <c r="F1061" s="1">
        <v>44497</v>
      </c>
      <c r="G1061" s="1">
        <v>46060</v>
      </c>
      <c r="H1061" t="s">
        <v>14</v>
      </c>
      <c r="I1061" t="s">
        <v>2787</v>
      </c>
      <c r="J1061" t="s">
        <v>1385</v>
      </c>
      <c r="K1061" t="s">
        <v>30</v>
      </c>
      <c r="L1061" t="str">
        <f t="shared" si="48"/>
        <v>Available</v>
      </c>
      <c r="M1061">
        <f t="shared" si="49"/>
        <v>0</v>
      </c>
      <c r="N1061">
        <f t="shared" si="50"/>
        <v>1</v>
      </c>
    </row>
    <row r="1062" spans="1:14" x14ac:dyDescent="0.35">
      <c r="A1062" t="s">
        <v>2618</v>
      </c>
      <c r="B1062" t="s">
        <v>2821</v>
      </c>
      <c r="C1062" t="s">
        <v>1386</v>
      </c>
      <c r="D1062">
        <v>24</v>
      </c>
      <c r="E1062" t="s">
        <v>13</v>
      </c>
      <c r="F1062" s="1">
        <v>44497</v>
      </c>
      <c r="G1062" s="1">
        <v>45961</v>
      </c>
      <c r="H1062" t="s">
        <v>14</v>
      </c>
      <c r="I1062" t="s">
        <v>2778</v>
      </c>
      <c r="J1062">
        <v>261717</v>
      </c>
      <c r="K1062" t="s">
        <v>15</v>
      </c>
      <c r="L1062" t="str">
        <f t="shared" si="48"/>
        <v>Available</v>
      </c>
      <c r="M1062">
        <f t="shared" si="49"/>
        <v>1</v>
      </c>
      <c r="N1062">
        <f t="shared" si="50"/>
        <v>1</v>
      </c>
    </row>
    <row r="1063" spans="1:14" x14ac:dyDescent="0.35">
      <c r="A1063" t="s">
        <v>2619</v>
      </c>
      <c r="B1063" t="s">
        <v>1388</v>
      </c>
      <c r="C1063" t="s">
        <v>1387</v>
      </c>
      <c r="D1063">
        <v>32</v>
      </c>
      <c r="E1063" t="s">
        <v>13</v>
      </c>
      <c r="F1063" s="1">
        <v>44497</v>
      </c>
      <c r="G1063" s="1">
        <v>46059</v>
      </c>
      <c r="H1063" t="s">
        <v>14</v>
      </c>
      <c r="I1063" s="2">
        <v>16314085</v>
      </c>
      <c r="J1063">
        <v>261768</v>
      </c>
      <c r="K1063" t="s">
        <v>30</v>
      </c>
      <c r="L1063" t="str">
        <f t="shared" si="48"/>
        <v>Available</v>
      </c>
      <c r="M1063">
        <f t="shared" si="49"/>
        <v>0</v>
      </c>
      <c r="N1063">
        <f t="shared" si="50"/>
        <v>1</v>
      </c>
    </row>
    <row r="1064" spans="1:14" x14ac:dyDescent="0.35">
      <c r="A1064" t="s">
        <v>2620</v>
      </c>
      <c r="B1064" t="s">
        <v>2802</v>
      </c>
      <c r="C1064" t="s">
        <v>1389</v>
      </c>
      <c r="D1064">
        <v>24</v>
      </c>
      <c r="E1064" t="s">
        <v>13</v>
      </c>
      <c r="F1064" s="1">
        <v>45974</v>
      </c>
      <c r="G1064" s="1">
        <v>46059</v>
      </c>
      <c r="H1064" t="s">
        <v>14</v>
      </c>
      <c r="I1064" s="2">
        <v>74007072</v>
      </c>
      <c r="J1064">
        <v>264438</v>
      </c>
      <c r="K1064" t="s">
        <v>30</v>
      </c>
      <c r="L1064" t="str">
        <f t="shared" si="48"/>
        <v>Available</v>
      </c>
      <c r="M1064">
        <f t="shared" si="49"/>
        <v>0</v>
      </c>
      <c r="N1064">
        <f t="shared" si="50"/>
        <v>1</v>
      </c>
    </row>
    <row r="1065" spans="1:14" x14ac:dyDescent="0.35">
      <c r="A1065" t="s">
        <v>2621</v>
      </c>
      <c r="B1065" t="s">
        <v>318</v>
      </c>
      <c r="C1065" t="s">
        <v>1390</v>
      </c>
      <c r="D1065">
        <v>25.25</v>
      </c>
      <c r="E1065" t="s">
        <v>13</v>
      </c>
      <c r="F1065" s="1">
        <v>44497</v>
      </c>
      <c r="G1065" s="1">
        <v>46059</v>
      </c>
      <c r="H1065" t="s">
        <v>14</v>
      </c>
      <c r="I1065" s="2">
        <v>152791</v>
      </c>
      <c r="J1065">
        <v>262256</v>
      </c>
      <c r="K1065" t="s">
        <v>30</v>
      </c>
      <c r="L1065" t="str">
        <f t="shared" si="48"/>
        <v>Available</v>
      </c>
      <c r="M1065">
        <f t="shared" si="49"/>
        <v>0</v>
      </c>
      <c r="N1065">
        <f t="shared" si="50"/>
        <v>1</v>
      </c>
    </row>
    <row r="1066" spans="1:14" x14ac:dyDescent="0.35">
      <c r="A1066" t="s">
        <v>2622</v>
      </c>
      <c r="B1066" t="s">
        <v>58</v>
      </c>
      <c r="C1066" t="s">
        <v>1391</v>
      </c>
      <c r="D1066">
        <v>15</v>
      </c>
      <c r="E1066" t="s">
        <v>13</v>
      </c>
      <c r="F1066" s="1">
        <v>45424</v>
      </c>
      <c r="G1066" s="1">
        <v>46060</v>
      </c>
      <c r="H1066" t="s">
        <v>14</v>
      </c>
      <c r="I1066" s="2">
        <v>43438518</v>
      </c>
      <c r="J1066">
        <v>261557</v>
      </c>
      <c r="K1066" t="s">
        <v>30</v>
      </c>
      <c r="L1066" t="str">
        <f t="shared" si="48"/>
        <v>Available</v>
      </c>
      <c r="M1066">
        <f t="shared" si="49"/>
        <v>0</v>
      </c>
      <c r="N1066">
        <f t="shared" si="50"/>
        <v>1</v>
      </c>
    </row>
    <row r="1067" spans="1:14" x14ac:dyDescent="0.35">
      <c r="A1067" t="s">
        <v>2623</v>
      </c>
      <c r="B1067" t="s">
        <v>2812</v>
      </c>
      <c r="C1067" t="s">
        <v>1392</v>
      </c>
      <c r="D1067">
        <v>26</v>
      </c>
      <c r="E1067" t="s">
        <v>13</v>
      </c>
      <c r="F1067" s="1">
        <v>44497</v>
      </c>
      <c r="G1067" s="1">
        <v>46056</v>
      </c>
      <c r="H1067" t="s">
        <v>14</v>
      </c>
      <c r="I1067" t="s">
        <v>2778</v>
      </c>
      <c r="J1067">
        <v>264215</v>
      </c>
      <c r="K1067" t="s">
        <v>30</v>
      </c>
      <c r="L1067" t="str">
        <f t="shared" si="48"/>
        <v>Available</v>
      </c>
      <c r="M1067">
        <f t="shared" si="49"/>
        <v>0</v>
      </c>
      <c r="N1067">
        <f t="shared" si="50"/>
        <v>1</v>
      </c>
    </row>
    <row r="1068" spans="1:14" x14ac:dyDescent="0.35">
      <c r="A1068" t="s">
        <v>2624</v>
      </c>
      <c r="B1068" t="s">
        <v>2790</v>
      </c>
      <c r="C1068" t="s">
        <v>1393</v>
      </c>
      <c r="D1068">
        <v>24</v>
      </c>
      <c r="E1068" t="s">
        <v>13</v>
      </c>
      <c r="F1068" s="1">
        <v>44497</v>
      </c>
      <c r="G1068" s="1">
        <v>46060</v>
      </c>
      <c r="H1068" t="s">
        <v>14</v>
      </c>
      <c r="I1068" s="2">
        <v>24805</v>
      </c>
      <c r="J1068">
        <v>262617</v>
      </c>
      <c r="K1068" t="s">
        <v>30</v>
      </c>
      <c r="L1068" t="str">
        <f t="shared" si="48"/>
        <v>Available</v>
      </c>
      <c r="M1068">
        <f t="shared" si="49"/>
        <v>0</v>
      </c>
      <c r="N1068">
        <f t="shared" si="50"/>
        <v>1</v>
      </c>
    </row>
    <row r="1069" spans="1:14" x14ac:dyDescent="0.35">
      <c r="A1069" t="s">
        <v>2625</v>
      </c>
      <c r="B1069" t="s">
        <v>2899</v>
      </c>
      <c r="C1069" t="s">
        <v>1394</v>
      </c>
      <c r="D1069">
        <v>24</v>
      </c>
      <c r="E1069" t="s">
        <v>13</v>
      </c>
      <c r="F1069" s="1">
        <v>44497</v>
      </c>
      <c r="G1069" s="1">
        <v>46059</v>
      </c>
      <c r="H1069" t="s">
        <v>14</v>
      </c>
      <c r="I1069" t="s">
        <v>2778</v>
      </c>
      <c r="J1069">
        <v>266451</v>
      </c>
      <c r="K1069" t="s">
        <v>30</v>
      </c>
      <c r="L1069" t="str">
        <f t="shared" si="48"/>
        <v>Available</v>
      </c>
      <c r="M1069">
        <f t="shared" si="49"/>
        <v>0</v>
      </c>
      <c r="N1069">
        <f t="shared" si="50"/>
        <v>1</v>
      </c>
    </row>
    <row r="1070" spans="1:14" x14ac:dyDescent="0.35">
      <c r="A1070" t="s">
        <v>2626</v>
      </c>
      <c r="B1070" t="s">
        <v>152</v>
      </c>
      <c r="C1070" t="s">
        <v>1396</v>
      </c>
      <c r="D1070">
        <v>24</v>
      </c>
      <c r="E1070" t="s">
        <v>13</v>
      </c>
      <c r="F1070" s="1">
        <v>44980</v>
      </c>
      <c r="G1070" s="1">
        <v>46057</v>
      </c>
      <c r="H1070" t="s">
        <v>14</v>
      </c>
      <c r="I1070" t="s">
        <v>2778</v>
      </c>
      <c r="J1070">
        <v>266638</v>
      </c>
      <c r="K1070" t="s">
        <v>15</v>
      </c>
      <c r="L1070" t="str">
        <f t="shared" si="48"/>
        <v>Available</v>
      </c>
      <c r="M1070">
        <f t="shared" si="49"/>
        <v>1</v>
      </c>
      <c r="N1070">
        <f t="shared" si="50"/>
        <v>1</v>
      </c>
    </row>
    <row r="1071" spans="1:14" x14ac:dyDescent="0.35">
      <c r="A1071" t="s">
        <v>2627</v>
      </c>
      <c r="B1071" t="s">
        <v>1099</v>
      </c>
      <c r="C1071" t="s">
        <v>1397</v>
      </c>
      <c r="D1071">
        <v>8</v>
      </c>
      <c r="E1071" t="s">
        <v>13</v>
      </c>
      <c r="F1071" s="1">
        <v>44497</v>
      </c>
      <c r="G1071" s="1">
        <v>46059</v>
      </c>
      <c r="H1071" t="s">
        <v>14</v>
      </c>
      <c r="I1071" s="2">
        <v>16560542</v>
      </c>
      <c r="J1071">
        <v>267040</v>
      </c>
      <c r="K1071" t="s">
        <v>15</v>
      </c>
      <c r="L1071" t="str">
        <f t="shared" si="48"/>
        <v>Available</v>
      </c>
      <c r="M1071">
        <f t="shared" si="49"/>
        <v>1</v>
      </c>
      <c r="N1071">
        <f t="shared" si="50"/>
        <v>1</v>
      </c>
    </row>
    <row r="1072" spans="1:14" x14ac:dyDescent="0.35">
      <c r="A1072" t="s">
        <v>2628</v>
      </c>
      <c r="B1072" t="s">
        <v>2778</v>
      </c>
      <c r="C1072" t="s">
        <v>1398</v>
      </c>
      <c r="D1072">
        <v>24</v>
      </c>
      <c r="E1072" t="s">
        <v>13</v>
      </c>
      <c r="F1072" s="1">
        <v>44497</v>
      </c>
      <c r="G1072" s="1">
        <v>46059</v>
      </c>
      <c r="H1072" t="s">
        <v>14</v>
      </c>
      <c r="I1072" s="2">
        <v>17071006</v>
      </c>
      <c r="J1072">
        <v>264583</v>
      </c>
      <c r="K1072" t="s">
        <v>30</v>
      </c>
      <c r="L1072" t="str">
        <f t="shared" si="48"/>
        <v>Missing</v>
      </c>
      <c r="M1072">
        <f t="shared" si="49"/>
        <v>0</v>
      </c>
      <c r="N1072">
        <f t="shared" si="50"/>
        <v>0</v>
      </c>
    </row>
    <row r="1073" spans="1:14" x14ac:dyDescent="0.35">
      <c r="A1073" t="s">
        <v>2629</v>
      </c>
      <c r="B1073" t="s">
        <v>2778</v>
      </c>
      <c r="C1073" t="s">
        <v>1399</v>
      </c>
      <c r="D1073">
        <v>16</v>
      </c>
      <c r="E1073" t="s">
        <v>13</v>
      </c>
      <c r="F1073" s="1">
        <v>44500</v>
      </c>
      <c r="G1073" s="1">
        <v>46059</v>
      </c>
      <c r="H1073" t="s">
        <v>14</v>
      </c>
      <c r="I1073" t="s">
        <v>2778</v>
      </c>
      <c r="J1073">
        <v>264247</v>
      </c>
      <c r="K1073" t="s">
        <v>15</v>
      </c>
      <c r="L1073" t="str">
        <f t="shared" si="48"/>
        <v>Missing</v>
      </c>
      <c r="M1073">
        <f t="shared" si="49"/>
        <v>1</v>
      </c>
      <c r="N1073">
        <f t="shared" si="50"/>
        <v>0</v>
      </c>
    </row>
    <row r="1074" spans="1:14" x14ac:dyDescent="0.35">
      <c r="A1074" t="s">
        <v>2630</v>
      </c>
      <c r="B1074" t="s">
        <v>2836</v>
      </c>
      <c r="C1074" t="s">
        <v>1400</v>
      </c>
      <c r="F1074" s="1">
        <v>44866</v>
      </c>
      <c r="G1074" s="1">
        <v>45099</v>
      </c>
      <c r="H1074" t="s">
        <v>14</v>
      </c>
      <c r="I1074" t="s">
        <v>2778</v>
      </c>
      <c r="J1074">
        <v>264429</v>
      </c>
      <c r="K1074" t="s">
        <v>30</v>
      </c>
      <c r="L1074" t="str">
        <f t="shared" si="48"/>
        <v>Available</v>
      </c>
      <c r="M1074">
        <f t="shared" si="49"/>
        <v>0</v>
      </c>
      <c r="N1074">
        <f t="shared" si="50"/>
        <v>1</v>
      </c>
    </row>
    <row r="1075" spans="1:14" x14ac:dyDescent="0.35">
      <c r="A1075" t="s">
        <v>2631</v>
      </c>
      <c r="B1075" t="s">
        <v>875</v>
      </c>
      <c r="C1075" t="s">
        <v>1401</v>
      </c>
      <c r="D1075">
        <v>24</v>
      </c>
      <c r="E1075" t="s">
        <v>13</v>
      </c>
      <c r="F1075" s="1">
        <v>44713</v>
      </c>
      <c r="G1075" s="1">
        <v>46057</v>
      </c>
      <c r="H1075" t="s">
        <v>14</v>
      </c>
      <c r="I1075" s="2">
        <v>21511066</v>
      </c>
      <c r="J1075">
        <v>262133</v>
      </c>
      <c r="K1075" t="s">
        <v>15</v>
      </c>
      <c r="L1075" t="str">
        <f t="shared" si="48"/>
        <v>Available</v>
      </c>
      <c r="M1075">
        <f t="shared" si="49"/>
        <v>1</v>
      </c>
      <c r="N1075">
        <f t="shared" si="50"/>
        <v>1</v>
      </c>
    </row>
    <row r="1076" spans="1:14" x14ac:dyDescent="0.35">
      <c r="A1076" t="s">
        <v>2632</v>
      </c>
      <c r="B1076" t="s">
        <v>1109</v>
      </c>
      <c r="C1076" t="s">
        <v>1402</v>
      </c>
      <c r="D1076">
        <v>24</v>
      </c>
      <c r="E1076" t="s">
        <v>13</v>
      </c>
      <c r="F1076" s="1">
        <v>44497</v>
      </c>
      <c r="G1076" s="1">
        <v>46059</v>
      </c>
      <c r="H1076" t="s">
        <v>14</v>
      </c>
      <c r="I1076" s="2">
        <v>424842</v>
      </c>
      <c r="J1076">
        <v>264764</v>
      </c>
      <c r="K1076" t="s">
        <v>15</v>
      </c>
      <c r="L1076" t="str">
        <f t="shared" si="48"/>
        <v>Available</v>
      </c>
      <c r="M1076">
        <f t="shared" si="49"/>
        <v>1</v>
      </c>
      <c r="N1076">
        <f t="shared" si="50"/>
        <v>1</v>
      </c>
    </row>
    <row r="1077" spans="1:14" x14ac:dyDescent="0.35">
      <c r="A1077" t="s">
        <v>2633</v>
      </c>
      <c r="B1077" t="s">
        <v>47</v>
      </c>
      <c r="C1077" t="s">
        <v>1403</v>
      </c>
      <c r="D1077">
        <v>45</v>
      </c>
      <c r="E1077" t="s">
        <v>13</v>
      </c>
      <c r="F1077" s="1">
        <v>44501</v>
      </c>
      <c r="G1077" s="1">
        <v>45744</v>
      </c>
      <c r="H1077" t="s">
        <v>14</v>
      </c>
      <c r="I1077" t="s">
        <v>2778</v>
      </c>
      <c r="J1077">
        <v>264706</v>
      </c>
      <c r="K1077" t="s">
        <v>30</v>
      </c>
      <c r="L1077" t="str">
        <f t="shared" si="48"/>
        <v>Available</v>
      </c>
      <c r="M1077">
        <f t="shared" si="49"/>
        <v>0</v>
      </c>
      <c r="N1077">
        <f t="shared" si="50"/>
        <v>1</v>
      </c>
    </row>
    <row r="1078" spans="1:14" x14ac:dyDescent="0.35">
      <c r="A1078" t="s">
        <v>2634</v>
      </c>
      <c r="B1078" t="s">
        <v>152</v>
      </c>
      <c r="C1078" t="s">
        <v>1404</v>
      </c>
      <c r="D1078">
        <v>24</v>
      </c>
      <c r="E1078" t="s">
        <v>13</v>
      </c>
      <c r="F1078" s="1">
        <v>44980</v>
      </c>
      <c r="G1078" s="1">
        <v>46057</v>
      </c>
      <c r="H1078" t="s">
        <v>14</v>
      </c>
      <c r="I1078" t="s">
        <v>2778</v>
      </c>
      <c r="J1078">
        <v>261571</v>
      </c>
      <c r="K1078" t="s">
        <v>30</v>
      </c>
      <c r="L1078" t="str">
        <f t="shared" si="48"/>
        <v>Available</v>
      </c>
      <c r="M1078">
        <f t="shared" si="49"/>
        <v>0</v>
      </c>
      <c r="N1078">
        <f t="shared" si="50"/>
        <v>1</v>
      </c>
    </row>
    <row r="1079" spans="1:14" x14ac:dyDescent="0.35">
      <c r="A1079" t="s">
        <v>2635</v>
      </c>
      <c r="B1079" t="s">
        <v>2819</v>
      </c>
      <c r="C1079" t="s">
        <v>1405</v>
      </c>
      <c r="D1079">
        <v>24</v>
      </c>
      <c r="E1079" t="s">
        <v>13</v>
      </c>
      <c r="F1079" s="1">
        <v>44497</v>
      </c>
      <c r="G1079" s="1">
        <v>46059</v>
      </c>
      <c r="H1079" t="s">
        <v>14</v>
      </c>
      <c r="I1079" s="2">
        <v>98559</v>
      </c>
      <c r="J1079">
        <v>264281</v>
      </c>
      <c r="K1079" t="s">
        <v>30</v>
      </c>
      <c r="L1079" t="str">
        <f t="shared" si="48"/>
        <v>Available</v>
      </c>
      <c r="M1079">
        <f t="shared" si="49"/>
        <v>0</v>
      </c>
      <c r="N1079">
        <f t="shared" si="50"/>
        <v>1</v>
      </c>
    </row>
    <row r="1080" spans="1:14" x14ac:dyDescent="0.35">
      <c r="A1080" t="s">
        <v>2636</v>
      </c>
      <c r="B1080" t="s">
        <v>25</v>
      </c>
      <c r="C1080" t="s">
        <v>1406</v>
      </c>
      <c r="D1080">
        <v>45</v>
      </c>
      <c r="E1080" t="s">
        <v>13</v>
      </c>
      <c r="F1080" s="1">
        <v>44497</v>
      </c>
      <c r="G1080" s="1">
        <v>46060</v>
      </c>
      <c r="H1080" t="s">
        <v>14</v>
      </c>
      <c r="I1080" s="2">
        <v>19950576</v>
      </c>
      <c r="J1080">
        <v>266329</v>
      </c>
      <c r="K1080" t="s">
        <v>30</v>
      </c>
      <c r="L1080" t="str">
        <f t="shared" si="48"/>
        <v>Available</v>
      </c>
      <c r="M1080">
        <f t="shared" si="49"/>
        <v>0</v>
      </c>
      <c r="N1080">
        <f t="shared" si="50"/>
        <v>1</v>
      </c>
    </row>
    <row r="1081" spans="1:14" x14ac:dyDescent="0.35">
      <c r="A1081" t="s">
        <v>2637</v>
      </c>
      <c r="B1081" t="s">
        <v>1408</v>
      </c>
      <c r="C1081" t="s">
        <v>1407</v>
      </c>
      <c r="D1081">
        <v>24</v>
      </c>
      <c r="E1081" t="s">
        <v>13</v>
      </c>
      <c r="F1081" s="1">
        <v>44500</v>
      </c>
      <c r="G1081" s="1">
        <v>46059</v>
      </c>
      <c r="H1081" t="s">
        <v>14</v>
      </c>
      <c r="I1081" t="s">
        <v>2778</v>
      </c>
      <c r="J1081">
        <v>264025</v>
      </c>
      <c r="K1081" t="s">
        <v>30</v>
      </c>
      <c r="L1081" t="str">
        <f t="shared" si="48"/>
        <v>Available</v>
      </c>
      <c r="M1081">
        <f t="shared" si="49"/>
        <v>0</v>
      </c>
      <c r="N1081">
        <f t="shared" si="50"/>
        <v>1</v>
      </c>
    </row>
    <row r="1082" spans="1:14" x14ac:dyDescent="0.35">
      <c r="A1082" t="s">
        <v>2638</v>
      </c>
      <c r="B1082" t="s">
        <v>668</v>
      </c>
      <c r="C1082" t="s">
        <v>1409</v>
      </c>
      <c r="D1082">
        <v>24</v>
      </c>
      <c r="E1082" t="s">
        <v>13</v>
      </c>
      <c r="F1082" s="1">
        <v>44497</v>
      </c>
      <c r="G1082" s="1">
        <v>46059</v>
      </c>
      <c r="H1082" t="s">
        <v>14</v>
      </c>
      <c r="I1082" s="2">
        <v>2581475</v>
      </c>
      <c r="J1082">
        <v>264660</v>
      </c>
      <c r="K1082" t="s">
        <v>30</v>
      </c>
      <c r="L1082" t="str">
        <f t="shared" si="48"/>
        <v>Available</v>
      </c>
      <c r="M1082">
        <f t="shared" si="49"/>
        <v>0</v>
      </c>
      <c r="N1082">
        <f t="shared" si="50"/>
        <v>1</v>
      </c>
    </row>
    <row r="1083" spans="1:14" x14ac:dyDescent="0.35">
      <c r="A1083" t="s">
        <v>2639</v>
      </c>
      <c r="B1083" t="s">
        <v>242</v>
      </c>
      <c r="C1083" t="s">
        <v>1410</v>
      </c>
      <c r="D1083">
        <v>32</v>
      </c>
      <c r="E1083" t="s">
        <v>13</v>
      </c>
      <c r="F1083" s="1">
        <v>44500</v>
      </c>
      <c r="G1083" s="1">
        <v>46059</v>
      </c>
      <c r="H1083" t="s">
        <v>14</v>
      </c>
      <c r="I1083" s="2">
        <v>227969</v>
      </c>
      <c r="J1083">
        <v>266391</v>
      </c>
      <c r="K1083" t="s">
        <v>30</v>
      </c>
      <c r="L1083" t="str">
        <f t="shared" si="48"/>
        <v>Available</v>
      </c>
      <c r="M1083">
        <f t="shared" si="49"/>
        <v>0</v>
      </c>
      <c r="N1083">
        <f t="shared" si="50"/>
        <v>1</v>
      </c>
    </row>
    <row r="1084" spans="1:14" x14ac:dyDescent="0.35">
      <c r="A1084" t="s">
        <v>2640</v>
      </c>
      <c r="B1084" t="s">
        <v>147</v>
      </c>
      <c r="C1084" t="s">
        <v>1411</v>
      </c>
      <c r="D1084">
        <v>24</v>
      </c>
      <c r="E1084" t="s">
        <v>35</v>
      </c>
      <c r="F1084" s="1">
        <v>44497</v>
      </c>
      <c r="G1084" s="1">
        <v>46060</v>
      </c>
      <c r="H1084" t="s">
        <v>14</v>
      </c>
      <c r="I1084" s="2">
        <v>24822</v>
      </c>
      <c r="J1084">
        <v>261798</v>
      </c>
      <c r="K1084" t="s">
        <v>30</v>
      </c>
      <c r="L1084" t="str">
        <f t="shared" si="48"/>
        <v>Available</v>
      </c>
      <c r="M1084">
        <f t="shared" si="49"/>
        <v>0</v>
      </c>
      <c r="N1084">
        <f t="shared" si="50"/>
        <v>1</v>
      </c>
    </row>
    <row r="1085" spans="1:14" x14ac:dyDescent="0.35">
      <c r="A1085" t="s">
        <v>2641</v>
      </c>
      <c r="B1085" t="s">
        <v>2900</v>
      </c>
      <c r="C1085" t="s">
        <v>1412</v>
      </c>
      <c r="D1085">
        <v>11</v>
      </c>
      <c r="E1085" t="s">
        <v>13</v>
      </c>
      <c r="F1085" s="1">
        <v>44500</v>
      </c>
      <c r="G1085" s="1">
        <v>46057</v>
      </c>
      <c r="H1085" t="s">
        <v>14</v>
      </c>
      <c r="I1085" t="s">
        <v>2778</v>
      </c>
      <c r="J1085">
        <v>266435</v>
      </c>
      <c r="K1085" t="s">
        <v>15</v>
      </c>
      <c r="L1085" t="str">
        <f t="shared" si="48"/>
        <v>Available</v>
      </c>
      <c r="M1085">
        <f t="shared" si="49"/>
        <v>1</v>
      </c>
      <c r="N1085">
        <f t="shared" si="50"/>
        <v>1</v>
      </c>
    </row>
    <row r="1086" spans="1:14" x14ac:dyDescent="0.35">
      <c r="A1086" t="s">
        <v>2642</v>
      </c>
      <c r="B1086" t="s">
        <v>2898</v>
      </c>
      <c r="C1086" t="s">
        <v>1414</v>
      </c>
      <c r="D1086">
        <v>24</v>
      </c>
      <c r="E1086" t="s">
        <v>13</v>
      </c>
      <c r="F1086" s="1">
        <v>44497</v>
      </c>
      <c r="G1086" s="1">
        <v>46059</v>
      </c>
      <c r="H1086" t="s">
        <v>14</v>
      </c>
      <c r="I1086" s="2">
        <v>17316372</v>
      </c>
      <c r="J1086">
        <v>261718</v>
      </c>
      <c r="K1086" t="s">
        <v>30</v>
      </c>
      <c r="L1086" t="str">
        <f t="shared" si="48"/>
        <v>Available</v>
      </c>
      <c r="M1086">
        <f t="shared" si="49"/>
        <v>0</v>
      </c>
      <c r="N1086">
        <f t="shared" si="50"/>
        <v>1</v>
      </c>
    </row>
    <row r="1087" spans="1:14" x14ac:dyDescent="0.35">
      <c r="A1087" t="s">
        <v>2643</v>
      </c>
      <c r="B1087" t="s">
        <v>575</v>
      </c>
      <c r="C1087" t="s">
        <v>1415</v>
      </c>
      <c r="D1087">
        <v>25</v>
      </c>
      <c r="E1087" t="s">
        <v>13</v>
      </c>
      <c r="F1087" s="1">
        <v>44500</v>
      </c>
      <c r="G1087" s="1">
        <v>46059</v>
      </c>
      <c r="H1087" t="s">
        <v>14</v>
      </c>
      <c r="I1087" s="2">
        <v>159299</v>
      </c>
      <c r="J1087">
        <v>264469</v>
      </c>
      <c r="K1087" t="s">
        <v>30</v>
      </c>
      <c r="L1087" t="str">
        <f t="shared" si="48"/>
        <v>Available</v>
      </c>
      <c r="M1087">
        <f t="shared" si="49"/>
        <v>0</v>
      </c>
      <c r="N1087">
        <f t="shared" si="50"/>
        <v>1</v>
      </c>
    </row>
    <row r="1088" spans="1:14" x14ac:dyDescent="0.35">
      <c r="A1088" t="s">
        <v>2644</v>
      </c>
      <c r="B1088" t="s">
        <v>103</v>
      </c>
      <c r="C1088" t="s">
        <v>1416</v>
      </c>
      <c r="D1088">
        <v>24</v>
      </c>
      <c r="E1088" t="s">
        <v>13</v>
      </c>
      <c r="F1088" s="1">
        <v>45529</v>
      </c>
      <c r="G1088" s="1">
        <v>46058</v>
      </c>
      <c r="H1088" t="s">
        <v>14</v>
      </c>
      <c r="I1088" t="s">
        <v>2778</v>
      </c>
      <c r="J1088">
        <v>261865</v>
      </c>
      <c r="K1088" t="s">
        <v>15</v>
      </c>
      <c r="L1088" t="str">
        <f t="shared" si="48"/>
        <v>Available</v>
      </c>
      <c r="M1088">
        <f t="shared" si="49"/>
        <v>1</v>
      </c>
      <c r="N1088">
        <f t="shared" si="50"/>
        <v>1</v>
      </c>
    </row>
    <row r="1089" spans="1:14" x14ac:dyDescent="0.35">
      <c r="A1089" t="s">
        <v>2645</v>
      </c>
      <c r="B1089" t="s">
        <v>2778</v>
      </c>
      <c r="C1089" t="s">
        <v>1417</v>
      </c>
      <c r="D1089">
        <v>20.46</v>
      </c>
      <c r="E1089" t="s">
        <v>13</v>
      </c>
      <c r="F1089" s="1">
        <v>44497</v>
      </c>
      <c r="G1089" s="1">
        <v>46059</v>
      </c>
      <c r="H1089" t="s">
        <v>14</v>
      </c>
      <c r="I1089" s="2">
        <v>19853670</v>
      </c>
      <c r="J1089">
        <v>262127</v>
      </c>
      <c r="K1089" t="s">
        <v>30</v>
      </c>
      <c r="L1089" t="str">
        <f t="shared" si="48"/>
        <v>Missing</v>
      </c>
      <c r="M1089">
        <f t="shared" si="49"/>
        <v>0</v>
      </c>
      <c r="N1089">
        <f t="shared" si="50"/>
        <v>0</v>
      </c>
    </row>
    <row r="1090" spans="1:14" x14ac:dyDescent="0.35">
      <c r="A1090" t="s">
        <v>2646</v>
      </c>
      <c r="B1090" t="s">
        <v>439</v>
      </c>
      <c r="C1090" t="s">
        <v>1418</v>
      </c>
      <c r="D1090">
        <v>45</v>
      </c>
      <c r="E1090" t="s">
        <v>13</v>
      </c>
      <c r="F1090" s="1">
        <v>44497</v>
      </c>
      <c r="G1090" s="1">
        <v>46059</v>
      </c>
      <c r="H1090" t="s">
        <v>14</v>
      </c>
      <c r="I1090" s="2">
        <v>16983264</v>
      </c>
      <c r="J1090">
        <v>261740</v>
      </c>
      <c r="K1090" t="s">
        <v>30</v>
      </c>
      <c r="L1090" t="str">
        <f t="shared" si="48"/>
        <v>Available</v>
      </c>
      <c r="M1090">
        <f t="shared" si="49"/>
        <v>0</v>
      </c>
      <c r="N1090">
        <f t="shared" si="50"/>
        <v>1</v>
      </c>
    </row>
    <row r="1091" spans="1:14" x14ac:dyDescent="0.35">
      <c r="A1091" t="s">
        <v>2647</v>
      </c>
      <c r="B1091" t="s">
        <v>55</v>
      </c>
      <c r="C1091" t="s">
        <v>1419</v>
      </c>
      <c r="D1091">
        <v>12</v>
      </c>
      <c r="E1091" t="s">
        <v>13</v>
      </c>
      <c r="F1091" s="1">
        <v>45196</v>
      </c>
      <c r="G1091" s="1">
        <v>46058</v>
      </c>
      <c r="H1091" t="s">
        <v>14</v>
      </c>
      <c r="I1091" s="2">
        <v>34648749</v>
      </c>
      <c r="J1091">
        <v>261833</v>
      </c>
      <c r="K1091" t="s">
        <v>15</v>
      </c>
      <c r="L1091" t="str">
        <f t="shared" ref="L1091:L1154" si="51">IF(OR(B1091="",ISBLANK(B1091)),"Missing","Available")</f>
        <v>Available</v>
      </c>
      <c r="M1091">
        <f t="shared" ref="M1091:M1154" si="52">IF(K1091="Mapped",1,0)</f>
        <v>1</v>
      </c>
      <c r="N1091">
        <f t="shared" ref="N1091:N1154" si="53">IF(AND(B1091&lt;&gt;"",A1091&lt;&gt;""),1,0)</f>
        <v>1</v>
      </c>
    </row>
    <row r="1092" spans="1:14" x14ac:dyDescent="0.35">
      <c r="A1092" t="s">
        <v>2648</v>
      </c>
      <c r="B1092" t="s">
        <v>2820</v>
      </c>
      <c r="C1092" t="s">
        <v>1420</v>
      </c>
      <c r="D1092">
        <v>26</v>
      </c>
      <c r="E1092" t="s">
        <v>13</v>
      </c>
      <c r="F1092" s="1">
        <v>44945</v>
      </c>
      <c r="G1092" s="1">
        <v>46059</v>
      </c>
      <c r="H1092" t="s">
        <v>14</v>
      </c>
      <c r="I1092" s="2">
        <v>29142063</v>
      </c>
      <c r="J1092">
        <v>261767</v>
      </c>
      <c r="K1092" t="s">
        <v>30</v>
      </c>
      <c r="L1092" t="str">
        <f t="shared" si="51"/>
        <v>Available</v>
      </c>
      <c r="M1092">
        <f t="shared" si="52"/>
        <v>0</v>
      </c>
      <c r="N1092">
        <f t="shared" si="53"/>
        <v>1</v>
      </c>
    </row>
    <row r="1093" spans="1:14" x14ac:dyDescent="0.35">
      <c r="A1093" t="s">
        <v>2649</v>
      </c>
      <c r="B1093" t="s">
        <v>2820</v>
      </c>
      <c r="C1093" t="s">
        <v>1421</v>
      </c>
      <c r="D1093">
        <v>26</v>
      </c>
      <c r="E1093" t="s">
        <v>13</v>
      </c>
      <c r="F1093" s="1">
        <v>44934</v>
      </c>
      <c r="G1093" s="1">
        <v>46059</v>
      </c>
      <c r="H1093" t="s">
        <v>14</v>
      </c>
      <c r="I1093" s="2">
        <v>29141971</v>
      </c>
      <c r="J1093">
        <v>264313</v>
      </c>
      <c r="K1093" t="s">
        <v>30</v>
      </c>
      <c r="L1093" t="str">
        <f t="shared" si="51"/>
        <v>Available</v>
      </c>
      <c r="M1093">
        <f t="shared" si="52"/>
        <v>0</v>
      </c>
      <c r="N1093">
        <f t="shared" si="53"/>
        <v>1</v>
      </c>
    </row>
    <row r="1094" spans="1:14" x14ac:dyDescent="0.35">
      <c r="A1094" t="s">
        <v>2650</v>
      </c>
      <c r="B1094" t="s">
        <v>2778</v>
      </c>
      <c r="C1094" t="s">
        <v>1422</v>
      </c>
      <c r="D1094">
        <v>32</v>
      </c>
      <c r="E1094" t="s">
        <v>13</v>
      </c>
      <c r="F1094" s="1">
        <v>44497</v>
      </c>
      <c r="G1094" s="1">
        <v>46058</v>
      </c>
      <c r="H1094" t="s">
        <v>14</v>
      </c>
      <c r="I1094" s="2">
        <v>17454830</v>
      </c>
      <c r="J1094">
        <v>267105</v>
      </c>
      <c r="K1094" t="s">
        <v>15</v>
      </c>
      <c r="L1094" t="str">
        <f t="shared" si="51"/>
        <v>Missing</v>
      </c>
      <c r="M1094">
        <f t="shared" si="52"/>
        <v>1</v>
      </c>
      <c r="N1094">
        <f t="shared" si="53"/>
        <v>0</v>
      </c>
    </row>
    <row r="1095" spans="1:14" x14ac:dyDescent="0.35">
      <c r="A1095" t="s">
        <v>2651</v>
      </c>
      <c r="B1095" t="s">
        <v>2797</v>
      </c>
      <c r="C1095" t="s">
        <v>1423</v>
      </c>
      <c r="D1095">
        <v>24</v>
      </c>
      <c r="E1095" t="s">
        <v>13</v>
      </c>
      <c r="F1095" s="1">
        <v>44497</v>
      </c>
      <c r="G1095" s="1">
        <v>46060</v>
      </c>
      <c r="H1095" t="s">
        <v>14</v>
      </c>
      <c r="I1095" s="2">
        <v>16409978</v>
      </c>
      <c r="J1095">
        <v>266454</v>
      </c>
      <c r="K1095" t="s">
        <v>30</v>
      </c>
      <c r="L1095" t="str">
        <f t="shared" si="51"/>
        <v>Available</v>
      </c>
      <c r="M1095">
        <f t="shared" si="52"/>
        <v>0</v>
      </c>
      <c r="N1095">
        <f t="shared" si="53"/>
        <v>1</v>
      </c>
    </row>
    <row r="1096" spans="1:14" x14ac:dyDescent="0.35">
      <c r="A1096" t="s">
        <v>2652</v>
      </c>
      <c r="B1096" t="s">
        <v>121</v>
      </c>
      <c r="C1096" t="s">
        <v>1424</v>
      </c>
      <c r="D1096">
        <v>24</v>
      </c>
      <c r="E1096" t="s">
        <v>13</v>
      </c>
      <c r="F1096" s="1">
        <v>44497</v>
      </c>
      <c r="G1096" s="1">
        <v>46059</v>
      </c>
      <c r="H1096" t="s">
        <v>14</v>
      </c>
      <c r="I1096" s="2">
        <v>3356571</v>
      </c>
      <c r="J1096">
        <v>266407</v>
      </c>
      <c r="K1096" t="s">
        <v>15</v>
      </c>
      <c r="L1096" t="str">
        <f t="shared" si="51"/>
        <v>Available</v>
      </c>
      <c r="M1096">
        <f t="shared" si="52"/>
        <v>1</v>
      </c>
      <c r="N1096">
        <f t="shared" si="53"/>
        <v>1</v>
      </c>
    </row>
    <row r="1097" spans="1:14" x14ac:dyDescent="0.35">
      <c r="A1097" t="s">
        <v>2653</v>
      </c>
      <c r="B1097" t="s">
        <v>346</v>
      </c>
      <c r="C1097" t="s">
        <v>1425</v>
      </c>
      <c r="D1097">
        <v>24.3</v>
      </c>
      <c r="E1097" t="s">
        <v>13</v>
      </c>
      <c r="F1097" s="1">
        <v>44497</v>
      </c>
      <c r="G1097" s="1">
        <v>46059</v>
      </c>
      <c r="H1097" t="s">
        <v>14</v>
      </c>
      <c r="I1097" s="2">
        <v>168531</v>
      </c>
      <c r="J1097">
        <v>264232</v>
      </c>
      <c r="K1097" t="s">
        <v>30</v>
      </c>
      <c r="L1097" t="str">
        <f t="shared" si="51"/>
        <v>Available</v>
      </c>
      <c r="M1097">
        <f t="shared" si="52"/>
        <v>0</v>
      </c>
      <c r="N1097">
        <f t="shared" si="53"/>
        <v>1</v>
      </c>
    </row>
    <row r="1098" spans="1:14" x14ac:dyDescent="0.35">
      <c r="A1098" t="s">
        <v>2654</v>
      </c>
      <c r="B1098" t="s">
        <v>472</v>
      </c>
      <c r="C1098" t="s">
        <v>1426</v>
      </c>
      <c r="D1098">
        <v>24</v>
      </c>
      <c r="E1098" t="s">
        <v>13</v>
      </c>
      <c r="F1098" s="1">
        <v>44497</v>
      </c>
      <c r="G1098" s="1">
        <v>46059</v>
      </c>
      <c r="H1098" t="s">
        <v>14</v>
      </c>
      <c r="I1098" s="2">
        <v>333876</v>
      </c>
      <c r="J1098">
        <v>266829</v>
      </c>
      <c r="K1098" t="s">
        <v>15</v>
      </c>
      <c r="L1098" t="str">
        <f t="shared" si="51"/>
        <v>Available</v>
      </c>
      <c r="M1098">
        <f t="shared" si="52"/>
        <v>1</v>
      </c>
      <c r="N1098">
        <f t="shared" si="53"/>
        <v>1</v>
      </c>
    </row>
    <row r="1099" spans="1:14" x14ac:dyDescent="0.35">
      <c r="A1099" t="s">
        <v>2655</v>
      </c>
      <c r="B1099" t="s">
        <v>21</v>
      </c>
      <c r="C1099" t="s">
        <v>1427</v>
      </c>
      <c r="D1099">
        <v>24</v>
      </c>
      <c r="E1099" t="s">
        <v>13</v>
      </c>
      <c r="F1099" s="1">
        <v>44497</v>
      </c>
      <c r="G1099" s="1">
        <v>46058</v>
      </c>
      <c r="H1099" t="s">
        <v>14</v>
      </c>
      <c r="I1099" s="2">
        <v>53417</v>
      </c>
      <c r="J1099">
        <v>261543</v>
      </c>
      <c r="K1099" t="s">
        <v>30</v>
      </c>
      <c r="L1099" t="str">
        <f t="shared" si="51"/>
        <v>Available</v>
      </c>
      <c r="M1099">
        <f t="shared" si="52"/>
        <v>0</v>
      </c>
      <c r="N1099">
        <f t="shared" si="53"/>
        <v>1</v>
      </c>
    </row>
    <row r="1100" spans="1:14" x14ac:dyDescent="0.35">
      <c r="A1100" t="s">
        <v>2656</v>
      </c>
      <c r="B1100" t="s">
        <v>2901</v>
      </c>
      <c r="C1100" t="s">
        <v>1428</v>
      </c>
      <c r="D1100">
        <v>24</v>
      </c>
      <c r="E1100" t="s">
        <v>13</v>
      </c>
      <c r="F1100" s="1">
        <v>44497</v>
      </c>
      <c r="G1100" s="1">
        <v>46059</v>
      </c>
      <c r="H1100" t="s">
        <v>14</v>
      </c>
      <c r="I1100" s="2">
        <v>91511</v>
      </c>
      <c r="J1100">
        <v>264471</v>
      </c>
      <c r="K1100" t="s">
        <v>30</v>
      </c>
      <c r="L1100" t="str">
        <f t="shared" si="51"/>
        <v>Available</v>
      </c>
      <c r="M1100">
        <f t="shared" si="52"/>
        <v>0</v>
      </c>
      <c r="N1100">
        <f t="shared" si="53"/>
        <v>1</v>
      </c>
    </row>
    <row r="1101" spans="1:14" x14ac:dyDescent="0.35">
      <c r="A1101" t="s">
        <v>2657</v>
      </c>
      <c r="B1101" t="s">
        <v>2807</v>
      </c>
      <c r="C1101" t="s">
        <v>1430</v>
      </c>
      <c r="D1101">
        <v>24</v>
      </c>
      <c r="E1101" t="s">
        <v>13</v>
      </c>
      <c r="F1101" s="1">
        <v>44935</v>
      </c>
      <c r="G1101" s="1">
        <v>46060</v>
      </c>
      <c r="H1101" t="s">
        <v>14</v>
      </c>
      <c r="I1101" s="2">
        <v>29203294</v>
      </c>
      <c r="J1101">
        <v>267037</v>
      </c>
      <c r="K1101" t="s">
        <v>15</v>
      </c>
      <c r="L1101" t="str">
        <f t="shared" si="51"/>
        <v>Available</v>
      </c>
      <c r="M1101">
        <f t="shared" si="52"/>
        <v>1</v>
      </c>
      <c r="N1101">
        <f t="shared" si="53"/>
        <v>1</v>
      </c>
    </row>
    <row r="1102" spans="1:14" x14ac:dyDescent="0.35">
      <c r="A1102" t="s">
        <v>2658</v>
      </c>
      <c r="B1102" t="s">
        <v>1014</v>
      </c>
      <c r="C1102" t="s">
        <v>1431</v>
      </c>
      <c r="D1102">
        <v>26</v>
      </c>
      <c r="E1102" t="s">
        <v>13</v>
      </c>
      <c r="F1102" s="1">
        <v>44502</v>
      </c>
      <c r="G1102" s="1">
        <v>45683</v>
      </c>
      <c r="H1102" t="s">
        <v>14</v>
      </c>
      <c r="I1102" t="s">
        <v>2778</v>
      </c>
      <c r="J1102">
        <v>261810</v>
      </c>
      <c r="K1102" t="s">
        <v>15</v>
      </c>
      <c r="L1102" t="str">
        <f t="shared" si="51"/>
        <v>Available</v>
      </c>
      <c r="M1102">
        <f t="shared" si="52"/>
        <v>1</v>
      </c>
      <c r="N1102">
        <f t="shared" si="53"/>
        <v>1</v>
      </c>
    </row>
    <row r="1103" spans="1:14" x14ac:dyDescent="0.35">
      <c r="A1103" t="s">
        <v>2659</v>
      </c>
      <c r="B1103" t="s">
        <v>58</v>
      </c>
      <c r="C1103" t="s">
        <v>1432</v>
      </c>
      <c r="D1103">
        <v>24</v>
      </c>
      <c r="E1103" t="s">
        <v>13</v>
      </c>
      <c r="F1103" s="1">
        <v>44497</v>
      </c>
      <c r="G1103" s="1">
        <v>46059</v>
      </c>
      <c r="H1103" t="s">
        <v>14</v>
      </c>
      <c r="I1103" s="2">
        <v>73908</v>
      </c>
      <c r="J1103">
        <v>262289</v>
      </c>
      <c r="K1103" t="s">
        <v>15</v>
      </c>
      <c r="L1103" t="str">
        <f t="shared" si="51"/>
        <v>Available</v>
      </c>
      <c r="M1103">
        <f t="shared" si="52"/>
        <v>1</v>
      </c>
      <c r="N1103">
        <f t="shared" si="53"/>
        <v>1</v>
      </c>
    </row>
    <row r="1104" spans="1:14" x14ac:dyDescent="0.35">
      <c r="A1104" t="s">
        <v>2660</v>
      </c>
      <c r="B1104" t="s">
        <v>58</v>
      </c>
      <c r="C1104" t="s">
        <v>1433</v>
      </c>
      <c r="D1104">
        <v>20.288091000000001</v>
      </c>
      <c r="E1104" t="s">
        <v>35</v>
      </c>
      <c r="F1104" s="1">
        <v>45631</v>
      </c>
      <c r="G1104" s="1">
        <v>46058</v>
      </c>
      <c r="H1104" t="s">
        <v>14</v>
      </c>
      <c r="I1104" t="s">
        <v>2778</v>
      </c>
      <c r="J1104">
        <v>261579</v>
      </c>
      <c r="K1104" t="s">
        <v>30</v>
      </c>
      <c r="L1104" t="str">
        <f t="shared" si="51"/>
        <v>Available</v>
      </c>
      <c r="M1104">
        <f t="shared" si="52"/>
        <v>0</v>
      </c>
      <c r="N1104">
        <f t="shared" si="53"/>
        <v>1</v>
      </c>
    </row>
    <row r="1105" spans="1:14" x14ac:dyDescent="0.35">
      <c r="A1105" t="s">
        <v>2661</v>
      </c>
      <c r="B1105" t="s">
        <v>2809</v>
      </c>
      <c r="C1105" t="s">
        <v>1434</v>
      </c>
      <c r="D1105">
        <v>24</v>
      </c>
      <c r="E1105" t="s">
        <v>13</v>
      </c>
      <c r="F1105" s="1">
        <v>44497</v>
      </c>
      <c r="G1105" s="1">
        <v>46060</v>
      </c>
      <c r="H1105" t="s">
        <v>14</v>
      </c>
      <c r="I1105" t="s">
        <v>2786</v>
      </c>
      <c r="J1105" t="s">
        <v>1435</v>
      </c>
      <c r="K1105" t="s">
        <v>30</v>
      </c>
      <c r="L1105" t="str">
        <f t="shared" si="51"/>
        <v>Available</v>
      </c>
      <c r="M1105">
        <f t="shared" si="52"/>
        <v>0</v>
      </c>
      <c r="N1105">
        <f t="shared" si="53"/>
        <v>1</v>
      </c>
    </row>
    <row r="1106" spans="1:14" x14ac:dyDescent="0.35">
      <c r="A1106" t="s">
        <v>2662</v>
      </c>
      <c r="B1106" t="s">
        <v>25</v>
      </c>
      <c r="C1106" t="s">
        <v>1436</v>
      </c>
      <c r="D1106">
        <v>67</v>
      </c>
      <c r="E1106" t="s">
        <v>13</v>
      </c>
      <c r="F1106" s="1">
        <v>44497</v>
      </c>
      <c r="G1106" s="1">
        <v>46060</v>
      </c>
      <c r="H1106" t="s">
        <v>14</v>
      </c>
      <c r="I1106" s="2">
        <v>36107</v>
      </c>
      <c r="J1106">
        <v>262628</v>
      </c>
      <c r="K1106" t="s">
        <v>30</v>
      </c>
      <c r="L1106" t="str">
        <f t="shared" si="51"/>
        <v>Available</v>
      </c>
      <c r="M1106">
        <f t="shared" si="52"/>
        <v>0</v>
      </c>
      <c r="N1106">
        <f t="shared" si="53"/>
        <v>1</v>
      </c>
    </row>
    <row r="1107" spans="1:14" x14ac:dyDescent="0.35">
      <c r="A1107" t="s">
        <v>2663</v>
      </c>
      <c r="B1107" t="s">
        <v>2817</v>
      </c>
      <c r="C1107" t="s">
        <v>1437</v>
      </c>
      <c r="D1107">
        <v>25.5</v>
      </c>
      <c r="E1107" t="s">
        <v>13</v>
      </c>
      <c r="F1107" s="1">
        <v>44497</v>
      </c>
      <c r="G1107" s="1">
        <v>46059</v>
      </c>
      <c r="H1107" t="s">
        <v>14</v>
      </c>
      <c r="I1107" s="2">
        <v>49168</v>
      </c>
      <c r="J1107">
        <v>264067</v>
      </c>
      <c r="K1107" t="s">
        <v>15</v>
      </c>
      <c r="L1107" t="str">
        <f t="shared" si="51"/>
        <v>Available</v>
      </c>
      <c r="M1107">
        <f t="shared" si="52"/>
        <v>1</v>
      </c>
      <c r="N1107">
        <f t="shared" si="53"/>
        <v>1</v>
      </c>
    </row>
    <row r="1108" spans="1:14" x14ac:dyDescent="0.35">
      <c r="A1108" t="s">
        <v>2664</v>
      </c>
      <c r="B1108" t="s">
        <v>121</v>
      </c>
      <c r="C1108" t="s">
        <v>1438</v>
      </c>
      <c r="D1108">
        <v>24</v>
      </c>
      <c r="E1108" t="s">
        <v>13</v>
      </c>
      <c r="F1108" s="1">
        <v>45686</v>
      </c>
      <c r="G1108" s="1">
        <v>46059</v>
      </c>
      <c r="H1108" t="s">
        <v>14</v>
      </c>
      <c r="I1108" s="2">
        <v>66362429</v>
      </c>
      <c r="J1108">
        <v>261745</v>
      </c>
      <c r="K1108" t="s">
        <v>30</v>
      </c>
      <c r="L1108" t="str">
        <f t="shared" si="51"/>
        <v>Available</v>
      </c>
      <c r="M1108">
        <f t="shared" si="52"/>
        <v>0</v>
      </c>
      <c r="N1108">
        <f t="shared" si="53"/>
        <v>1</v>
      </c>
    </row>
    <row r="1109" spans="1:14" x14ac:dyDescent="0.35">
      <c r="A1109" t="s">
        <v>2665</v>
      </c>
      <c r="B1109" t="s">
        <v>439</v>
      </c>
      <c r="C1109" t="s">
        <v>1439</v>
      </c>
      <c r="D1109">
        <v>24</v>
      </c>
      <c r="E1109" t="s">
        <v>13</v>
      </c>
      <c r="F1109" s="1">
        <v>44497</v>
      </c>
      <c r="G1109" s="1">
        <v>46059</v>
      </c>
      <c r="H1109" t="s">
        <v>14</v>
      </c>
      <c r="I1109" s="2">
        <v>17849966</v>
      </c>
      <c r="J1109">
        <v>264248</v>
      </c>
      <c r="K1109" t="s">
        <v>30</v>
      </c>
      <c r="L1109" t="str">
        <f t="shared" si="51"/>
        <v>Available</v>
      </c>
      <c r="M1109">
        <f t="shared" si="52"/>
        <v>0</v>
      </c>
      <c r="N1109">
        <f t="shared" si="53"/>
        <v>1</v>
      </c>
    </row>
    <row r="1110" spans="1:14" x14ac:dyDescent="0.35">
      <c r="A1110" t="s">
        <v>2666</v>
      </c>
      <c r="B1110" t="s">
        <v>2808</v>
      </c>
      <c r="C1110" t="s">
        <v>1440</v>
      </c>
      <c r="D1110">
        <v>24</v>
      </c>
      <c r="E1110" t="s">
        <v>13</v>
      </c>
      <c r="F1110" s="1">
        <v>44497</v>
      </c>
      <c r="G1110" s="1">
        <v>46059</v>
      </c>
      <c r="H1110" t="s">
        <v>14</v>
      </c>
      <c r="I1110" s="2">
        <v>21829876</v>
      </c>
      <c r="J1110">
        <v>262208</v>
      </c>
      <c r="K1110" t="s">
        <v>30</v>
      </c>
      <c r="L1110" t="str">
        <f t="shared" si="51"/>
        <v>Available</v>
      </c>
      <c r="M1110">
        <f t="shared" si="52"/>
        <v>0</v>
      </c>
      <c r="N1110">
        <f t="shared" si="53"/>
        <v>1</v>
      </c>
    </row>
    <row r="1111" spans="1:14" x14ac:dyDescent="0.35">
      <c r="A1111" t="s">
        <v>2667</v>
      </c>
      <c r="B1111" t="s">
        <v>2792</v>
      </c>
      <c r="C1111" t="s">
        <v>1441</v>
      </c>
      <c r="D1111">
        <v>24</v>
      </c>
      <c r="E1111" t="s">
        <v>13</v>
      </c>
      <c r="F1111" s="1">
        <v>45081</v>
      </c>
      <c r="G1111" s="1">
        <v>46059</v>
      </c>
      <c r="H1111" t="s">
        <v>14</v>
      </c>
      <c r="I1111" s="2">
        <v>30373545</v>
      </c>
      <c r="J1111">
        <v>266618</v>
      </c>
      <c r="K1111" t="s">
        <v>30</v>
      </c>
      <c r="L1111" t="str">
        <f t="shared" si="51"/>
        <v>Available</v>
      </c>
      <c r="M1111">
        <f t="shared" si="52"/>
        <v>0</v>
      </c>
      <c r="N1111">
        <f t="shared" si="53"/>
        <v>1</v>
      </c>
    </row>
    <row r="1112" spans="1:14" x14ac:dyDescent="0.35">
      <c r="A1112" t="s">
        <v>2668</v>
      </c>
      <c r="B1112" t="s">
        <v>2820</v>
      </c>
      <c r="C1112" t="s">
        <v>1442</v>
      </c>
      <c r="D1112">
        <v>26</v>
      </c>
      <c r="E1112" t="s">
        <v>13</v>
      </c>
      <c r="F1112" s="1">
        <v>44934</v>
      </c>
      <c r="G1112" s="1">
        <v>46059</v>
      </c>
      <c r="H1112" t="s">
        <v>14</v>
      </c>
      <c r="I1112" s="2">
        <v>29148223</v>
      </c>
      <c r="J1112">
        <v>261892</v>
      </c>
      <c r="K1112" t="s">
        <v>30</v>
      </c>
      <c r="L1112" t="str">
        <f t="shared" si="51"/>
        <v>Available</v>
      </c>
      <c r="M1112">
        <f t="shared" si="52"/>
        <v>0</v>
      </c>
      <c r="N1112">
        <f t="shared" si="53"/>
        <v>1</v>
      </c>
    </row>
    <row r="1113" spans="1:14" x14ac:dyDescent="0.35">
      <c r="A1113" t="s">
        <v>2669</v>
      </c>
      <c r="B1113" t="s">
        <v>139</v>
      </c>
      <c r="C1113" t="s">
        <v>1443</v>
      </c>
      <c r="D1113">
        <v>24</v>
      </c>
      <c r="E1113" t="s">
        <v>13</v>
      </c>
      <c r="F1113" s="1">
        <v>44497</v>
      </c>
      <c r="G1113" s="1">
        <v>46059</v>
      </c>
      <c r="H1113" t="s">
        <v>14</v>
      </c>
      <c r="I1113" s="2">
        <v>23801236</v>
      </c>
      <c r="J1113">
        <v>264730</v>
      </c>
      <c r="K1113" t="s">
        <v>30</v>
      </c>
      <c r="L1113" t="str">
        <f t="shared" si="51"/>
        <v>Available</v>
      </c>
      <c r="M1113">
        <f t="shared" si="52"/>
        <v>0</v>
      </c>
      <c r="N1113">
        <f t="shared" si="53"/>
        <v>1</v>
      </c>
    </row>
    <row r="1114" spans="1:14" x14ac:dyDescent="0.35">
      <c r="A1114" t="s">
        <v>2670</v>
      </c>
      <c r="B1114" t="s">
        <v>2778</v>
      </c>
      <c r="C1114" t="s">
        <v>1444</v>
      </c>
      <c r="D1114">
        <v>32</v>
      </c>
      <c r="E1114" t="s">
        <v>13</v>
      </c>
      <c r="F1114" s="1">
        <v>44948</v>
      </c>
      <c r="G1114" s="1">
        <v>46059</v>
      </c>
      <c r="H1114" t="s">
        <v>14</v>
      </c>
      <c r="I1114" s="2">
        <v>27593138</v>
      </c>
      <c r="J1114">
        <v>266283</v>
      </c>
      <c r="K1114" t="s">
        <v>15</v>
      </c>
      <c r="L1114" t="str">
        <f t="shared" si="51"/>
        <v>Missing</v>
      </c>
      <c r="M1114">
        <f t="shared" si="52"/>
        <v>1</v>
      </c>
      <c r="N1114">
        <f t="shared" si="53"/>
        <v>0</v>
      </c>
    </row>
    <row r="1115" spans="1:14" x14ac:dyDescent="0.35">
      <c r="A1115" t="s">
        <v>2671</v>
      </c>
      <c r="B1115" t="s">
        <v>27</v>
      </c>
      <c r="C1115" t="s">
        <v>1445</v>
      </c>
      <c r="D1115">
        <v>24</v>
      </c>
      <c r="E1115" t="s">
        <v>13</v>
      </c>
      <c r="F1115" s="1">
        <v>44497</v>
      </c>
      <c r="G1115" s="1">
        <v>46059</v>
      </c>
      <c r="H1115" t="s">
        <v>14</v>
      </c>
      <c r="I1115" s="2">
        <v>283663</v>
      </c>
      <c r="J1115">
        <v>266869</v>
      </c>
      <c r="K1115" t="s">
        <v>15</v>
      </c>
      <c r="L1115" t="str">
        <f t="shared" si="51"/>
        <v>Available</v>
      </c>
      <c r="M1115">
        <f t="shared" si="52"/>
        <v>1</v>
      </c>
      <c r="N1115">
        <f t="shared" si="53"/>
        <v>1</v>
      </c>
    </row>
    <row r="1116" spans="1:14" x14ac:dyDescent="0.35">
      <c r="A1116" t="s">
        <v>2672</v>
      </c>
      <c r="B1116" t="s">
        <v>472</v>
      </c>
      <c r="C1116" t="s">
        <v>1446</v>
      </c>
      <c r="D1116">
        <v>24</v>
      </c>
      <c r="E1116" t="s">
        <v>13</v>
      </c>
      <c r="F1116" s="1">
        <v>44497</v>
      </c>
      <c r="G1116" s="1">
        <v>46059</v>
      </c>
      <c r="H1116" t="s">
        <v>14</v>
      </c>
      <c r="I1116" s="2">
        <v>252568</v>
      </c>
      <c r="J1116">
        <v>261867</v>
      </c>
      <c r="K1116" t="s">
        <v>30</v>
      </c>
      <c r="L1116" t="str">
        <f t="shared" si="51"/>
        <v>Available</v>
      </c>
      <c r="M1116">
        <f t="shared" si="52"/>
        <v>0</v>
      </c>
      <c r="N1116">
        <f t="shared" si="53"/>
        <v>1</v>
      </c>
    </row>
    <row r="1117" spans="1:14" x14ac:dyDescent="0.35">
      <c r="A1117" t="s">
        <v>2673</v>
      </c>
      <c r="B1117" t="s">
        <v>1109</v>
      </c>
      <c r="C1117" t="s">
        <v>1447</v>
      </c>
      <c r="D1117">
        <v>24</v>
      </c>
      <c r="E1117" t="s">
        <v>13</v>
      </c>
      <c r="F1117" s="1">
        <v>44502</v>
      </c>
      <c r="G1117" s="1">
        <v>46059</v>
      </c>
      <c r="H1117" t="s">
        <v>14</v>
      </c>
      <c r="I1117" s="2">
        <v>288441</v>
      </c>
      <c r="J1117">
        <v>261849</v>
      </c>
      <c r="K1117" t="s">
        <v>15</v>
      </c>
      <c r="L1117" t="str">
        <f t="shared" si="51"/>
        <v>Available</v>
      </c>
      <c r="M1117">
        <f t="shared" si="52"/>
        <v>1</v>
      </c>
      <c r="N1117">
        <f t="shared" si="53"/>
        <v>1</v>
      </c>
    </row>
    <row r="1118" spans="1:14" x14ac:dyDescent="0.35">
      <c r="A1118" t="s">
        <v>2674</v>
      </c>
      <c r="B1118" t="s">
        <v>2902</v>
      </c>
      <c r="C1118" t="s">
        <v>1448</v>
      </c>
      <c r="D1118">
        <v>13.76</v>
      </c>
      <c r="E1118" t="s">
        <v>13</v>
      </c>
      <c r="F1118" s="1">
        <v>44500</v>
      </c>
      <c r="G1118" s="1">
        <v>46059</v>
      </c>
      <c r="H1118" t="s">
        <v>14</v>
      </c>
      <c r="I1118" s="2">
        <v>25110687</v>
      </c>
      <c r="J1118">
        <v>261779</v>
      </c>
      <c r="K1118" t="s">
        <v>15</v>
      </c>
      <c r="L1118" t="str">
        <f t="shared" si="51"/>
        <v>Available</v>
      </c>
      <c r="M1118">
        <f t="shared" si="52"/>
        <v>1</v>
      </c>
      <c r="N1118">
        <f t="shared" si="53"/>
        <v>1</v>
      </c>
    </row>
    <row r="1119" spans="1:14" x14ac:dyDescent="0.35">
      <c r="A1119" t="s">
        <v>2675</v>
      </c>
      <c r="B1119" t="s">
        <v>626</v>
      </c>
      <c r="C1119" t="s">
        <v>1450</v>
      </c>
      <c r="D1119">
        <v>15</v>
      </c>
      <c r="E1119" t="s">
        <v>13</v>
      </c>
      <c r="F1119" s="1">
        <v>44497</v>
      </c>
      <c r="G1119" s="1">
        <v>45386</v>
      </c>
      <c r="H1119" t="s">
        <v>14</v>
      </c>
      <c r="I1119" t="s">
        <v>2778</v>
      </c>
      <c r="J1119">
        <v>264428</v>
      </c>
      <c r="K1119" t="s">
        <v>15</v>
      </c>
      <c r="L1119" t="str">
        <f t="shared" si="51"/>
        <v>Available</v>
      </c>
      <c r="M1119">
        <f t="shared" si="52"/>
        <v>1</v>
      </c>
      <c r="N1119">
        <f t="shared" si="53"/>
        <v>1</v>
      </c>
    </row>
    <row r="1120" spans="1:14" x14ac:dyDescent="0.35">
      <c r="A1120" t="s">
        <v>2676</v>
      </c>
      <c r="B1120" t="s">
        <v>261</v>
      </c>
      <c r="C1120" t="s">
        <v>1451</v>
      </c>
      <c r="D1120">
        <v>22.993169999999999</v>
      </c>
      <c r="E1120" t="s">
        <v>35</v>
      </c>
      <c r="F1120" s="1">
        <v>45233</v>
      </c>
      <c r="G1120" s="1">
        <v>45995</v>
      </c>
      <c r="H1120" t="s">
        <v>14</v>
      </c>
      <c r="I1120" t="s">
        <v>2778</v>
      </c>
      <c r="J1120">
        <v>261792</v>
      </c>
      <c r="K1120" t="s">
        <v>30</v>
      </c>
      <c r="L1120" t="str">
        <f t="shared" si="51"/>
        <v>Available</v>
      </c>
      <c r="M1120">
        <f t="shared" si="52"/>
        <v>0</v>
      </c>
      <c r="N1120">
        <f t="shared" si="53"/>
        <v>1</v>
      </c>
    </row>
    <row r="1121" spans="1:14" x14ac:dyDescent="0.35">
      <c r="A1121" t="s">
        <v>2677</v>
      </c>
      <c r="B1121" t="s">
        <v>2820</v>
      </c>
      <c r="C1121" t="s">
        <v>1452</v>
      </c>
      <c r="D1121">
        <v>25</v>
      </c>
      <c r="E1121" t="s">
        <v>13</v>
      </c>
      <c r="F1121" s="1">
        <v>44497</v>
      </c>
      <c r="G1121" s="1">
        <v>45918</v>
      </c>
      <c r="H1121" t="s">
        <v>14</v>
      </c>
      <c r="I1121" t="s">
        <v>2778</v>
      </c>
      <c r="J1121">
        <v>267056</v>
      </c>
      <c r="K1121" t="s">
        <v>30</v>
      </c>
      <c r="L1121" t="str">
        <f t="shared" si="51"/>
        <v>Available</v>
      </c>
      <c r="M1121">
        <f t="shared" si="52"/>
        <v>0</v>
      </c>
      <c r="N1121">
        <f t="shared" si="53"/>
        <v>1</v>
      </c>
    </row>
    <row r="1122" spans="1:14" x14ac:dyDescent="0.35">
      <c r="A1122" t="s">
        <v>2678</v>
      </c>
      <c r="B1122" t="s">
        <v>47</v>
      </c>
      <c r="C1122" t="s">
        <v>1453</v>
      </c>
      <c r="D1122">
        <v>45</v>
      </c>
      <c r="E1122" t="s">
        <v>13</v>
      </c>
      <c r="F1122" s="1">
        <v>44497</v>
      </c>
      <c r="G1122" s="1">
        <v>45744</v>
      </c>
      <c r="H1122" t="s">
        <v>14</v>
      </c>
      <c r="I1122" t="s">
        <v>2778</v>
      </c>
      <c r="J1122">
        <v>264435</v>
      </c>
      <c r="K1122" t="s">
        <v>15</v>
      </c>
      <c r="L1122" t="str">
        <f t="shared" si="51"/>
        <v>Available</v>
      </c>
      <c r="M1122">
        <f t="shared" si="52"/>
        <v>1</v>
      </c>
      <c r="N1122">
        <f t="shared" si="53"/>
        <v>1</v>
      </c>
    </row>
    <row r="1123" spans="1:14" x14ac:dyDescent="0.35">
      <c r="A1123" t="s">
        <v>2679</v>
      </c>
      <c r="B1123" t="s">
        <v>58</v>
      </c>
      <c r="C1123" t="s">
        <v>1454</v>
      </c>
      <c r="D1123">
        <v>32</v>
      </c>
      <c r="E1123" t="s">
        <v>13</v>
      </c>
      <c r="F1123" s="1">
        <v>44497</v>
      </c>
      <c r="G1123" s="1">
        <v>46059</v>
      </c>
      <c r="H1123" t="s">
        <v>14</v>
      </c>
      <c r="I1123" t="s">
        <v>2778</v>
      </c>
      <c r="J1123">
        <v>264171</v>
      </c>
      <c r="K1123" t="s">
        <v>30</v>
      </c>
      <c r="L1123" t="str">
        <f t="shared" si="51"/>
        <v>Available</v>
      </c>
      <c r="M1123">
        <f t="shared" si="52"/>
        <v>0</v>
      </c>
      <c r="N1123">
        <f t="shared" si="53"/>
        <v>1</v>
      </c>
    </row>
    <row r="1124" spans="1:14" x14ac:dyDescent="0.35">
      <c r="A1124" t="s">
        <v>2680</v>
      </c>
      <c r="B1124" t="s">
        <v>338</v>
      </c>
      <c r="C1124" t="s">
        <v>1455</v>
      </c>
      <c r="D1124">
        <v>20</v>
      </c>
      <c r="E1124" t="s">
        <v>13</v>
      </c>
      <c r="F1124" s="1">
        <v>45102</v>
      </c>
      <c r="G1124" s="1">
        <v>46059</v>
      </c>
      <c r="H1124" t="s">
        <v>14</v>
      </c>
      <c r="I1124" s="2">
        <v>31998942</v>
      </c>
      <c r="J1124">
        <v>261600</v>
      </c>
      <c r="K1124" t="s">
        <v>30</v>
      </c>
      <c r="L1124" t="str">
        <f t="shared" si="51"/>
        <v>Available</v>
      </c>
      <c r="M1124">
        <f t="shared" si="52"/>
        <v>0</v>
      </c>
      <c r="N1124">
        <f t="shared" si="53"/>
        <v>1</v>
      </c>
    </row>
    <row r="1125" spans="1:14" x14ac:dyDescent="0.35">
      <c r="A1125" t="s">
        <v>2681</v>
      </c>
      <c r="B1125" t="s">
        <v>2903</v>
      </c>
      <c r="C1125" t="s">
        <v>1456</v>
      </c>
      <c r="D1125">
        <v>25.5</v>
      </c>
      <c r="E1125" t="s">
        <v>13</v>
      </c>
      <c r="F1125" s="1">
        <v>45680</v>
      </c>
      <c r="G1125" s="1">
        <v>46057</v>
      </c>
      <c r="H1125" t="s">
        <v>14</v>
      </c>
      <c r="I1125" t="s">
        <v>2778</v>
      </c>
      <c r="J1125">
        <v>262576</v>
      </c>
      <c r="K1125" t="s">
        <v>30</v>
      </c>
      <c r="L1125" t="str">
        <f t="shared" si="51"/>
        <v>Available</v>
      </c>
      <c r="M1125">
        <f t="shared" si="52"/>
        <v>0</v>
      </c>
      <c r="N1125">
        <f t="shared" si="53"/>
        <v>1</v>
      </c>
    </row>
    <row r="1126" spans="1:14" x14ac:dyDescent="0.35">
      <c r="A1126" t="s">
        <v>2682</v>
      </c>
      <c r="B1126" t="s">
        <v>200</v>
      </c>
      <c r="C1126" t="s">
        <v>1458</v>
      </c>
      <c r="D1126">
        <v>26</v>
      </c>
      <c r="E1126" t="s">
        <v>13</v>
      </c>
      <c r="F1126" s="1">
        <v>44497</v>
      </c>
      <c r="G1126" s="1">
        <v>46059</v>
      </c>
      <c r="H1126" t="s">
        <v>14</v>
      </c>
      <c r="I1126" s="2">
        <v>1387308</v>
      </c>
      <c r="J1126">
        <v>264408</v>
      </c>
      <c r="K1126" t="s">
        <v>30</v>
      </c>
      <c r="L1126" t="str">
        <f t="shared" si="51"/>
        <v>Available</v>
      </c>
      <c r="M1126">
        <f t="shared" si="52"/>
        <v>0</v>
      </c>
      <c r="N1126">
        <f t="shared" si="53"/>
        <v>1</v>
      </c>
    </row>
    <row r="1127" spans="1:14" x14ac:dyDescent="0.35">
      <c r="A1127" t="s">
        <v>2683</v>
      </c>
      <c r="B1127" t="s">
        <v>2897</v>
      </c>
      <c r="C1127" t="s">
        <v>1459</v>
      </c>
      <c r="D1127">
        <v>24.007574000000002</v>
      </c>
      <c r="E1127" t="s">
        <v>35</v>
      </c>
      <c r="F1127" s="1">
        <v>45981</v>
      </c>
      <c r="G1127" s="1">
        <v>46058</v>
      </c>
      <c r="H1127" t="s">
        <v>14</v>
      </c>
      <c r="I1127" t="s">
        <v>2778</v>
      </c>
      <c r="J1127">
        <v>264321</v>
      </c>
      <c r="K1127" t="s">
        <v>15</v>
      </c>
      <c r="L1127" t="str">
        <f t="shared" si="51"/>
        <v>Available</v>
      </c>
      <c r="M1127">
        <f t="shared" si="52"/>
        <v>1</v>
      </c>
      <c r="N1127">
        <f t="shared" si="53"/>
        <v>1</v>
      </c>
    </row>
    <row r="1128" spans="1:14" x14ac:dyDescent="0.35">
      <c r="A1128" t="s">
        <v>2684</v>
      </c>
      <c r="B1128" t="s">
        <v>27</v>
      </c>
      <c r="C1128" t="s">
        <v>1460</v>
      </c>
      <c r="D1128">
        <v>24</v>
      </c>
      <c r="E1128" t="s">
        <v>13</v>
      </c>
      <c r="F1128" s="1">
        <v>44497</v>
      </c>
      <c r="G1128" s="1">
        <v>46059</v>
      </c>
      <c r="H1128" t="s">
        <v>14</v>
      </c>
      <c r="I1128" s="2">
        <v>20034385</v>
      </c>
      <c r="J1128">
        <v>261753</v>
      </c>
      <c r="K1128" t="s">
        <v>15</v>
      </c>
      <c r="L1128" t="str">
        <f t="shared" si="51"/>
        <v>Available</v>
      </c>
      <c r="M1128">
        <f t="shared" si="52"/>
        <v>1</v>
      </c>
      <c r="N1128">
        <f t="shared" si="53"/>
        <v>1</v>
      </c>
    </row>
    <row r="1129" spans="1:14" x14ac:dyDescent="0.35">
      <c r="A1129" t="s">
        <v>2685</v>
      </c>
      <c r="B1129" t="s">
        <v>369</v>
      </c>
      <c r="C1129" t="s">
        <v>1461</v>
      </c>
      <c r="D1129">
        <v>32</v>
      </c>
      <c r="E1129" t="s">
        <v>13</v>
      </c>
      <c r="F1129" s="1">
        <v>44497</v>
      </c>
      <c r="G1129" s="1">
        <v>46059</v>
      </c>
      <c r="H1129" t="s">
        <v>14</v>
      </c>
      <c r="I1129" s="2">
        <v>110868</v>
      </c>
      <c r="J1129">
        <v>266425</v>
      </c>
      <c r="K1129" t="s">
        <v>15</v>
      </c>
      <c r="L1129" t="str">
        <f t="shared" si="51"/>
        <v>Available</v>
      </c>
      <c r="M1129">
        <f t="shared" si="52"/>
        <v>1</v>
      </c>
      <c r="N1129">
        <f t="shared" si="53"/>
        <v>1</v>
      </c>
    </row>
    <row r="1130" spans="1:14" x14ac:dyDescent="0.35">
      <c r="A1130" t="s">
        <v>2686</v>
      </c>
      <c r="B1130" t="s">
        <v>1463</v>
      </c>
      <c r="C1130" t="s">
        <v>1462</v>
      </c>
      <c r="D1130">
        <v>16</v>
      </c>
      <c r="E1130" t="s">
        <v>13</v>
      </c>
      <c r="F1130" s="1">
        <v>45201</v>
      </c>
      <c r="G1130" s="1">
        <v>45961</v>
      </c>
      <c r="H1130" t="s">
        <v>14</v>
      </c>
      <c r="I1130" t="s">
        <v>2778</v>
      </c>
      <c r="J1130">
        <v>264028</v>
      </c>
      <c r="K1130" t="s">
        <v>30</v>
      </c>
      <c r="L1130" t="str">
        <f t="shared" si="51"/>
        <v>Available</v>
      </c>
      <c r="M1130">
        <f t="shared" si="52"/>
        <v>0</v>
      </c>
      <c r="N1130">
        <f t="shared" si="53"/>
        <v>1</v>
      </c>
    </row>
    <row r="1131" spans="1:14" x14ac:dyDescent="0.35">
      <c r="A1131" t="s">
        <v>2687</v>
      </c>
      <c r="B1131" t="s">
        <v>2778</v>
      </c>
      <c r="C1131" t="s">
        <v>1464</v>
      </c>
      <c r="D1131">
        <v>1</v>
      </c>
      <c r="E1131" t="s">
        <v>13</v>
      </c>
      <c r="F1131" s="1">
        <v>44497</v>
      </c>
      <c r="G1131" s="1">
        <v>46059</v>
      </c>
      <c r="H1131" t="s">
        <v>14</v>
      </c>
      <c r="I1131" t="s">
        <v>2778</v>
      </c>
      <c r="J1131">
        <v>267061</v>
      </c>
      <c r="K1131" t="s">
        <v>15</v>
      </c>
      <c r="L1131" t="str">
        <f t="shared" si="51"/>
        <v>Missing</v>
      </c>
      <c r="M1131">
        <f t="shared" si="52"/>
        <v>1</v>
      </c>
      <c r="N1131">
        <f t="shared" si="53"/>
        <v>0</v>
      </c>
    </row>
    <row r="1132" spans="1:14" x14ac:dyDescent="0.35">
      <c r="A1132" t="s">
        <v>2688</v>
      </c>
      <c r="B1132" t="s">
        <v>2790</v>
      </c>
      <c r="C1132" t="s">
        <v>1465</v>
      </c>
      <c r="D1132">
        <v>32</v>
      </c>
      <c r="E1132" t="s">
        <v>13</v>
      </c>
      <c r="F1132" s="1">
        <v>44497</v>
      </c>
      <c r="G1132" s="1">
        <v>46060</v>
      </c>
      <c r="H1132" t="s">
        <v>14</v>
      </c>
      <c r="I1132" s="2">
        <v>20128007</v>
      </c>
      <c r="J1132">
        <v>266382</v>
      </c>
      <c r="K1132" t="s">
        <v>15</v>
      </c>
      <c r="L1132" t="str">
        <f t="shared" si="51"/>
        <v>Available</v>
      </c>
      <c r="M1132">
        <f t="shared" si="52"/>
        <v>1</v>
      </c>
      <c r="N1132">
        <f t="shared" si="53"/>
        <v>1</v>
      </c>
    </row>
    <row r="1133" spans="1:14" x14ac:dyDescent="0.35">
      <c r="A1133" t="s">
        <v>2689</v>
      </c>
      <c r="B1133" t="s">
        <v>2820</v>
      </c>
      <c r="C1133" t="s">
        <v>1466</v>
      </c>
      <c r="D1133">
        <v>25</v>
      </c>
      <c r="E1133" t="s">
        <v>13</v>
      </c>
      <c r="F1133" s="1">
        <v>44497</v>
      </c>
      <c r="G1133" s="1">
        <v>45918</v>
      </c>
      <c r="H1133" t="s">
        <v>14</v>
      </c>
      <c r="I1133" t="s">
        <v>2778</v>
      </c>
      <c r="J1133">
        <v>267060</v>
      </c>
      <c r="K1133" t="s">
        <v>15</v>
      </c>
      <c r="L1133" t="str">
        <f t="shared" si="51"/>
        <v>Available</v>
      </c>
      <c r="M1133">
        <f t="shared" si="52"/>
        <v>1</v>
      </c>
      <c r="N1133">
        <f t="shared" si="53"/>
        <v>1</v>
      </c>
    </row>
    <row r="1134" spans="1:14" x14ac:dyDescent="0.35">
      <c r="A1134" t="s">
        <v>2690</v>
      </c>
      <c r="B1134" t="s">
        <v>2792</v>
      </c>
      <c r="C1134" t="s">
        <v>1467</v>
      </c>
      <c r="D1134">
        <v>40</v>
      </c>
      <c r="E1134" t="s">
        <v>13</v>
      </c>
      <c r="F1134" s="1">
        <v>45756</v>
      </c>
      <c r="G1134" s="1">
        <v>46059</v>
      </c>
      <c r="H1134" t="s">
        <v>14</v>
      </c>
      <c r="I1134" s="2">
        <v>19461179</v>
      </c>
      <c r="J1134">
        <v>262218</v>
      </c>
      <c r="K1134" t="s">
        <v>30</v>
      </c>
      <c r="L1134" t="str">
        <f t="shared" si="51"/>
        <v>Available</v>
      </c>
      <c r="M1134">
        <f t="shared" si="52"/>
        <v>0</v>
      </c>
      <c r="N1134">
        <f t="shared" si="53"/>
        <v>1</v>
      </c>
    </row>
    <row r="1135" spans="1:14" x14ac:dyDescent="0.35">
      <c r="A1135" t="s">
        <v>2691</v>
      </c>
      <c r="B1135" t="s">
        <v>12</v>
      </c>
      <c r="C1135" t="s">
        <v>1468</v>
      </c>
      <c r="D1135">
        <v>24</v>
      </c>
      <c r="E1135" t="s">
        <v>13</v>
      </c>
      <c r="F1135" s="1">
        <v>44497</v>
      </c>
      <c r="G1135" s="1">
        <v>46059</v>
      </c>
      <c r="H1135" t="s">
        <v>14</v>
      </c>
      <c r="I1135" s="2">
        <v>39369</v>
      </c>
      <c r="J1135">
        <v>262152</v>
      </c>
      <c r="K1135" t="s">
        <v>30</v>
      </c>
      <c r="L1135" t="str">
        <f t="shared" si="51"/>
        <v>Available</v>
      </c>
      <c r="M1135">
        <f t="shared" si="52"/>
        <v>0</v>
      </c>
      <c r="N1135">
        <f t="shared" si="53"/>
        <v>1</v>
      </c>
    </row>
    <row r="1136" spans="1:14" x14ac:dyDescent="0.35">
      <c r="A1136" t="s">
        <v>2692</v>
      </c>
      <c r="B1136" t="s">
        <v>2816</v>
      </c>
      <c r="C1136" t="s">
        <v>1469</v>
      </c>
      <c r="D1136">
        <v>26</v>
      </c>
      <c r="E1136" t="s">
        <v>13</v>
      </c>
      <c r="F1136" s="1">
        <v>44502</v>
      </c>
      <c r="G1136" s="1">
        <v>45817</v>
      </c>
      <c r="H1136" t="s">
        <v>14</v>
      </c>
      <c r="I1136" t="s">
        <v>2778</v>
      </c>
      <c r="J1136">
        <v>261478</v>
      </c>
      <c r="K1136" t="s">
        <v>30</v>
      </c>
      <c r="L1136" t="str">
        <f t="shared" si="51"/>
        <v>Available</v>
      </c>
      <c r="M1136">
        <f t="shared" si="52"/>
        <v>0</v>
      </c>
      <c r="N1136">
        <f t="shared" si="53"/>
        <v>1</v>
      </c>
    </row>
    <row r="1137" spans="1:14" x14ac:dyDescent="0.35">
      <c r="A1137" t="s">
        <v>2693</v>
      </c>
      <c r="B1137" t="s">
        <v>156</v>
      </c>
      <c r="C1137" t="s">
        <v>1470</v>
      </c>
      <c r="D1137">
        <v>32</v>
      </c>
      <c r="E1137" t="s">
        <v>13</v>
      </c>
      <c r="F1137" s="1">
        <v>44633</v>
      </c>
      <c r="G1137" s="1">
        <v>46059</v>
      </c>
      <c r="H1137" t="s">
        <v>14</v>
      </c>
      <c r="I1137" s="2">
        <v>27089174</v>
      </c>
      <c r="J1137">
        <v>261742</v>
      </c>
      <c r="K1137" t="s">
        <v>30</v>
      </c>
      <c r="L1137" t="str">
        <f t="shared" si="51"/>
        <v>Available</v>
      </c>
      <c r="M1137">
        <f t="shared" si="52"/>
        <v>0</v>
      </c>
      <c r="N1137">
        <f t="shared" si="53"/>
        <v>1</v>
      </c>
    </row>
    <row r="1138" spans="1:14" x14ac:dyDescent="0.35">
      <c r="A1138" t="s">
        <v>2694</v>
      </c>
      <c r="B1138" t="s">
        <v>2879</v>
      </c>
      <c r="C1138" t="s">
        <v>1471</v>
      </c>
      <c r="D1138">
        <v>24</v>
      </c>
      <c r="E1138" t="s">
        <v>13</v>
      </c>
      <c r="F1138" s="1">
        <v>44497</v>
      </c>
      <c r="G1138" s="1">
        <v>46060</v>
      </c>
      <c r="H1138" t="s">
        <v>14</v>
      </c>
      <c r="I1138" s="2">
        <v>39353</v>
      </c>
      <c r="J1138">
        <v>266347</v>
      </c>
      <c r="K1138" t="s">
        <v>30</v>
      </c>
      <c r="L1138" t="str">
        <f t="shared" si="51"/>
        <v>Available</v>
      </c>
      <c r="M1138">
        <f t="shared" si="52"/>
        <v>0</v>
      </c>
      <c r="N1138">
        <f t="shared" si="53"/>
        <v>1</v>
      </c>
    </row>
    <row r="1139" spans="1:14" x14ac:dyDescent="0.35">
      <c r="A1139" t="s">
        <v>2695</v>
      </c>
      <c r="B1139" t="s">
        <v>58</v>
      </c>
      <c r="C1139" t="s">
        <v>1472</v>
      </c>
      <c r="D1139">
        <v>20.288091000000001</v>
      </c>
      <c r="E1139" t="s">
        <v>35</v>
      </c>
      <c r="F1139" s="1">
        <v>45562</v>
      </c>
      <c r="G1139" s="1">
        <v>46058</v>
      </c>
      <c r="H1139" t="s">
        <v>14</v>
      </c>
      <c r="I1139" t="s">
        <v>2778</v>
      </c>
      <c r="J1139">
        <v>264272</v>
      </c>
      <c r="K1139" t="s">
        <v>30</v>
      </c>
      <c r="L1139" t="str">
        <f t="shared" si="51"/>
        <v>Available</v>
      </c>
      <c r="M1139">
        <f t="shared" si="52"/>
        <v>0</v>
      </c>
      <c r="N1139">
        <f t="shared" si="53"/>
        <v>1</v>
      </c>
    </row>
    <row r="1140" spans="1:14" x14ac:dyDescent="0.35">
      <c r="A1140" t="s">
        <v>2696</v>
      </c>
      <c r="B1140" t="s">
        <v>481</v>
      </c>
      <c r="C1140" t="s">
        <v>1473</v>
      </c>
      <c r="D1140">
        <v>25</v>
      </c>
      <c r="E1140" t="s">
        <v>13</v>
      </c>
      <c r="F1140" s="1">
        <v>44497</v>
      </c>
      <c r="G1140" s="1">
        <v>46058</v>
      </c>
      <c r="H1140" t="s">
        <v>14</v>
      </c>
      <c r="I1140" s="2">
        <v>23538514</v>
      </c>
      <c r="J1140">
        <v>264205</v>
      </c>
      <c r="K1140" t="s">
        <v>15</v>
      </c>
      <c r="L1140" t="str">
        <f t="shared" si="51"/>
        <v>Available</v>
      </c>
      <c r="M1140">
        <f t="shared" si="52"/>
        <v>1</v>
      </c>
      <c r="N1140">
        <f t="shared" si="53"/>
        <v>1</v>
      </c>
    </row>
    <row r="1141" spans="1:14" x14ac:dyDescent="0.35">
      <c r="A1141" t="s">
        <v>2697</v>
      </c>
      <c r="B1141" t="s">
        <v>2797</v>
      </c>
      <c r="C1141" t="s">
        <v>1474</v>
      </c>
      <c r="D1141">
        <v>24</v>
      </c>
      <c r="E1141" t="s">
        <v>13</v>
      </c>
      <c r="F1141" s="1">
        <v>44497</v>
      </c>
      <c r="G1141" s="1">
        <v>46059</v>
      </c>
      <c r="H1141" t="s">
        <v>14</v>
      </c>
      <c r="I1141" s="2">
        <v>36095</v>
      </c>
      <c r="J1141">
        <v>262291</v>
      </c>
      <c r="K1141" t="s">
        <v>15</v>
      </c>
      <c r="L1141" t="str">
        <f t="shared" si="51"/>
        <v>Available</v>
      </c>
      <c r="M1141">
        <f t="shared" si="52"/>
        <v>1</v>
      </c>
      <c r="N1141">
        <f t="shared" si="53"/>
        <v>1</v>
      </c>
    </row>
    <row r="1142" spans="1:14" x14ac:dyDescent="0.35">
      <c r="A1142" t="s">
        <v>2698</v>
      </c>
      <c r="B1142" t="s">
        <v>628</v>
      </c>
      <c r="C1142" t="s">
        <v>1475</v>
      </c>
      <c r="D1142">
        <v>24</v>
      </c>
      <c r="E1142" t="s">
        <v>13</v>
      </c>
      <c r="F1142" s="1">
        <v>45035</v>
      </c>
      <c r="G1142" s="1">
        <v>46057</v>
      </c>
      <c r="H1142" t="s">
        <v>14</v>
      </c>
      <c r="I1142" s="2">
        <v>30529941</v>
      </c>
      <c r="J1142">
        <v>264021</v>
      </c>
      <c r="K1142" t="s">
        <v>30</v>
      </c>
      <c r="L1142" t="str">
        <f t="shared" si="51"/>
        <v>Available</v>
      </c>
      <c r="M1142">
        <f t="shared" si="52"/>
        <v>0</v>
      </c>
      <c r="N1142">
        <f t="shared" si="53"/>
        <v>1</v>
      </c>
    </row>
    <row r="1143" spans="1:14" x14ac:dyDescent="0.35">
      <c r="A1143" t="s">
        <v>2699</v>
      </c>
      <c r="B1143" t="s">
        <v>2904</v>
      </c>
      <c r="C1143" t="s">
        <v>1476</v>
      </c>
      <c r="D1143">
        <v>13.76</v>
      </c>
      <c r="E1143" t="s">
        <v>13</v>
      </c>
      <c r="F1143" s="1">
        <v>44500</v>
      </c>
      <c r="G1143" s="1">
        <v>46058</v>
      </c>
      <c r="H1143" t="s">
        <v>14</v>
      </c>
      <c r="I1143" s="2">
        <v>25055361</v>
      </c>
      <c r="J1143">
        <v>266825</v>
      </c>
      <c r="K1143" t="s">
        <v>30</v>
      </c>
      <c r="L1143" t="str">
        <f t="shared" si="51"/>
        <v>Available</v>
      </c>
      <c r="M1143">
        <f t="shared" si="52"/>
        <v>0</v>
      </c>
      <c r="N1143">
        <f t="shared" si="53"/>
        <v>1</v>
      </c>
    </row>
    <row r="1144" spans="1:14" x14ac:dyDescent="0.35">
      <c r="A1144" t="s">
        <v>2700</v>
      </c>
      <c r="B1144" t="s">
        <v>12</v>
      </c>
      <c r="C1144" t="s">
        <v>1478</v>
      </c>
      <c r="D1144">
        <v>24</v>
      </c>
      <c r="E1144" t="s">
        <v>13</v>
      </c>
      <c r="F1144" s="1">
        <v>44497</v>
      </c>
      <c r="G1144" s="1">
        <v>46059</v>
      </c>
      <c r="H1144" t="s">
        <v>14</v>
      </c>
      <c r="I1144" s="2">
        <v>73924</v>
      </c>
      <c r="J1144">
        <v>266327</v>
      </c>
      <c r="K1144" t="s">
        <v>15</v>
      </c>
      <c r="L1144" t="str">
        <f t="shared" si="51"/>
        <v>Available</v>
      </c>
      <c r="M1144">
        <f t="shared" si="52"/>
        <v>1</v>
      </c>
      <c r="N1144">
        <f t="shared" si="53"/>
        <v>1</v>
      </c>
    </row>
    <row r="1145" spans="1:14" x14ac:dyDescent="0.35">
      <c r="A1145" t="s">
        <v>2701</v>
      </c>
      <c r="B1145" t="s">
        <v>47</v>
      </c>
      <c r="C1145" t="s">
        <v>1479</v>
      </c>
      <c r="D1145">
        <v>23.9</v>
      </c>
      <c r="E1145" t="s">
        <v>13</v>
      </c>
      <c r="F1145" s="1">
        <v>44497</v>
      </c>
      <c r="G1145" s="1">
        <v>46060</v>
      </c>
      <c r="H1145" t="s">
        <v>14</v>
      </c>
      <c r="I1145" s="2">
        <v>39338</v>
      </c>
      <c r="J1145">
        <v>264358</v>
      </c>
      <c r="K1145" t="s">
        <v>30</v>
      </c>
      <c r="L1145" t="str">
        <f t="shared" si="51"/>
        <v>Available</v>
      </c>
      <c r="M1145">
        <f t="shared" si="52"/>
        <v>0</v>
      </c>
      <c r="N1145">
        <f t="shared" si="53"/>
        <v>1</v>
      </c>
    </row>
    <row r="1146" spans="1:14" x14ac:dyDescent="0.35">
      <c r="A1146" t="s">
        <v>2702</v>
      </c>
      <c r="B1146" t="s">
        <v>186</v>
      </c>
      <c r="C1146" t="s">
        <v>1480</v>
      </c>
      <c r="D1146">
        <v>18</v>
      </c>
      <c r="E1146" t="s">
        <v>13</v>
      </c>
      <c r="F1146" s="1">
        <v>44498</v>
      </c>
      <c r="G1146" s="1">
        <v>45888</v>
      </c>
      <c r="H1146" t="s">
        <v>14</v>
      </c>
      <c r="I1146" s="2">
        <v>135704</v>
      </c>
      <c r="J1146">
        <v>262215</v>
      </c>
      <c r="K1146" t="s">
        <v>15</v>
      </c>
      <c r="L1146" t="str">
        <f t="shared" si="51"/>
        <v>Available</v>
      </c>
      <c r="M1146">
        <f t="shared" si="52"/>
        <v>1</v>
      </c>
      <c r="N1146">
        <f t="shared" si="53"/>
        <v>1</v>
      </c>
    </row>
    <row r="1147" spans="1:14" x14ac:dyDescent="0.35">
      <c r="A1147" t="s">
        <v>2703</v>
      </c>
      <c r="B1147" t="s">
        <v>2804</v>
      </c>
      <c r="C1147" t="s">
        <v>1481</v>
      </c>
      <c r="D1147">
        <v>24</v>
      </c>
      <c r="E1147" t="s">
        <v>13</v>
      </c>
      <c r="F1147" s="1">
        <v>44497</v>
      </c>
      <c r="G1147" s="1">
        <v>45699</v>
      </c>
      <c r="H1147" t="s">
        <v>14</v>
      </c>
      <c r="I1147" t="s">
        <v>2778</v>
      </c>
      <c r="J1147">
        <v>264040</v>
      </c>
      <c r="K1147" t="s">
        <v>30</v>
      </c>
      <c r="L1147" t="str">
        <f t="shared" si="51"/>
        <v>Available</v>
      </c>
      <c r="M1147">
        <f t="shared" si="52"/>
        <v>0</v>
      </c>
      <c r="N1147">
        <f t="shared" si="53"/>
        <v>1</v>
      </c>
    </row>
    <row r="1148" spans="1:14" x14ac:dyDescent="0.35">
      <c r="A1148" t="s">
        <v>2704</v>
      </c>
      <c r="B1148" t="s">
        <v>2778</v>
      </c>
      <c r="C1148" t="s">
        <v>1482</v>
      </c>
      <c r="D1148">
        <v>15.3</v>
      </c>
      <c r="E1148" t="s">
        <v>13</v>
      </c>
      <c r="F1148" s="1">
        <v>44497</v>
      </c>
      <c r="G1148" s="1">
        <v>46059</v>
      </c>
      <c r="H1148" t="s">
        <v>14</v>
      </c>
      <c r="I1148" t="s">
        <v>2778</v>
      </c>
      <c r="J1148">
        <v>262200</v>
      </c>
      <c r="K1148" t="s">
        <v>30</v>
      </c>
      <c r="L1148" t="str">
        <f t="shared" si="51"/>
        <v>Missing</v>
      </c>
      <c r="M1148">
        <f t="shared" si="52"/>
        <v>0</v>
      </c>
      <c r="N1148">
        <f t="shared" si="53"/>
        <v>0</v>
      </c>
    </row>
    <row r="1149" spans="1:14" x14ac:dyDescent="0.35">
      <c r="A1149" t="s">
        <v>2705</v>
      </c>
      <c r="B1149" t="s">
        <v>2792</v>
      </c>
      <c r="C1149" t="s">
        <v>1483</v>
      </c>
      <c r="D1149">
        <v>32</v>
      </c>
      <c r="E1149" t="s">
        <v>13</v>
      </c>
      <c r="F1149" s="1">
        <v>44502</v>
      </c>
      <c r="G1149" s="1">
        <v>46057</v>
      </c>
      <c r="H1149" t="s">
        <v>14</v>
      </c>
      <c r="I1149" s="2">
        <v>24809</v>
      </c>
      <c r="J1149">
        <v>262620</v>
      </c>
      <c r="K1149" t="s">
        <v>30</v>
      </c>
      <c r="L1149" t="str">
        <f t="shared" si="51"/>
        <v>Available</v>
      </c>
      <c r="M1149">
        <f t="shared" si="52"/>
        <v>0</v>
      </c>
      <c r="N1149">
        <f t="shared" si="53"/>
        <v>1</v>
      </c>
    </row>
    <row r="1150" spans="1:14" x14ac:dyDescent="0.35">
      <c r="A1150" t="s">
        <v>2706</v>
      </c>
      <c r="B1150" t="s">
        <v>1485</v>
      </c>
      <c r="C1150" t="s">
        <v>1484</v>
      </c>
      <c r="D1150">
        <v>10.144045</v>
      </c>
      <c r="E1150" t="s">
        <v>35</v>
      </c>
      <c r="F1150" s="1">
        <v>44497</v>
      </c>
      <c r="G1150" s="1">
        <v>46058</v>
      </c>
      <c r="H1150" t="s">
        <v>14</v>
      </c>
      <c r="I1150" t="s">
        <v>2778</v>
      </c>
      <c r="J1150">
        <v>261691</v>
      </c>
      <c r="K1150" t="s">
        <v>30</v>
      </c>
      <c r="L1150" t="str">
        <f t="shared" si="51"/>
        <v>Available</v>
      </c>
      <c r="M1150">
        <f t="shared" si="52"/>
        <v>0</v>
      </c>
      <c r="N1150">
        <f t="shared" si="53"/>
        <v>1</v>
      </c>
    </row>
    <row r="1151" spans="1:14" x14ac:dyDescent="0.35">
      <c r="A1151" t="s">
        <v>2707</v>
      </c>
      <c r="B1151" t="s">
        <v>121</v>
      </c>
      <c r="C1151" t="s">
        <v>1486</v>
      </c>
      <c r="F1151" s="1">
        <v>44497</v>
      </c>
      <c r="G1151" s="1">
        <v>45088</v>
      </c>
      <c r="H1151" t="s">
        <v>14</v>
      </c>
      <c r="I1151" t="s">
        <v>2778</v>
      </c>
      <c r="J1151">
        <v>261488</v>
      </c>
      <c r="K1151" t="s">
        <v>15</v>
      </c>
      <c r="L1151" t="str">
        <f t="shared" si="51"/>
        <v>Available</v>
      </c>
      <c r="M1151">
        <f t="shared" si="52"/>
        <v>1</v>
      </c>
      <c r="N1151">
        <f t="shared" si="53"/>
        <v>1</v>
      </c>
    </row>
    <row r="1152" spans="1:14" x14ac:dyDescent="0.35">
      <c r="A1152" t="s">
        <v>2708</v>
      </c>
      <c r="B1152" t="s">
        <v>2838</v>
      </c>
      <c r="C1152" t="s">
        <v>1487</v>
      </c>
      <c r="D1152">
        <v>24</v>
      </c>
      <c r="E1152" t="s">
        <v>13</v>
      </c>
      <c r="F1152" s="1">
        <v>45693</v>
      </c>
      <c r="G1152" s="1">
        <v>46059</v>
      </c>
      <c r="H1152" t="s">
        <v>14</v>
      </c>
      <c r="I1152" s="2">
        <v>33224734</v>
      </c>
      <c r="J1152">
        <v>266410</v>
      </c>
      <c r="K1152" t="s">
        <v>30</v>
      </c>
      <c r="L1152" t="str">
        <f t="shared" si="51"/>
        <v>Available</v>
      </c>
      <c r="M1152">
        <f t="shared" si="52"/>
        <v>0</v>
      </c>
      <c r="N1152">
        <f t="shared" si="53"/>
        <v>1</v>
      </c>
    </row>
    <row r="1153" spans="1:14" x14ac:dyDescent="0.35">
      <c r="A1153" t="s">
        <v>2709</v>
      </c>
      <c r="B1153" t="s">
        <v>293</v>
      </c>
      <c r="C1153" t="s">
        <v>1488</v>
      </c>
      <c r="D1153">
        <v>18.5</v>
      </c>
      <c r="E1153" t="s">
        <v>13</v>
      </c>
      <c r="F1153" s="1">
        <v>44497</v>
      </c>
      <c r="G1153" s="1">
        <v>46059</v>
      </c>
      <c r="H1153" t="s">
        <v>14</v>
      </c>
      <c r="I1153" s="2">
        <v>162268</v>
      </c>
      <c r="J1153">
        <v>266518</v>
      </c>
      <c r="K1153" t="s">
        <v>30</v>
      </c>
      <c r="L1153" t="str">
        <f t="shared" si="51"/>
        <v>Available</v>
      </c>
      <c r="M1153">
        <f t="shared" si="52"/>
        <v>0</v>
      </c>
      <c r="N1153">
        <f t="shared" si="53"/>
        <v>1</v>
      </c>
    </row>
    <row r="1154" spans="1:14" x14ac:dyDescent="0.35">
      <c r="A1154" t="s">
        <v>2710</v>
      </c>
      <c r="B1154" t="s">
        <v>2778</v>
      </c>
      <c r="C1154" t="s">
        <v>1489</v>
      </c>
      <c r="D1154">
        <v>32</v>
      </c>
      <c r="E1154" t="s">
        <v>13</v>
      </c>
      <c r="F1154" s="1">
        <v>44497</v>
      </c>
      <c r="G1154" s="1">
        <v>46058</v>
      </c>
      <c r="H1154" t="s">
        <v>14</v>
      </c>
      <c r="I1154" s="2">
        <v>17495657</v>
      </c>
      <c r="J1154">
        <v>266426</v>
      </c>
      <c r="K1154" t="s">
        <v>15</v>
      </c>
      <c r="L1154" t="str">
        <f t="shared" si="51"/>
        <v>Missing</v>
      </c>
      <c r="M1154">
        <f t="shared" si="52"/>
        <v>1</v>
      </c>
      <c r="N1154">
        <f t="shared" si="53"/>
        <v>0</v>
      </c>
    </row>
    <row r="1155" spans="1:14" x14ac:dyDescent="0.35">
      <c r="A1155" t="s">
        <v>2711</v>
      </c>
      <c r="B1155" t="s">
        <v>1491</v>
      </c>
      <c r="C1155" t="s">
        <v>1490</v>
      </c>
      <c r="D1155">
        <v>15</v>
      </c>
      <c r="E1155" t="s">
        <v>13</v>
      </c>
      <c r="F1155" s="1">
        <v>44497</v>
      </c>
      <c r="G1155" s="1">
        <v>46059</v>
      </c>
      <c r="H1155" t="s">
        <v>14</v>
      </c>
      <c r="I1155" s="2">
        <v>2568393</v>
      </c>
      <c r="J1155">
        <v>264711</v>
      </c>
      <c r="K1155" t="s">
        <v>15</v>
      </c>
      <c r="L1155" t="str">
        <f t="shared" ref="L1155:L1218" si="54">IF(OR(B1155="",ISBLANK(B1155)),"Missing","Available")</f>
        <v>Available</v>
      </c>
      <c r="M1155">
        <f t="shared" ref="M1155:M1218" si="55">IF(K1155="Mapped",1,0)</f>
        <v>1</v>
      </c>
      <c r="N1155">
        <f t="shared" ref="N1155:N1218" si="56">IF(AND(B1155&lt;&gt;"",A1155&lt;&gt;""),1,0)</f>
        <v>1</v>
      </c>
    </row>
    <row r="1156" spans="1:14" x14ac:dyDescent="0.35">
      <c r="A1156" t="s">
        <v>2712</v>
      </c>
      <c r="B1156" t="s">
        <v>152</v>
      </c>
      <c r="C1156" t="s">
        <v>1492</v>
      </c>
      <c r="D1156">
        <v>16</v>
      </c>
      <c r="E1156" t="s">
        <v>13</v>
      </c>
      <c r="F1156" s="1">
        <v>44497</v>
      </c>
      <c r="G1156" s="1">
        <v>45961</v>
      </c>
      <c r="H1156" t="s">
        <v>14</v>
      </c>
      <c r="I1156" t="s">
        <v>2778</v>
      </c>
      <c r="J1156">
        <v>264540</v>
      </c>
      <c r="K1156" t="s">
        <v>30</v>
      </c>
      <c r="L1156" t="str">
        <f t="shared" si="54"/>
        <v>Available</v>
      </c>
      <c r="M1156">
        <f t="shared" si="55"/>
        <v>0</v>
      </c>
      <c r="N1156">
        <f t="shared" si="56"/>
        <v>1</v>
      </c>
    </row>
    <row r="1157" spans="1:14" x14ac:dyDescent="0.35">
      <c r="A1157" t="s">
        <v>2713</v>
      </c>
      <c r="B1157" t="s">
        <v>47</v>
      </c>
      <c r="C1157" t="s">
        <v>1493</v>
      </c>
      <c r="D1157">
        <v>23.9</v>
      </c>
      <c r="E1157" t="s">
        <v>13</v>
      </c>
      <c r="F1157" s="1">
        <v>44497</v>
      </c>
      <c r="G1157" s="1">
        <v>46059</v>
      </c>
      <c r="H1157" t="s">
        <v>14</v>
      </c>
      <c r="I1157" s="2">
        <v>77117</v>
      </c>
      <c r="J1157">
        <v>264262</v>
      </c>
      <c r="K1157" t="s">
        <v>15</v>
      </c>
      <c r="L1157" t="str">
        <f t="shared" si="54"/>
        <v>Available</v>
      </c>
      <c r="M1157">
        <f t="shared" si="55"/>
        <v>1</v>
      </c>
      <c r="N1157">
        <f t="shared" si="56"/>
        <v>1</v>
      </c>
    </row>
    <row r="1158" spans="1:14" x14ac:dyDescent="0.35">
      <c r="A1158" t="s">
        <v>2714</v>
      </c>
      <c r="B1158" t="s">
        <v>58</v>
      </c>
      <c r="C1158" t="s">
        <v>1494</v>
      </c>
      <c r="D1158">
        <v>21.978764999999999</v>
      </c>
      <c r="E1158" t="s">
        <v>35</v>
      </c>
      <c r="F1158" s="1">
        <v>44497</v>
      </c>
      <c r="G1158" s="1">
        <v>45708</v>
      </c>
      <c r="H1158" t="s">
        <v>14</v>
      </c>
      <c r="I1158" t="s">
        <v>2778</v>
      </c>
      <c r="J1158">
        <v>262038</v>
      </c>
      <c r="K1158" t="s">
        <v>15</v>
      </c>
      <c r="L1158" t="str">
        <f t="shared" si="54"/>
        <v>Available</v>
      </c>
      <c r="M1158">
        <f t="shared" si="55"/>
        <v>1</v>
      </c>
      <c r="N1158">
        <f t="shared" si="56"/>
        <v>1</v>
      </c>
    </row>
    <row r="1159" spans="1:14" x14ac:dyDescent="0.35">
      <c r="A1159" t="s">
        <v>2715</v>
      </c>
      <c r="B1159" t="s">
        <v>2809</v>
      </c>
      <c r="C1159" t="s">
        <v>1495</v>
      </c>
      <c r="D1159">
        <v>24</v>
      </c>
      <c r="E1159" t="s">
        <v>13</v>
      </c>
      <c r="F1159" s="1">
        <v>45687</v>
      </c>
      <c r="G1159" s="1">
        <v>46059</v>
      </c>
      <c r="H1159" t="s">
        <v>14</v>
      </c>
      <c r="I1159" s="2">
        <v>64212929</v>
      </c>
      <c r="J1159">
        <v>261752</v>
      </c>
      <c r="K1159" t="s">
        <v>30</v>
      </c>
      <c r="L1159" t="str">
        <f t="shared" si="54"/>
        <v>Available</v>
      </c>
      <c r="M1159">
        <f t="shared" si="55"/>
        <v>0</v>
      </c>
      <c r="N1159">
        <f t="shared" si="56"/>
        <v>1</v>
      </c>
    </row>
    <row r="1160" spans="1:14" x14ac:dyDescent="0.35">
      <c r="A1160" t="s">
        <v>2716</v>
      </c>
      <c r="B1160" t="s">
        <v>1014</v>
      </c>
      <c r="C1160" t="s">
        <v>1496</v>
      </c>
      <c r="F1160" s="1">
        <v>44502</v>
      </c>
      <c r="G1160" s="1">
        <v>45083</v>
      </c>
      <c r="H1160" t="s">
        <v>14</v>
      </c>
      <c r="I1160" t="s">
        <v>2778</v>
      </c>
      <c r="J1160">
        <v>264095</v>
      </c>
      <c r="K1160" t="s">
        <v>30</v>
      </c>
      <c r="L1160" t="str">
        <f t="shared" si="54"/>
        <v>Available</v>
      </c>
      <c r="M1160">
        <f t="shared" si="55"/>
        <v>0</v>
      </c>
      <c r="N1160">
        <f t="shared" si="56"/>
        <v>1</v>
      </c>
    </row>
    <row r="1161" spans="1:14" x14ac:dyDescent="0.35">
      <c r="A1161" t="s">
        <v>2717</v>
      </c>
      <c r="B1161" t="s">
        <v>2836</v>
      </c>
      <c r="C1161" t="s">
        <v>1497</v>
      </c>
      <c r="F1161" s="1">
        <v>44866</v>
      </c>
      <c r="G1161" s="1">
        <v>45099</v>
      </c>
      <c r="H1161" t="s">
        <v>14</v>
      </c>
      <c r="I1161" t="s">
        <v>2778</v>
      </c>
      <c r="J1161">
        <v>262040</v>
      </c>
      <c r="K1161" t="s">
        <v>30</v>
      </c>
      <c r="L1161" t="str">
        <f t="shared" si="54"/>
        <v>Available</v>
      </c>
      <c r="M1161">
        <f t="shared" si="55"/>
        <v>0</v>
      </c>
      <c r="N1161">
        <f t="shared" si="56"/>
        <v>1</v>
      </c>
    </row>
    <row r="1162" spans="1:14" x14ac:dyDescent="0.35">
      <c r="A1162" t="s">
        <v>2718</v>
      </c>
      <c r="B1162" t="s">
        <v>121</v>
      </c>
      <c r="C1162" t="s">
        <v>1498</v>
      </c>
      <c r="D1162">
        <v>24</v>
      </c>
      <c r="E1162" t="s">
        <v>13</v>
      </c>
      <c r="F1162" s="1">
        <v>44497</v>
      </c>
      <c r="G1162" s="1">
        <v>46059</v>
      </c>
      <c r="H1162" t="s">
        <v>14</v>
      </c>
      <c r="I1162" s="2">
        <v>1926249</v>
      </c>
      <c r="J1162">
        <v>261515</v>
      </c>
      <c r="K1162" t="s">
        <v>15</v>
      </c>
      <c r="L1162" t="str">
        <f t="shared" si="54"/>
        <v>Available</v>
      </c>
      <c r="M1162">
        <f t="shared" si="55"/>
        <v>1</v>
      </c>
      <c r="N1162">
        <f t="shared" si="56"/>
        <v>1</v>
      </c>
    </row>
    <row r="1163" spans="1:14" x14ac:dyDescent="0.35">
      <c r="A1163" t="s">
        <v>2719</v>
      </c>
      <c r="B1163" t="s">
        <v>58</v>
      </c>
      <c r="C1163" t="s">
        <v>1499</v>
      </c>
      <c r="D1163">
        <v>24</v>
      </c>
      <c r="E1163" t="s">
        <v>13</v>
      </c>
      <c r="F1163" s="1">
        <v>44871</v>
      </c>
      <c r="G1163" s="1">
        <v>46055</v>
      </c>
      <c r="H1163" t="s">
        <v>14</v>
      </c>
      <c r="I1163" t="s">
        <v>2778</v>
      </c>
      <c r="J1163">
        <v>266438</v>
      </c>
      <c r="K1163" t="s">
        <v>30</v>
      </c>
      <c r="L1163" t="str">
        <f t="shared" si="54"/>
        <v>Available</v>
      </c>
      <c r="M1163">
        <f t="shared" si="55"/>
        <v>0</v>
      </c>
      <c r="N1163">
        <f t="shared" si="56"/>
        <v>1</v>
      </c>
    </row>
    <row r="1164" spans="1:14" x14ac:dyDescent="0.35">
      <c r="A1164" t="s">
        <v>2720</v>
      </c>
      <c r="B1164" t="s">
        <v>439</v>
      </c>
      <c r="C1164" t="s">
        <v>1500</v>
      </c>
      <c r="D1164">
        <v>24</v>
      </c>
      <c r="E1164" t="s">
        <v>13</v>
      </c>
      <c r="F1164" s="1">
        <v>44497</v>
      </c>
      <c r="G1164" s="1">
        <v>46059</v>
      </c>
      <c r="H1164" t="s">
        <v>14</v>
      </c>
      <c r="I1164" t="s">
        <v>2778</v>
      </c>
      <c r="J1164">
        <v>264526</v>
      </c>
      <c r="K1164" t="s">
        <v>15</v>
      </c>
      <c r="L1164" t="str">
        <f t="shared" si="54"/>
        <v>Available</v>
      </c>
      <c r="M1164">
        <f t="shared" si="55"/>
        <v>1</v>
      </c>
      <c r="N1164">
        <f t="shared" si="56"/>
        <v>1</v>
      </c>
    </row>
    <row r="1165" spans="1:14" x14ac:dyDescent="0.35">
      <c r="A1165" t="s">
        <v>2721</v>
      </c>
      <c r="B1165" t="s">
        <v>2810</v>
      </c>
      <c r="C1165" t="s">
        <v>893</v>
      </c>
      <c r="D1165">
        <v>25</v>
      </c>
      <c r="E1165" t="s">
        <v>13</v>
      </c>
      <c r="F1165" s="1">
        <v>44497</v>
      </c>
      <c r="G1165" s="1">
        <v>46057</v>
      </c>
      <c r="H1165" t="s">
        <v>14</v>
      </c>
      <c r="I1165" s="2">
        <v>53396</v>
      </c>
      <c r="J1165">
        <v>264269</v>
      </c>
      <c r="K1165" t="s">
        <v>30</v>
      </c>
      <c r="L1165" t="str">
        <f t="shared" si="54"/>
        <v>Available</v>
      </c>
      <c r="M1165">
        <f t="shared" si="55"/>
        <v>0</v>
      </c>
      <c r="N1165">
        <f t="shared" si="56"/>
        <v>1</v>
      </c>
    </row>
    <row r="1166" spans="1:14" x14ac:dyDescent="0.35">
      <c r="A1166" t="s">
        <v>2722</v>
      </c>
      <c r="B1166" t="s">
        <v>521</v>
      </c>
      <c r="C1166" t="s">
        <v>1501</v>
      </c>
      <c r="D1166">
        <v>24</v>
      </c>
      <c r="E1166" t="s">
        <v>13</v>
      </c>
      <c r="F1166" s="1">
        <v>45546</v>
      </c>
      <c r="G1166" s="1">
        <v>46057</v>
      </c>
      <c r="H1166" t="s">
        <v>14</v>
      </c>
      <c r="I1166" s="2">
        <v>62644762</v>
      </c>
      <c r="J1166">
        <v>264474</v>
      </c>
      <c r="K1166" t="s">
        <v>30</v>
      </c>
      <c r="L1166" t="str">
        <f t="shared" si="54"/>
        <v>Available</v>
      </c>
      <c r="M1166">
        <f t="shared" si="55"/>
        <v>0</v>
      </c>
      <c r="N1166">
        <f t="shared" si="56"/>
        <v>1</v>
      </c>
    </row>
    <row r="1167" spans="1:14" x14ac:dyDescent="0.35">
      <c r="A1167" t="s">
        <v>2723</v>
      </c>
      <c r="B1167" t="s">
        <v>2797</v>
      </c>
      <c r="C1167" t="s">
        <v>1502</v>
      </c>
      <c r="D1167">
        <v>22.993169999999999</v>
      </c>
      <c r="E1167" t="s">
        <v>35</v>
      </c>
      <c r="F1167" s="1">
        <v>44497</v>
      </c>
      <c r="G1167" s="1">
        <v>46058</v>
      </c>
      <c r="H1167" t="s">
        <v>14</v>
      </c>
      <c r="I1167" t="s">
        <v>2778</v>
      </c>
      <c r="J1167">
        <v>264120</v>
      </c>
      <c r="K1167" t="s">
        <v>15</v>
      </c>
      <c r="L1167" t="str">
        <f t="shared" si="54"/>
        <v>Available</v>
      </c>
      <c r="M1167">
        <f t="shared" si="55"/>
        <v>1</v>
      </c>
      <c r="N1167">
        <f t="shared" si="56"/>
        <v>1</v>
      </c>
    </row>
    <row r="1168" spans="1:14" x14ac:dyDescent="0.35">
      <c r="A1168" t="s">
        <v>2724</v>
      </c>
      <c r="B1168" t="s">
        <v>439</v>
      </c>
      <c r="C1168" t="s">
        <v>1503</v>
      </c>
      <c r="D1168">
        <v>45</v>
      </c>
      <c r="E1168" t="s">
        <v>13</v>
      </c>
      <c r="F1168" s="1">
        <v>44497</v>
      </c>
      <c r="G1168" s="1">
        <v>46059</v>
      </c>
      <c r="H1168" t="s">
        <v>14</v>
      </c>
      <c r="I1168" s="2">
        <v>16992672</v>
      </c>
      <c r="J1168">
        <v>261886</v>
      </c>
      <c r="K1168" t="s">
        <v>30</v>
      </c>
      <c r="L1168" t="str">
        <f t="shared" si="54"/>
        <v>Available</v>
      </c>
      <c r="M1168">
        <f t="shared" si="55"/>
        <v>0</v>
      </c>
      <c r="N1168">
        <f t="shared" si="56"/>
        <v>1</v>
      </c>
    </row>
    <row r="1169" spans="1:14" x14ac:dyDescent="0.35">
      <c r="A1169" t="s">
        <v>2725</v>
      </c>
      <c r="B1169" t="s">
        <v>269</v>
      </c>
      <c r="C1169" t="s">
        <v>1504</v>
      </c>
      <c r="D1169">
        <v>22.655035000000002</v>
      </c>
      <c r="E1169" t="s">
        <v>35</v>
      </c>
      <c r="F1169" s="1">
        <v>44497</v>
      </c>
      <c r="G1169" s="1">
        <v>45715</v>
      </c>
      <c r="H1169" t="s">
        <v>14</v>
      </c>
      <c r="I1169" t="s">
        <v>2778</v>
      </c>
      <c r="J1169">
        <v>261816</v>
      </c>
      <c r="K1169" t="s">
        <v>15</v>
      </c>
      <c r="L1169" t="str">
        <f t="shared" si="54"/>
        <v>Available</v>
      </c>
      <c r="M1169">
        <f t="shared" si="55"/>
        <v>1</v>
      </c>
      <c r="N1169">
        <f t="shared" si="56"/>
        <v>1</v>
      </c>
    </row>
    <row r="1170" spans="1:14" x14ac:dyDescent="0.35">
      <c r="A1170" t="s">
        <v>2726</v>
      </c>
      <c r="B1170" t="s">
        <v>94</v>
      </c>
      <c r="C1170" t="s">
        <v>1505</v>
      </c>
      <c r="D1170">
        <v>24</v>
      </c>
      <c r="E1170" t="s">
        <v>13</v>
      </c>
      <c r="F1170" s="1">
        <v>44497</v>
      </c>
      <c r="G1170" s="1">
        <v>46057</v>
      </c>
      <c r="H1170" t="s">
        <v>14</v>
      </c>
      <c r="I1170" s="2">
        <v>98557</v>
      </c>
      <c r="J1170">
        <v>261804</v>
      </c>
      <c r="K1170" t="s">
        <v>15</v>
      </c>
      <c r="L1170" t="str">
        <f t="shared" si="54"/>
        <v>Available</v>
      </c>
      <c r="M1170">
        <f t="shared" si="55"/>
        <v>1</v>
      </c>
      <c r="N1170">
        <f t="shared" si="56"/>
        <v>1</v>
      </c>
    </row>
    <row r="1171" spans="1:14" x14ac:dyDescent="0.35">
      <c r="A1171" t="s">
        <v>2727</v>
      </c>
      <c r="B1171" t="s">
        <v>2807</v>
      </c>
      <c r="C1171" t="s">
        <v>1506</v>
      </c>
      <c r="D1171">
        <v>24</v>
      </c>
      <c r="E1171" t="s">
        <v>13</v>
      </c>
      <c r="F1171" s="1">
        <v>44935</v>
      </c>
      <c r="G1171" s="1">
        <v>46060</v>
      </c>
      <c r="H1171" t="s">
        <v>14</v>
      </c>
      <c r="I1171" s="2">
        <v>29203013</v>
      </c>
      <c r="J1171">
        <v>264199</v>
      </c>
      <c r="K1171" t="s">
        <v>15</v>
      </c>
      <c r="L1171" t="str">
        <f t="shared" si="54"/>
        <v>Available</v>
      </c>
      <c r="M1171">
        <f t="shared" si="55"/>
        <v>1</v>
      </c>
      <c r="N1171">
        <f t="shared" si="56"/>
        <v>1</v>
      </c>
    </row>
    <row r="1172" spans="1:14" x14ac:dyDescent="0.35">
      <c r="A1172" t="s">
        <v>2728</v>
      </c>
      <c r="B1172" t="s">
        <v>200</v>
      </c>
      <c r="C1172" t="s">
        <v>1507</v>
      </c>
      <c r="D1172">
        <v>26</v>
      </c>
      <c r="E1172" t="s">
        <v>13</v>
      </c>
      <c r="F1172" s="1">
        <v>44497</v>
      </c>
      <c r="G1172" s="1">
        <v>46059</v>
      </c>
      <c r="H1172" t="s">
        <v>14</v>
      </c>
      <c r="I1172" s="2">
        <v>1387317</v>
      </c>
      <c r="J1172">
        <v>266824</v>
      </c>
      <c r="K1172" t="s">
        <v>15</v>
      </c>
      <c r="L1172" t="str">
        <f t="shared" si="54"/>
        <v>Available</v>
      </c>
      <c r="M1172">
        <f t="shared" si="55"/>
        <v>1</v>
      </c>
      <c r="N1172">
        <f t="shared" si="56"/>
        <v>1</v>
      </c>
    </row>
    <row r="1173" spans="1:14" x14ac:dyDescent="0.35">
      <c r="A1173" t="s">
        <v>2729</v>
      </c>
      <c r="B1173" t="s">
        <v>43</v>
      </c>
      <c r="C1173" t="s">
        <v>1508</v>
      </c>
      <c r="D1173">
        <v>25</v>
      </c>
      <c r="E1173" t="s">
        <v>13</v>
      </c>
      <c r="F1173" s="1">
        <v>44502</v>
      </c>
      <c r="G1173" s="1">
        <v>46059</v>
      </c>
      <c r="H1173" t="s">
        <v>14</v>
      </c>
      <c r="I1173" s="2">
        <v>2767454</v>
      </c>
      <c r="J1173">
        <v>262019</v>
      </c>
      <c r="K1173" t="s">
        <v>15</v>
      </c>
      <c r="L1173" t="str">
        <f t="shared" si="54"/>
        <v>Available</v>
      </c>
      <c r="M1173">
        <f t="shared" si="55"/>
        <v>1</v>
      </c>
      <c r="N1173">
        <f t="shared" si="56"/>
        <v>1</v>
      </c>
    </row>
    <row r="1174" spans="1:14" x14ac:dyDescent="0.35">
      <c r="A1174" t="s">
        <v>2730</v>
      </c>
      <c r="B1174" t="s">
        <v>2778</v>
      </c>
      <c r="C1174" t="s">
        <v>1509</v>
      </c>
      <c r="D1174">
        <v>32</v>
      </c>
      <c r="E1174" t="s">
        <v>13</v>
      </c>
      <c r="F1174" s="1">
        <v>44497</v>
      </c>
      <c r="G1174" s="1">
        <v>46059</v>
      </c>
      <c r="H1174" t="s">
        <v>14</v>
      </c>
      <c r="I1174" s="2">
        <v>25528182</v>
      </c>
      <c r="J1174">
        <v>264647</v>
      </c>
      <c r="K1174" t="s">
        <v>15</v>
      </c>
      <c r="L1174" t="str">
        <f t="shared" si="54"/>
        <v>Missing</v>
      </c>
      <c r="M1174">
        <f t="shared" si="55"/>
        <v>1</v>
      </c>
      <c r="N1174">
        <f t="shared" si="56"/>
        <v>0</v>
      </c>
    </row>
    <row r="1175" spans="1:14" x14ac:dyDescent="0.35">
      <c r="A1175" t="s">
        <v>2731</v>
      </c>
      <c r="B1175" t="s">
        <v>2795</v>
      </c>
      <c r="C1175" t="s">
        <v>87</v>
      </c>
      <c r="D1175">
        <v>16</v>
      </c>
      <c r="E1175" t="s">
        <v>13</v>
      </c>
      <c r="F1175" s="1">
        <v>44500</v>
      </c>
      <c r="G1175" s="1">
        <v>46059</v>
      </c>
      <c r="H1175" t="s">
        <v>14</v>
      </c>
      <c r="I1175" t="s">
        <v>2778</v>
      </c>
      <c r="J1175">
        <v>264022</v>
      </c>
      <c r="K1175" t="s">
        <v>15</v>
      </c>
      <c r="L1175" t="str">
        <f t="shared" si="54"/>
        <v>Available</v>
      </c>
      <c r="M1175">
        <f t="shared" si="55"/>
        <v>1</v>
      </c>
      <c r="N1175">
        <f t="shared" si="56"/>
        <v>1</v>
      </c>
    </row>
    <row r="1176" spans="1:14" x14ac:dyDescent="0.35">
      <c r="A1176" t="s">
        <v>2732</v>
      </c>
      <c r="B1176" t="s">
        <v>811</v>
      </c>
      <c r="C1176" t="s">
        <v>1510</v>
      </c>
      <c r="D1176">
        <v>24</v>
      </c>
      <c r="E1176" t="s">
        <v>13</v>
      </c>
      <c r="F1176" s="1">
        <v>44497</v>
      </c>
      <c r="G1176" s="1">
        <v>46058</v>
      </c>
      <c r="H1176" t="s">
        <v>14</v>
      </c>
      <c r="I1176" s="2">
        <v>232524</v>
      </c>
      <c r="J1176">
        <v>267030</v>
      </c>
      <c r="K1176" t="s">
        <v>15</v>
      </c>
      <c r="L1176" t="str">
        <f t="shared" si="54"/>
        <v>Available</v>
      </c>
      <c r="M1176">
        <f t="shared" si="55"/>
        <v>1</v>
      </c>
      <c r="N1176">
        <f t="shared" si="56"/>
        <v>1</v>
      </c>
    </row>
    <row r="1177" spans="1:14" x14ac:dyDescent="0.35">
      <c r="A1177" t="s">
        <v>2733</v>
      </c>
      <c r="B1177" t="s">
        <v>2812</v>
      </c>
      <c r="C1177" t="s">
        <v>1511</v>
      </c>
      <c r="D1177">
        <v>24</v>
      </c>
      <c r="E1177" t="s">
        <v>13</v>
      </c>
      <c r="F1177" s="1">
        <v>45253</v>
      </c>
      <c r="G1177" s="1">
        <v>46057</v>
      </c>
      <c r="H1177" t="s">
        <v>14</v>
      </c>
      <c r="I1177" s="2">
        <v>28129632</v>
      </c>
      <c r="J1177">
        <v>261751</v>
      </c>
      <c r="K1177" t="s">
        <v>30</v>
      </c>
      <c r="L1177" t="str">
        <f t="shared" si="54"/>
        <v>Available</v>
      </c>
      <c r="M1177">
        <f t="shared" si="55"/>
        <v>0</v>
      </c>
      <c r="N1177">
        <f t="shared" si="56"/>
        <v>1</v>
      </c>
    </row>
    <row r="1178" spans="1:14" x14ac:dyDescent="0.35">
      <c r="A1178" t="s">
        <v>2734</v>
      </c>
      <c r="B1178" t="s">
        <v>27</v>
      </c>
      <c r="C1178" t="s">
        <v>1512</v>
      </c>
      <c r="D1178">
        <v>24</v>
      </c>
      <c r="E1178" t="s">
        <v>13</v>
      </c>
      <c r="F1178" s="1">
        <v>44497</v>
      </c>
      <c r="G1178" s="1">
        <v>46059</v>
      </c>
      <c r="H1178" t="s">
        <v>14</v>
      </c>
      <c r="I1178" s="2">
        <v>91512</v>
      </c>
      <c r="J1178">
        <v>261608</v>
      </c>
      <c r="K1178" t="s">
        <v>30</v>
      </c>
      <c r="L1178" t="str">
        <f t="shared" si="54"/>
        <v>Available</v>
      </c>
      <c r="M1178">
        <f t="shared" si="55"/>
        <v>0</v>
      </c>
      <c r="N1178">
        <f t="shared" si="56"/>
        <v>1</v>
      </c>
    </row>
    <row r="1179" spans="1:14" x14ac:dyDescent="0.35">
      <c r="A1179" t="s">
        <v>2735</v>
      </c>
      <c r="B1179" t="s">
        <v>137</v>
      </c>
      <c r="C1179" t="s">
        <v>1165</v>
      </c>
      <c r="F1179" s="1">
        <v>44501</v>
      </c>
      <c r="G1179" s="1">
        <v>45109</v>
      </c>
      <c r="H1179" t="s">
        <v>14</v>
      </c>
      <c r="I1179" t="s">
        <v>2778</v>
      </c>
      <c r="J1179">
        <v>264702</v>
      </c>
      <c r="K1179" t="s">
        <v>15</v>
      </c>
      <c r="L1179" t="str">
        <f t="shared" si="54"/>
        <v>Available</v>
      </c>
      <c r="M1179">
        <f t="shared" si="55"/>
        <v>1</v>
      </c>
      <c r="N1179">
        <f t="shared" si="56"/>
        <v>1</v>
      </c>
    </row>
    <row r="1180" spans="1:14" x14ac:dyDescent="0.35">
      <c r="A1180" t="s">
        <v>2736</v>
      </c>
      <c r="B1180" t="s">
        <v>2778</v>
      </c>
      <c r="C1180" t="s">
        <v>1513</v>
      </c>
      <c r="D1180">
        <v>38</v>
      </c>
      <c r="E1180" t="s">
        <v>13</v>
      </c>
      <c r="F1180" s="1">
        <v>44929</v>
      </c>
      <c r="G1180" s="1">
        <v>46060</v>
      </c>
      <c r="H1180" t="s">
        <v>14</v>
      </c>
      <c r="I1180" s="2">
        <v>22160443</v>
      </c>
      <c r="J1180">
        <v>264317</v>
      </c>
      <c r="K1180" t="s">
        <v>15</v>
      </c>
      <c r="L1180" t="str">
        <f t="shared" si="54"/>
        <v>Missing</v>
      </c>
      <c r="M1180">
        <f t="shared" si="55"/>
        <v>1</v>
      </c>
      <c r="N1180">
        <f t="shared" si="56"/>
        <v>0</v>
      </c>
    </row>
    <row r="1181" spans="1:14" x14ac:dyDescent="0.35">
      <c r="A1181" t="s">
        <v>2737</v>
      </c>
      <c r="B1181" t="s">
        <v>25</v>
      </c>
      <c r="C1181" t="s">
        <v>1514</v>
      </c>
      <c r="D1181">
        <v>14</v>
      </c>
      <c r="E1181" t="s">
        <v>13</v>
      </c>
      <c r="F1181" s="1">
        <v>44497</v>
      </c>
      <c r="G1181" s="1">
        <v>46060</v>
      </c>
      <c r="H1181" t="s">
        <v>14</v>
      </c>
      <c r="I1181" s="2">
        <v>91495</v>
      </c>
      <c r="J1181">
        <v>266346</v>
      </c>
      <c r="K1181" t="s">
        <v>15</v>
      </c>
      <c r="L1181" t="str">
        <f t="shared" si="54"/>
        <v>Available</v>
      </c>
      <c r="M1181">
        <f t="shared" si="55"/>
        <v>1</v>
      </c>
      <c r="N1181">
        <f t="shared" si="56"/>
        <v>1</v>
      </c>
    </row>
    <row r="1182" spans="1:14" x14ac:dyDescent="0.35">
      <c r="A1182" t="s">
        <v>2738</v>
      </c>
      <c r="B1182" t="s">
        <v>2778</v>
      </c>
      <c r="C1182" t="s">
        <v>1515</v>
      </c>
      <c r="D1182">
        <v>25</v>
      </c>
      <c r="E1182" t="s">
        <v>13</v>
      </c>
      <c r="F1182" s="1">
        <v>44497</v>
      </c>
      <c r="G1182" s="1">
        <v>46059</v>
      </c>
      <c r="H1182" t="s">
        <v>14</v>
      </c>
      <c r="I1182" t="s">
        <v>2778</v>
      </c>
      <c r="J1182">
        <v>266330</v>
      </c>
      <c r="K1182" t="s">
        <v>15</v>
      </c>
      <c r="L1182" t="str">
        <f t="shared" si="54"/>
        <v>Missing</v>
      </c>
      <c r="M1182">
        <f t="shared" si="55"/>
        <v>1</v>
      </c>
      <c r="N1182">
        <f t="shared" si="56"/>
        <v>0</v>
      </c>
    </row>
    <row r="1183" spans="1:14" x14ac:dyDescent="0.35">
      <c r="A1183" t="s">
        <v>2739</v>
      </c>
      <c r="B1183" t="s">
        <v>2792</v>
      </c>
      <c r="C1183" t="s">
        <v>1516</v>
      </c>
      <c r="D1183">
        <v>15.5</v>
      </c>
      <c r="E1183" t="s">
        <v>13</v>
      </c>
      <c r="F1183" s="1">
        <v>45315</v>
      </c>
      <c r="G1183" s="1">
        <v>46057</v>
      </c>
      <c r="H1183" t="s">
        <v>14</v>
      </c>
      <c r="I1183" t="s">
        <v>2778</v>
      </c>
      <c r="J1183">
        <v>264573</v>
      </c>
      <c r="K1183" t="s">
        <v>15</v>
      </c>
      <c r="L1183" t="str">
        <f t="shared" si="54"/>
        <v>Available</v>
      </c>
      <c r="M1183">
        <f t="shared" si="55"/>
        <v>1</v>
      </c>
      <c r="N1183">
        <f t="shared" si="56"/>
        <v>1</v>
      </c>
    </row>
    <row r="1184" spans="1:14" x14ac:dyDescent="0.35">
      <c r="A1184" t="s">
        <v>2740</v>
      </c>
      <c r="B1184" t="s">
        <v>2869</v>
      </c>
      <c r="C1184" t="s">
        <v>1517</v>
      </c>
      <c r="D1184">
        <v>26</v>
      </c>
      <c r="E1184" t="s">
        <v>13</v>
      </c>
      <c r="F1184" s="1">
        <v>44504</v>
      </c>
      <c r="G1184" s="1">
        <v>46055</v>
      </c>
      <c r="H1184" t="s">
        <v>14</v>
      </c>
      <c r="I1184" s="2">
        <v>16742880</v>
      </c>
      <c r="J1184">
        <v>266961</v>
      </c>
      <c r="K1184" t="s">
        <v>30</v>
      </c>
      <c r="L1184" t="str">
        <f t="shared" si="54"/>
        <v>Available</v>
      </c>
      <c r="M1184">
        <f t="shared" si="55"/>
        <v>0</v>
      </c>
      <c r="N1184">
        <f t="shared" si="56"/>
        <v>1</v>
      </c>
    </row>
    <row r="1185" spans="1:14" x14ac:dyDescent="0.35">
      <c r="A1185" t="s">
        <v>2741</v>
      </c>
      <c r="B1185" t="s">
        <v>86</v>
      </c>
      <c r="C1185" t="s">
        <v>1518</v>
      </c>
      <c r="D1185">
        <v>24</v>
      </c>
      <c r="E1185" t="s">
        <v>13</v>
      </c>
      <c r="F1185" s="1">
        <v>44497</v>
      </c>
      <c r="G1185" s="1">
        <v>46058</v>
      </c>
      <c r="H1185" t="s">
        <v>14</v>
      </c>
      <c r="I1185" s="2">
        <v>2693821</v>
      </c>
      <c r="J1185">
        <v>261850</v>
      </c>
      <c r="K1185" t="s">
        <v>30</v>
      </c>
      <c r="L1185" t="str">
        <f t="shared" si="54"/>
        <v>Available</v>
      </c>
      <c r="M1185">
        <f t="shared" si="55"/>
        <v>0</v>
      </c>
      <c r="N1185">
        <f t="shared" si="56"/>
        <v>1</v>
      </c>
    </row>
    <row r="1186" spans="1:14" x14ac:dyDescent="0.35">
      <c r="A1186" t="s">
        <v>2742</v>
      </c>
      <c r="B1186" t="s">
        <v>2824</v>
      </c>
      <c r="C1186" t="s">
        <v>1520</v>
      </c>
      <c r="D1186">
        <v>16</v>
      </c>
      <c r="E1186" t="s">
        <v>13</v>
      </c>
      <c r="F1186" s="1">
        <v>44497</v>
      </c>
      <c r="G1186" s="1">
        <v>46057</v>
      </c>
      <c r="H1186" t="s">
        <v>14</v>
      </c>
      <c r="I1186" s="2">
        <v>243573</v>
      </c>
      <c r="J1186">
        <v>264121</v>
      </c>
      <c r="K1186" t="s">
        <v>15</v>
      </c>
      <c r="L1186" t="str">
        <f t="shared" si="54"/>
        <v>Available</v>
      </c>
      <c r="M1186">
        <f t="shared" si="55"/>
        <v>1</v>
      </c>
      <c r="N1186">
        <f t="shared" si="56"/>
        <v>1</v>
      </c>
    </row>
    <row r="1187" spans="1:14" x14ac:dyDescent="0.35">
      <c r="A1187" t="s">
        <v>2743</v>
      </c>
      <c r="B1187" t="s">
        <v>2797</v>
      </c>
      <c r="C1187" t="s">
        <v>1521</v>
      </c>
      <c r="D1187">
        <v>22.993169999999999</v>
      </c>
      <c r="E1187" t="s">
        <v>35</v>
      </c>
      <c r="F1187" s="1">
        <v>44497</v>
      </c>
      <c r="G1187" s="1">
        <v>46058</v>
      </c>
      <c r="H1187" t="s">
        <v>14</v>
      </c>
      <c r="I1187" t="s">
        <v>2778</v>
      </c>
      <c r="J1187">
        <v>261826</v>
      </c>
      <c r="K1187" t="s">
        <v>30</v>
      </c>
      <c r="L1187" t="str">
        <f t="shared" si="54"/>
        <v>Available</v>
      </c>
      <c r="M1187">
        <f t="shared" si="55"/>
        <v>0</v>
      </c>
      <c r="N1187">
        <f t="shared" si="56"/>
        <v>1</v>
      </c>
    </row>
    <row r="1188" spans="1:14" x14ac:dyDescent="0.35">
      <c r="A1188" t="s">
        <v>2744</v>
      </c>
      <c r="B1188" t="s">
        <v>152</v>
      </c>
      <c r="C1188" t="s">
        <v>1522</v>
      </c>
      <c r="D1188">
        <v>24</v>
      </c>
      <c r="E1188" t="s">
        <v>13</v>
      </c>
      <c r="F1188" s="1">
        <v>44497</v>
      </c>
      <c r="G1188" s="1">
        <v>46057</v>
      </c>
      <c r="H1188" t="s">
        <v>14</v>
      </c>
      <c r="I1188" t="s">
        <v>2778</v>
      </c>
      <c r="J1188">
        <v>262249</v>
      </c>
      <c r="K1188" t="s">
        <v>15</v>
      </c>
      <c r="L1188" t="str">
        <f t="shared" si="54"/>
        <v>Available</v>
      </c>
      <c r="M1188">
        <f t="shared" si="55"/>
        <v>1</v>
      </c>
      <c r="N1188">
        <f t="shared" si="56"/>
        <v>1</v>
      </c>
    </row>
    <row r="1189" spans="1:14" x14ac:dyDescent="0.35">
      <c r="A1189" t="s">
        <v>2745</v>
      </c>
      <c r="B1189" t="s">
        <v>125</v>
      </c>
      <c r="C1189" t="s">
        <v>1523</v>
      </c>
      <c r="D1189">
        <v>25</v>
      </c>
      <c r="E1189" t="s">
        <v>13</v>
      </c>
      <c r="F1189" s="1">
        <v>44607</v>
      </c>
      <c r="G1189" s="1">
        <v>46059</v>
      </c>
      <c r="H1189" t="s">
        <v>14</v>
      </c>
      <c r="I1189" s="2">
        <v>27583011</v>
      </c>
      <c r="J1189">
        <v>264073</v>
      </c>
      <c r="K1189" t="s">
        <v>30</v>
      </c>
      <c r="L1189" t="str">
        <f t="shared" si="54"/>
        <v>Available</v>
      </c>
      <c r="M1189">
        <f t="shared" si="55"/>
        <v>0</v>
      </c>
      <c r="N1189">
        <f t="shared" si="56"/>
        <v>1</v>
      </c>
    </row>
    <row r="1190" spans="1:14" x14ac:dyDescent="0.35">
      <c r="A1190" t="s">
        <v>2746</v>
      </c>
      <c r="B1190" t="s">
        <v>2797</v>
      </c>
      <c r="C1190" t="s">
        <v>1524</v>
      </c>
      <c r="D1190">
        <v>22.993169999999999</v>
      </c>
      <c r="E1190" t="s">
        <v>35</v>
      </c>
      <c r="F1190" s="1">
        <v>44497</v>
      </c>
      <c r="G1190" s="1">
        <v>46058</v>
      </c>
      <c r="H1190" t="s">
        <v>14</v>
      </c>
      <c r="I1190" t="s">
        <v>2778</v>
      </c>
      <c r="J1190">
        <v>264051</v>
      </c>
      <c r="K1190" t="s">
        <v>30</v>
      </c>
      <c r="L1190" t="str">
        <f t="shared" si="54"/>
        <v>Available</v>
      </c>
      <c r="M1190">
        <f t="shared" si="55"/>
        <v>0</v>
      </c>
      <c r="N1190">
        <f t="shared" si="56"/>
        <v>1</v>
      </c>
    </row>
    <row r="1191" spans="1:14" x14ac:dyDescent="0.35">
      <c r="A1191" t="s">
        <v>2747</v>
      </c>
      <c r="B1191" t="s">
        <v>483</v>
      </c>
      <c r="C1191" t="s">
        <v>1525</v>
      </c>
      <c r="D1191">
        <v>16.906742000000001</v>
      </c>
      <c r="E1191" t="s">
        <v>35</v>
      </c>
      <c r="F1191" s="1">
        <v>45099</v>
      </c>
      <c r="G1191" s="1">
        <v>46058</v>
      </c>
      <c r="H1191" t="s">
        <v>14</v>
      </c>
      <c r="I1191" t="s">
        <v>2778</v>
      </c>
      <c r="J1191">
        <v>264549</v>
      </c>
      <c r="K1191" t="s">
        <v>30</v>
      </c>
      <c r="L1191" t="str">
        <f t="shared" si="54"/>
        <v>Available</v>
      </c>
      <c r="M1191">
        <f t="shared" si="55"/>
        <v>0</v>
      </c>
      <c r="N1191">
        <f t="shared" si="56"/>
        <v>1</v>
      </c>
    </row>
    <row r="1192" spans="1:14" x14ac:dyDescent="0.35">
      <c r="A1192" t="s">
        <v>2748</v>
      </c>
      <c r="B1192" t="s">
        <v>152</v>
      </c>
      <c r="C1192" t="s">
        <v>1526</v>
      </c>
      <c r="D1192">
        <v>25</v>
      </c>
      <c r="E1192" t="s">
        <v>13</v>
      </c>
      <c r="F1192" s="1">
        <v>45442</v>
      </c>
      <c r="G1192" s="1">
        <v>46057</v>
      </c>
      <c r="H1192" t="s">
        <v>14</v>
      </c>
      <c r="I1192" t="s">
        <v>2778</v>
      </c>
      <c r="J1192">
        <v>266976</v>
      </c>
      <c r="K1192" t="s">
        <v>15</v>
      </c>
      <c r="L1192" t="str">
        <f t="shared" si="54"/>
        <v>Available</v>
      </c>
      <c r="M1192">
        <f t="shared" si="55"/>
        <v>1</v>
      </c>
      <c r="N1192">
        <f t="shared" si="56"/>
        <v>1</v>
      </c>
    </row>
    <row r="1193" spans="1:14" x14ac:dyDescent="0.35">
      <c r="A1193" t="s">
        <v>2749</v>
      </c>
      <c r="B1193" t="s">
        <v>2778</v>
      </c>
      <c r="C1193" t="s">
        <v>1527</v>
      </c>
      <c r="D1193">
        <v>24</v>
      </c>
      <c r="E1193" t="s">
        <v>13</v>
      </c>
      <c r="F1193" s="1">
        <v>44501</v>
      </c>
      <c r="G1193" s="1">
        <v>46058</v>
      </c>
      <c r="H1193" t="s">
        <v>14</v>
      </c>
      <c r="I1193" s="2">
        <v>3079004</v>
      </c>
      <c r="J1193">
        <v>266432</v>
      </c>
      <c r="K1193" t="s">
        <v>15</v>
      </c>
      <c r="L1193" t="str">
        <f t="shared" si="54"/>
        <v>Missing</v>
      </c>
      <c r="M1193">
        <f t="shared" si="55"/>
        <v>1</v>
      </c>
      <c r="N1193">
        <f t="shared" si="56"/>
        <v>0</v>
      </c>
    </row>
    <row r="1194" spans="1:14" x14ac:dyDescent="0.35">
      <c r="A1194" t="s">
        <v>2750</v>
      </c>
      <c r="B1194" t="s">
        <v>47</v>
      </c>
      <c r="C1194" t="s">
        <v>1528</v>
      </c>
      <c r="D1194">
        <v>66</v>
      </c>
      <c r="E1194" t="s">
        <v>13</v>
      </c>
      <c r="F1194" s="1">
        <v>44497</v>
      </c>
      <c r="G1194" s="1">
        <v>46060</v>
      </c>
      <c r="H1194" t="s">
        <v>14</v>
      </c>
      <c r="I1194" s="2">
        <v>2488676</v>
      </c>
      <c r="J1194">
        <v>264212</v>
      </c>
      <c r="K1194" t="s">
        <v>15</v>
      </c>
      <c r="L1194" t="str">
        <f t="shared" si="54"/>
        <v>Available</v>
      </c>
      <c r="M1194">
        <f t="shared" si="55"/>
        <v>1</v>
      </c>
      <c r="N1194">
        <f t="shared" si="56"/>
        <v>1</v>
      </c>
    </row>
    <row r="1195" spans="1:14" x14ac:dyDescent="0.35">
      <c r="A1195" t="s">
        <v>2751</v>
      </c>
      <c r="B1195" t="s">
        <v>2778</v>
      </c>
      <c r="C1195" t="s">
        <v>1529</v>
      </c>
      <c r="D1195">
        <v>24</v>
      </c>
      <c r="E1195" t="s">
        <v>13</v>
      </c>
      <c r="F1195" s="1">
        <v>45382</v>
      </c>
      <c r="G1195" s="1">
        <v>46059</v>
      </c>
      <c r="H1195" t="s">
        <v>14</v>
      </c>
      <c r="I1195" s="2">
        <v>25037321</v>
      </c>
      <c r="J1195">
        <v>261863</v>
      </c>
      <c r="K1195" t="s">
        <v>15</v>
      </c>
      <c r="L1195" t="str">
        <f t="shared" si="54"/>
        <v>Missing</v>
      </c>
      <c r="M1195">
        <f t="shared" si="55"/>
        <v>1</v>
      </c>
      <c r="N1195">
        <f t="shared" si="56"/>
        <v>0</v>
      </c>
    </row>
    <row r="1196" spans="1:14" x14ac:dyDescent="0.35">
      <c r="A1196" t="s">
        <v>2752</v>
      </c>
      <c r="B1196" t="s">
        <v>453</v>
      </c>
      <c r="C1196" t="s">
        <v>1530</v>
      </c>
      <c r="D1196">
        <v>25</v>
      </c>
      <c r="E1196" t="s">
        <v>13</v>
      </c>
      <c r="F1196" s="1">
        <v>44497</v>
      </c>
      <c r="G1196" s="1">
        <v>45896</v>
      </c>
      <c r="H1196" t="s">
        <v>14</v>
      </c>
      <c r="I1196" s="2">
        <v>24360729</v>
      </c>
      <c r="J1196">
        <v>264152</v>
      </c>
      <c r="K1196" t="s">
        <v>30</v>
      </c>
      <c r="L1196" t="str">
        <f t="shared" si="54"/>
        <v>Available</v>
      </c>
      <c r="M1196">
        <f t="shared" si="55"/>
        <v>0</v>
      </c>
      <c r="N1196">
        <f t="shared" si="56"/>
        <v>1</v>
      </c>
    </row>
    <row r="1197" spans="1:14" x14ac:dyDescent="0.35">
      <c r="A1197" t="s">
        <v>2753</v>
      </c>
      <c r="B1197" t="s">
        <v>1532</v>
      </c>
      <c r="C1197" t="s">
        <v>1531</v>
      </c>
      <c r="D1197">
        <v>28</v>
      </c>
      <c r="E1197" t="s">
        <v>13</v>
      </c>
      <c r="F1197" s="1">
        <v>44497</v>
      </c>
      <c r="G1197" s="1">
        <v>46059</v>
      </c>
      <c r="H1197" t="s">
        <v>14</v>
      </c>
      <c r="I1197" s="2">
        <v>212230</v>
      </c>
      <c r="J1197">
        <v>262022</v>
      </c>
      <c r="K1197" t="s">
        <v>30</v>
      </c>
      <c r="L1197" t="str">
        <f t="shared" si="54"/>
        <v>Available</v>
      </c>
      <c r="M1197">
        <f t="shared" si="55"/>
        <v>0</v>
      </c>
      <c r="N1197">
        <f t="shared" si="56"/>
        <v>1</v>
      </c>
    </row>
    <row r="1198" spans="1:14" x14ac:dyDescent="0.35">
      <c r="A1198" t="s">
        <v>2754</v>
      </c>
      <c r="B1198" t="s">
        <v>2804</v>
      </c>
      <c r="C1198" t="s">
        <v>1533</v>
      </c>
      <c r="D1198">
        <v>24</v>
      </c>
      <c r="E1198" t="s">
        <v>13</v>
      </c>
      <c r="F1198" s="1">
        <v>44497</v>
      </c>
      <c r="G1198" s="1">
        <v>46059</v>
      </c>
      <c r="H1198" t="s">
        <v>14</v>
      </c>
      <c r="I1198" s="2">
        <v>16290487</v>
      </c>
      <c r="J1198">
        <v>261735</v>
      </c>
      <c r="K1198" t="s">
        <v>30</v>
      </c>
      <c r="L1198" t="str">
        <f t="shared" si="54"/>
        <v>Available</v>
      </c>
      <c r="M1198">
        <f t="shared" si="55"/>
        <v>0</v>
      </c>
      <c r="N1198">
        <f t="shared" si="56"/>
        <v>1</v>
      </c>
    </row>
    <row r="1199" spans="1:14" x14ac:dyDescent="0.35">
      <c r="A1199" t="s">
        <v>2755</v>
      </c>
      <c r="B1199" t="s">
        <v>2789</v>
      </c>
      <c r="C1199" t="s">
        <v>1534</v>
      </c>
      <c r="D1199">
        <v>32</v>
      </c>
      <c r="E1199" t="s">
        <v>13</v>
      </c>
      <c r="F1199" s="1">
        <v>44497</v>
      </c>
      <c r="G1199" s="1">
        <v>46059</v>
      </c>
      <c r="H1199" t="s">
        <v>14</v>
      </c>
      <c r="I1199" s="2">
        <v>16948755</v>
      </c>
      <c r="J1199">
        <v>261755</v>
      </c>
      <c r="K1199" t="s">
        <v>30</v>
      </c>
      <c r="L1199" t="str">
        <f t="shared" si="54"/>
        <v>Available</v>
      </c>
      <c r="M1199">
        <f t="shared" si="55"/>
        <v>0</v>
      </c>
      <c r="N1199">
        <f t="shared" si="56"/>
        <v>1</v>
      </c>
    </row>
    <row r="1200" spans="1:14" x14ac:dyDescent="0.35">
      <c r="A1200" t="s">
        <v>2756</v>
      </c>
      <c r="B1200" t="s">
        <v>1005</v>
      </c>
      <c r="C1200" t="s">
        <v>1535</v>
      </c>
      <c r="D1200">
        <v>24</v>
      </c>
      <c r="E1200" t="s">
        <v>13</v>
      </c>
      <c r="F1200" s="1">
        <v>45147</v>
      </c>
      <c r="G1200" s="1">
        <v>46059</v>
      </c>
      <c r="H1200" t="s">
        <v>14</v>
      </c>
      <c r="I1200" s="2">
        <v>91449</v>
      </c>
      <c r="J1200">
        <v>264090</v>
      </c>
      <c r="K1200" t="s">
        <v>30</v>
      </c>
      <c r="L1200" t="str">
        <f t="shared" si="54"/>
        <v>Available</v>
      </c>
      <c r="M1200">
        <f t="shared" si="55"/>
        <v>0</v>
      </c>
      <c r="N1200">
        <f t="shared" si="56"/>
        <v>1</v>
      </c>
    </row>
    <row r="1201" spans="1:14" x14ac:dyDescent="0.35">
      <c r="A1201" t="s">
        <v>2757</v>
      </c>
      <c r="B1201" t="s">
        <v>94</v>
      </c>
      <c r="C1201" t="s">
        <v>1536</v>
      </c>
      <c r="D1201">
        <v>24</v>
      </c>
      <c r="E1201" t="s">
        <v>13</v>
      </c>
      <c r="F1201" s="1">
        <v>44497</v>
      </c>
      <c r="G1201" s="1">
        <v>46056</v>
      </c>
      <c r="H1201" t="s">
        <v>14</v>
      </c>
      <c r="I1201" s="2">
        <v>98558</v>
      </c>
      <c r="J1201">
        <v>261732</v>
      </c>
      <c r="K1201" t="s">
        <v>30</v>
      </c>
      <c r="L1201" t="str">
        <f t="shared" si="54"/>
        <v>Available</v>
      </c>
      <c r="M1201">
        <f t="shared" si="55"/>
        <v>0</v>
      </c>
      <c r="N1201">
        <f t="shared" si="56"/>
        <v>1</v>
      </c>
    </row>
    <row r="1202" spans="1:14" x14ac:dyDescent="0.35">
      <c r="A1202" t="s">
        <v>2758</v>
      </c>
      <c r="B1202" t="s">
        <v>2778</v>
      </c>
      <c r="C1202" t="s">
        <v>1537</v>
      </c>
      <c r="D1202">
        <v>32</v>
      </c>
      <c r="E1202" t="s">
        <v>13</v>
      </c>
      <c r="F1202" s="1">
        <v>44497</v>
      </c>
      <c r="G1202" s="1">
        <v>46059</v>
      </c>
      <c r="H1202" t="s">
        <v>14</v>
      </c>
      <c r="I1202" s="2">
        <v>98577</v>
      </c>
      <c r="J1202">
        <v>264231</v>
      </c>
      <c r="K1202" t="s">
        <v>30</v>
      </c>
      <c r="L1202" t="str">
        <f t="shared" si="54"/>
        <v>Missing</v>
      </c>
      <c r="M1202">
        <f t="shared" si="55"/>
        <v>0</v>
      </c>
      <c r="N1202">
        <f t="shared" si="56"/>
        <v>0</v>
      </c>
    </row>
    <row r="1203" spans="1:14" x14ac:dyDescent="0.35">
      <c r="A1203" t="s">
        <v>2759</v>
      </c>
      <c r="B1203" t="s">
        <v>318</v>
      </c>
      <c r="C1203" t="s">
        <v>1538</v>
      </c>
      <c r="D1203">
        <v>25.25</v>
      </c>
      <c r="E1203" t="s">
        <v>13</v>
      </c>
      <c r="F1203" s="1">
        <v>44497</v>
      </c>
      <c r="G1203" s="1">
        <v>46059</v>
      </c>
      <c r="H1203" t="s">
        <v>14</v>
      </c>
      <c r="I1203" s="2">
        <v>152806</v>
      </c>
      <c r="J1203">
        <v>266580</v>
      </c>
      <c r="K1203" t="s">
        <v>15</v>
      </c>
      <c r="L1203" t="str">
        <f t="shared" si="54"/>
        <v>Available</v>
      </c>
      <c r="M1203">
        <f t="shared" si="55"/>
        <v>1</v>
      </c>
      <c r="N1203">
        <f t="shared" si="56"/>
        <v>1</v>
      </c>
    </row>
    <row r="1204" spans="1:14" x14ac:dyDescent="0.35">
      <c r="A1204" t="s">
        <v>2760</v>
      </c>
      <c r="B1204" t="s">
        <v>2838</v>
      </c>
      <c r="C1204" t="s">
        <v>1539</v>
      </c>
      <c r="D1204">
        <v>24</v>
      </c>
      <c r="E1204" t="s">
        <v>13</v>
      </c>
      <c r="F1204" s="1">
        <v>45693</v>
      </c>
      <c r="G1204" s="1">
        <v>46059</v>
      </c>
      <c r="H1204" t="s">
        <v>14</v>
      </c>
      <c r="I1204" t="s">
        <v>2778</v>
      </c>
      <c r="J1204">
        <v>261794</v>
      </c>
      <c r="K1204" t="s">
        <v>15</v>
      </c>
      <c r="L1204" t="str">
        <f t="shared" si="54"/>
        <v>Available</v>
      </c>
      <c r="M1204">
        <f t="shared" si="55"/>
        <v>1</v>
      </c>
      <c r="N1204">
        <f t="shared" si="56"/>
        <v>1</v>
      </c>
    </row>
    <row r="1205" spans="1:14" x14ac:dyDescent="0.35">
      <c r="A1205" t="s">
        <v>2761</v>
      </c>
      <c r="B1205" t="s">
        <v>2778</v>
      </c>
      <c r="C1205" t="s">
        <v>1540</v>
      </c>
      <c r="D1205">
        <v>20</v>
      </c>
      <c r="E1205" t="s">
        <v>13</v>
      </c>
      <c r="F1205" s="1">
        <v>44497</v>
      </c>
      <c r="G1205" s="1">
        <v>46059</v>
      </c>
      <c r="H1205" t="s">
        <v>14</v>
      </c>
      <c r="I1205" s="2">
        <v>19831723</v>
      </c>
      <c r="J1205">
        <v>266433</v>
      </c>
      <c r="K1205" t="s">
        <v>15</v>
      </c>
      <c r="L1205" t="str">
        <f t="shared" si="54"/>
        <v>Missing</v>
      </c>
      <c r="M1205">
        <f t="shared" si="55"/>
        <v>1</v>
      </c>
      <c r="N1205">
        <f t="shared" si="56"/>
        <v>0</v>
      </c>
    </row>
    <row r="1206" spans="1:14" x14ac:dyDescent="0.35">
      <c r="A1206" t="s">
        <v>2762</v>
      </c>
      <c r="B1206" t="s">
        <v>2875</v>
      </c>
      <c r="C1206" t="s">
        <v>1541</v>
      </c>
      <c r="D1206">
        <v>20.288091000000001</v>
      </c>
      <c r="E1206" t="s">
        <v>35</v>
      </c>
      <c r="F1206" s="1">
        <v>45631</v>
      </c>
      <c r="G1206" s="1">
        <v>46058</v>
      </c>
      <c r="H1206" t="s">
        <v>14</v>
      </c>
      <c r="I1206" t="s">
        <v>2778</v>
      </c>
      <c r="J1206">
        <v>266503</v>
      </c>
      <c r="K1206" t="s">
        <v>15</v>
      </c>
      <c r="L1206" t="str">
        <f t="shared" si="54"/>
        <v>Available</v>
      </c>
      <c r="M1206">
        <f t="shared" si="55"/>
        <v>1</v>
      </c>
      <c r="N1206">
        <f t="shared" si="56"/>
        <v>1</v>
      </c>
    </row>
    <row r="1207" spans="1:14" x14ac:dyDescent="0.35">
      <c r="A1207" t="s">
        <v>2763</v>
      </c>
      <c r="B1207" t="s">
        <v>439</v>
      </c>
      <c r="C1207" t="s">
        <v>1542</v>
      </c>
      <c r="D1207">
        <v>24</v>
      </c>
      <c r="E1207" t="s">
        <v>13</v>
      </c>
      <c r="F1207" s="1">
        <v>44497</v>
      </c>
      <c r="G1207" s="1">
        <v>46059</v>
      </c>
      <c r="H1207" t="s">
        <v>14</v>
      </c>
      <c r="I1207" s="2">
        <v>16987093</v>
      </c>
      <c r="J1207">
        <v>264200</v>
      </c>
      <c r="K1207" t="s">
        <v>15</v>
      </c>
      <c r="L1207" t="str">
        <f t="shared" si="54"/>
        <v>Available</v>
      </c>
      <c r="M1207">
        <f t="shared" si="55"/>
        <v>1</v>
      </c>
      <c r="N1207">
        <f t="shared" si="56"/>
        <v>1</v>
      </c>
    </row>
    <row r="1208" spans="1:14" x14ac:dyDescent="0.35">
      <c r="A1208" t="s">
        <v>2764</v>
      </c>
      <c r="B1208" t="s">
        <v>58</v>
      </c>
      <c r="C1208" t="s">
        <v>1543</v>
      </c>
      <c r="D1208">
        <v>21.978764999999999</v>
      </c>
      <c r="E1208" t="s">
        <v>35</v>
      </c>
      <c r="F1208" s="1">
        <v>44497</v>
      </c>
      <c r="G1208" s="1">
        <v>45613</v>
      </c>
      <c r="H1208" t="s">
        <v>14</v>
      </c>
      <c r="I1208" t="s">
        <v>2778</v>
      </c>
      <c r="J1208">
        <v>266849</v>
      </c>
      <c r="K1208" t="s">
        <v>30</v>
      </c>
      <c r="L1208" t="str">
        <f t="shared" si="54"/>
        <v>Available</v>
      </c>
      <c r="M1208">
        <f t="shared" si="55"/>
        <v>0</v>
      </c>
      <c r="N1208">
        <f t="shared" si="56"/>
        <v>1</v>
      </c>
    </row>
    <row r="1209" spans="1:14" x14ac:dyDescent="0.35">
      <c r="A1209" t="s">
        <v>2765</v>
      </c>
      <c r="B1209" t="s">
        <v>369</v>
      </c>
      <c r="C1209" t="s">
        <v>1544</v>
      </c>
      <c r="D1209">
        <v>16</v>
      </c>
      <c r="E1209" t="s">
        <v>13</v>
      </c>
      <c r="F1209" s="1">
        <v>44497</v>
      </c>
      <c r="G1209" s="1">
        <v>46059</v>
      </c>
      <c r="H1209" t="s">
        <v>14</v>
      </c>
      <c r="I1209" s="2">
        <v>16369029</v>
      </c>
      <c r="J1209">
        <v>261777</v>
      </c>
      <c r="K1209" t="s">
        <v>15</v>
      </c>
      <c r="L1209" t="str">
        <f t="shared" si="54"/>
        <v>Available</v>
      </c>
      <c r="M1209">
        <f t="shared" si="55"/>
        <v>1</v>
      </c>
      <c r="N1209">
        <f t="shared" si="56"/>
        <v>1</v>
      </c>
    </row>
    <row r="1210" spans="1:14" x14ac:dyDescent="0.35">
      <c r="A1210" t="s">
        <v>2766</v>
      </c>
      <c r="B1210" t="s">
        <v>509</v>
      </c>
      <c r="C1210" t="s">
        <v>1545</v>
      </c>
      <c r="D1210">
        <v>19</v>
      </c>
      <c r="E1210" t="s">
        <v>13</v>
      </c>
      <c r="F1210" s="1">
        <v>45578</v>
      </c>
      <c r="G1210" s="1">
        <v>46059</v>
      </c>
      <c r="H1210" t="s">
        <v>14</v>
      </c>
      <c r="I1210" s="2">
        <v>46735671</v>
      </c>
      <c r="J1210">
        <v>261510</v>
      </c>
      <c r="K1210" t="s">
        <v>15</v>
      </c>
      <c r="L1210" t="str">
        <f t="shared" si="54"/>
        <v>Available</v>
      </c>
      <c r="M1210">
        <f t="shared" si="55"/>
        <v>1</v>
      </c>
      <c r="N1210">
        <f t="shared" si="56"/>
        <v>1</v>
      </c>
    </row>
    <row r="1211" spans="1:14" x14ac:dyDescent="0.35">
      <c r="A1211" t="s">
        <v>2767</v>
      </c>
      <c r="B1211" t="s">
        <v>2792</v>
      </c>
      <c r="C1211" t="s">
        <v>1483</v>
      </c>
      <c r="D1211">
        <v>32</v>
      </c>
      <c r="E1211" t="s">
        <v>13</v>
      </c>
      <c r="F1211" s="1">
        <v>44502</v>
      </c>
      <c r="G1211" s="1">
        <v>46057</v>
      </c>
      <c r="H1211" t="s">
        <v>14</v>
      </c>
      <c r="I1211" s="2">
        <v>24809</v>
      </c>
      <c r="J1211">
        <v>262579</v>
      </c>
      <c r="K1211" t="s">
        <v>15</v>
      </c>
      <c r="L1211" t="str">
        <f t="shared" si="54"/>
        <v>Available</v>
      </c>
      <c r="M1211">
        <f t="shared" si="55"/>
        <v>1</v>
      </c>
      <c r="N1211">
        <f t="shared" si="56"/>
        <v>1</v>
      </c>
    </row>
    <row r="1212" spans="1:14" x14ac:dyDescent="0.35">
      <c r="A1212" t="s">
        <v>2768</v>
      </c>
      <c r="B1212" t="s">
        <v>2778</v>
      </c>
      <c r="C1212" t="s">
        <v>1547</v>
      </c>
      <c r="D1212">
        <v>26</v>
      </c>
      <c r="E1212" t="s">
        <v>13</v>
      </c>
      <c r="F1212" s="1">
        <v>44500</v>
      </c>
      <c r="G1212" s="1">
        <v>46058</v>
      </c>
      <c r="H1212" t="s">
        <v>14</v>
      </c>
      <c r="I1212" s="2">
        <v>266093</v>
      </c>
      <c r="J1212">
        <v>261842</v>
      </c>
      <c r="K1212" t="s">
        <v>30</v>
      </c>
      <c r="L1212" t="str">
        <f t="shared" si="54"/>
        <v>Missing</v>
      </c>
      <c r="M1212">
        <f t="shared" si="55"/>
        <v>0</v>
      </c>
      <c r="N1212">
        <f t="shared" si="56"/>
        <v>0</v>
      </c>
    </row>
    <row r="1213" spans="1:14" x14ac:dyDescent="0.35">
      <c r="A1213" t="s">
        <v>2769</v>
      </c>
      <c r="B1213" t="s">
        <v>2905</v>
      </c>
      <c r="C1213" t="s">
        <v>1548</v>
      </c>
      <c r="D1213">
        <v>26</v>
      </c>
      <c r="E1213" t="s">
        <v>13</v>
      </c>
      <c r="F1213" s="1">
        <v>44514</v>
      </c>
      <c r="G1213" s="1">
        <v>46055</v>
      </c>
      <c r="H1213" t="s">
        <v>14</v>
      </c>
      <c r="I1213" s="2">
        <v>2812451</v>
      </c>
      <c r="J1213">
        <v>266554</v>
      </c>
      <c r="K1213" t="s">
        <v>30</v>
      </c>
      <c r="L1213" t="str">
        <f t="shared" si="54"/>
        <v>Available</v>
      </c>
      <c r="M1213">
        <f t="shared" si="55"/>
        <v>0</v>
      </c>
      <c r="N1213">
        <f t="shared" si="56"/>
        <v>1</v>
      </c>
    </row>
    <row r="1214" spans="1:14" x14ac:dyDescent="0.35">
      <c r="A1214" t="s">
        <v>2770</v>
      </c>
      <c r="B1214" t="s">
        <v>2800</v>
      </c>
      <c r="C1214" t="s">
        <v>1550</v>
      </c>
      <c r="D1214">
        <v>32</v>
      </c>
      <c r="E1214" t="s">
        <v>13</v>
      </c>
      <c r="F1214" s="1">
        <v>44497</v>
      </c>
      <c r="G1214" s="1">
        <v>46059</v>
      </c>
      <c r="H1214" t="s">
        <v>14</v>
      </c>
      <c r="I1214" s="2">
        <v>18905025</v>
      </c>
      <c r="J1214">
        <v>266811</v>
      </c>
      <c r="K1214" t="s">
        <v>30</v>
      </c>
      <c r="L1214" t="str">
        <f t="shared" si="54"/>
        <v>Available</v>
      </c>
      <c r="M1214">
        <f t="shared" si="55"/>
        <v>0</v>
      </c>
      <c r="N1214">
        <f t="shared" si="56"/>
        <v>1</v>
      </c>
    </row>
    <row r="1215" spans="1:14" x14ac:dyDescent="0.35">
      <c r="A1215" t="s">
        <v>2771</v>
      </c>
      <c r="B1215" t="s">
        <v>302</v>
      </c>
      <c r="C1215" t="s">
        <v>1551</v>
      </c>
      <c r="D1215">
        <v>24</v>
      </c>
      <c r="E1215" t="s">
        <v>13</v>
      </c>
      <c r="F1215" s="1">
        <v>44500</v>
      </c>
      <c r="G1215" s="1">
        <v>46059</v>
      </c>
      <c r="H1215" t="s">
        <v>14</v>
      </c>
      <c r="I1215" s="2">
        <v>18074820</v>
      </c>
      <c r="J1215">
        <v>266595</v>
      </c>
      <c r="K1215" t="s">
        <v>15</v>
      </c>
      <c r="L1215" t="str">
        <f t="shared" si="54"/>
        <v>Available</v>
      </c>
      <c r="M1215">
        <f t="shared" si="55"/>
        <v>1</v>
      </c>
      <c r="N1215">
        <f t="shared" si="56"/>
        <v>1</v>
      </c>
    </row>
    <row r="1216" spans="1:14" x14ac:dyDescent="0.35">
      <c r="A1216" t="s">
        <v>2772</v>
      </c>
      <c r="B1216" t="s">
        <v>318</v>
      </c>
      <c r="C1216" t="s">
        <v>1552</v>
      </c>
      <c r="D1216">
        <v>25.25</v>
      </c>
      <c r="E1216" t="s">
        <v>13</v>
      </c>
      <c r="F1216" s="1">
        <v>44497</v>
      </c>
      <c r="G1216" s="1">
        <v>46059</v>
      </c>
      <c r="H1216" t="s">
        <v>14</v>
      </c>
      <c r="I1216" s="2">
        <v>152805</v>
      </c>
      <c r="J1216">
        <v>261524</v>
      </c>
      <c r="K1216" t="s">
        <v>30</v>
      </c>
      <c r="L1216" t="str">
        <f t="shared" si="54"/>
        <v>Available</v>
      </c>
      <c r="M1216">
        <f t="shared" si="55"/>
        <v>0</v>
      </c>
      <c r="N1216">
        <f t="shared" si="56"/>
        <v>1</v>
      </c>
    </row>
    <row r="1217" spans="1:14" x14ac:dyDescent="0.35">
      <c r="A1217" t="s">
        <v>2773</v>
      </c>
      <c r="B1217" t="s">
        <v>27</v>
      </c>
      <c r="C1217" t="s">
        <v>1553</v>
      </c>
      <c r="D1217">
        <v>2</v>
      </c>
      <c r="E1217" t="s">
        <v>640</v>
      </c>
      <c r="F1217" s="1">
        <v>45449</v>
      </c>
      <c r="G1217" s="1">
        <v>45953</v>
      </c>
      <c r="H1217" t="s">
        <v>14</v>
      </c>
      <c r="I1217" t="s">
        <v>2778</v>
      </c>
      <c r="J1217">
        <v>266420</v>
      </c>
      <c r="K1217" t="s">
        <v>30</v>
      </c>
      <c r="L1217" t="str">
        <f t="shared" si="54"/>
        <v>Available</v>
      </c>
      <c r="M1217">
        <f t="shared" si="55"/>
        <v>0</v>
      </c>
      <c r="N1217">
        <f t="shared" si="56"/>
        <v>1</v>
      </c>
    </row>
    <row r="1218" spans="1:14" x14ac:dyDescent="0.35">
      <c r="A1218" t="s">
        <v>2774</v>
      </c>
      <c r="B1218" t="s">
        <v>2778</v>
      </c>
      <c r="C1218" t="s">
        <v>1554</v>
      </c>
      <c r="D1218">
        <v>16</v>
      </c>
      <c r="E1218" t="s">
        <v>13</v>
      </c>
      <c r="F1218" s="1">
        <v>45201</v>
      </c>
      <c r="G1218" s="1">
        <v>46010</v>
      </c>
      <c r="H1218" t="s">
        <v>14</v>
      </c>
      <c r="I1218" t="s">
        <v>2778</v>
      </c>
      <c r="J1218">
        <v>261746</v>
      </c>
      <c r="K1218" t="s">
        <v>15</v>
      </c>
      <c r="L1218" t="str">
        <f t="shared" si="54"/>
        <v>Missing</v>
      </c>
      <c r="M1218">
        <f t="shared" si="55"/>
        <v>1</v>
      </c>
      <c r="N1218">
        <f t="shared" si="56"/>
        <v>0</v>
      </c>
    </row>
    <row r="1219" spans="1:14" x14ac:dyDescent="0.35">
      <c r="A1219" t="s">
        <v>2775</v>
      </c>
      <c r="B1219" t="s">
        <v>37</v>
      </c>
      <c r="C1219" t="s">
        <v>1555</v>
      </c>
      <c r="D1219">
        <v>24</v>
      </c>
      <c r="E1219" t="s">
        <v>13</v>
      </c>
      <c r="F1219" s="1">
        <v>44499</v>
      </c>
      <c r="G1219" s="1">
        <v>46059</v>
      </c>
      <c r="H1219" t="s">
        <v>14</v>
      </c>
      <c r="I1219" s="2">
        <v>18491097</v>
      </c>
      <c r="J1219">
        <v>264348</v>
      </c>
      <c r="K1219" t="s">
        <v>15</v>
      </c>
      <c r="L1219" t="str">
        <f t="shared" ref="L1219:L1221" si="57">IF(OR(B1219="",ISBLANK(B1219)),"Missing","Available")</f>
        <v>Available</v>
      </c>
      <c r="M1219">
        <f t="shared" ref="M1219:M1221" si="58">IF(K1219="Mapped",1,0)</f>
        <v>1</v>
      </c>
      <c r="N1219">
        <f t="shared" ref="N1219:N1221" si="59">IF(AND(B1219&lt;&gt;"",A1219&lt;&gt;""),1,0)</f>
        <v>1</v>
      </c>
    </row>
    <row r="1220" spans="1:14" x14ac:dyDescent="0.35">
      <c r="A1220" t="s">
        <v>2776</v>
      </c>
      <c r="B1220" t="s">
        <v>768</v>
      </c>
      <c r="C1220" t="s">
        <v>1556</v>
      </c>
      <c r="D1220">
        <v>25</v>
      </c>
      <c r="E1220" t="s">
        <v>13</v>
      </c>
      <c r="F1220" s="1">
        <v>44497</v>
      </c>
      <c r="G1220" s="1">
        <v>46059</v>
      </c>
      <c r="H1220" t="s">
        <v>14</v>
      </c>
      <c r="I1220" s="2">
        <v>98562</v>
      </c>
      <c r="J1220">
        <v>264070</v>
      </c>
      <c r="K1220" t="s">
        <v>15</v>
      </c>
      <c r="L1220" t="str">
        <f t="shared" si="57"/>
        <v>Available</v>
      </c>
      <c r="M1220">
        <f t="shared" si="58"/>
        <v>1</v>
      </c>
      <c r="N1220">
        <f t="shared" si="59"/>
        <v>1</v>
      </c>
    </row>
    <row r="1221" spans="1:14" x14ac:dyDescent="0.35">
      <c r="A1221" t="s">
        <v>2777</v>
      </c>
      <c r="B1221" t="s">
        <v>2854</v>
      </c>
      <c r="C1221" t="s">
        <v>1557</v>
      </c>
      <c r="D1221">
        <v>24</v>
      </c>
      <c r="E1221" t="s">
        <v>13</v>
      </c>
      <c r="F1221" s="1">
        <v>45679</v>
      </c>
      <c r="G1221" s="1">
        <v>46059</v>
      </c>
      <c r="H1221" t="s">
        <v>14</v>
      </c>
      <c r="I1221" s="2">
        <v>64419397</v>
      </c>
      <c r="J1221">
        <v>266363</v>
      </c>
      <c r="K1221" t="s">
        <v>30</v>
      </c>
      <c r="L1221" t="str">
        <f t="shared" si="57"/>
        <v>Available</v>
      </c>
      <c r="M1221">
        <f t="shared" si="58"/>
        <v>0</v>
      </c>
      <c r="N1221">
        <f t="shared" si="59"/>
        <v>1</v>
      </c>
    </row>
  </sheetData>
  <pageMargins left="0.7" right="0.7" top="0.75" bottom="0.75" header="0.3" footer="0.3"/>
  <ignoredErrors>
    <ignoredError sqref="A2:A122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C924-72AE-4B6E-A7A5-134BC0BB304A}">
  <dimension ref="A1:M28"/>
  <sheetViews>
    <sheetView tabSelected="1" zoomScale="86" zoomScaleNormal="86" workbookViewId="0">
      <selection activeCell="G16" sqref="G16"/>
    </sheetView>
  </sheetViews>
  <sheetFormatPr defaultRowHeight="14.5" x14ac:dyDescent="0.35"/>
  <cols>
    <col min="1" max="1" width="12.90625" bestFit="1" customWidth="1"/>
    <col min="2" max="2" width="19.1796875" bestFit="1" customWidth="1"/>
    <col min="3" max="3" width="21" bestFit="1" customWidth="1"/>
    <col min="4" max="4" width="18.453125" bestFit="1" customWidth="1"/>
    <col min="5" max="5" width="15.26953125" bestFit="1" customWidth="1"/>
    <col min="6" max="6" width="19.7265625" bestFit="1" customWidth="1"/>
    <col min="7" max="7" width="18.1796875" bestFit="1" customWidth="1"/>
    <col min="8" max="8" width="17.1796875" bestFit="1" customWidth="1"/>
    <col min="9" max="9" width="31.08984375" bestFit="1" customWidth="1"/>
    <col min="10" max="10" width="21" bestFit="1" customWidth="1"/>
    <col min="11" max="11" width="18.1796875" bestFit="1" customWidth="1"/>
    <col min="12" max="12" width="21" bestFit="1" customWidth="1"/>
    <col min="13" max="13" width="10.7265625" bestFit="1" customWidth="1"/>
    <col min="14" max="14" width="21" bestFit="1" customWidth="1"/>
    <col min="15" max="15" width="24" customWidth="1"/>
    <col min="16" max="16" width="32.7265625" customWidth="1"/>
  </cols>
  <sheetData>
    <row r="1" spans="1:13" x14ac:dyDescent="0.35">
      <c r="E1" s="3" t="s">
        <v>2907</v>
      </c>
      <c r="F1" s="4">
        <v>1</v>
      </c>
      <c r="H1" s="3" t="s">
        <v>2907</v>
      </c>
      <c r="I1" s="4">
        <v>0</v>
      </c>
    </row>
    <row r="2" spans="1:13" x14ac:dyDescent="0.35">
      <c r="A2" s="6" t="s">
        <v>2915</v>
      </c>
      <c r="B2" s="6"/>
      <c r="C2" s="6"/>
      <c r="E2" s="6" t="s">
        <v>2922</v>
      </c>
      <c r="F2" s="6"/>
      <c r="G2" s="7"/>
      <c r="H2" s="6" t="s">
        <v>2924</v>
      </c>
      <c r="I2" s="6"/>
      <c r="K2" s="6" t="s">
        <v>2927</v>
      </c>
      <c r="L2" s="6"/>
      <c r="M2" s="6"/>
    </row>
    <row r="3" spans="1:13" x14ac:dyDescent="0.35">
      <c r="A3" t="s">
        <v>2909</v>
      </c>
      <c r="B3" t="s">
        <v>2912</v>
      </c>
      <c r="C3" t="s">
        <v>2913</v>
      </c>
      <c r="E3" s="3" t="s">
        <v>2909</v>
      </c>
      <c r="F3" t="s">
        <v>2911</v>
      </c>
      <c r="H3" s="3" t="s">
        <v>2909</v>
      </c>
      <c r="I3" t="s">
        <v>2911</v>
      </c>
      <c r="K3" s="3" t="s">
        <v>3</v>
      </c>
      <c r="L3" t="s">
        <v>2911</v>
      </c>
      <c r="M3" t="s">
        <v>2925</v>
      </c>
    </row>
    <row r="4" spans="1:13" x14ac:dyDescent="0.35">
      <c r="A4" s="4" t="s">
        <v>15</v>
      </c>
      <c r="B4" s="2">
        <v>856</v>
      </c>
      <c r="C4" s="5">
        <v>0.70163934426229513</v>
      </c>
      <c r="E4" s="4" t="s">
        <v>2921</v>
      </c>
      <c r="F4" s="2">
        <v>70</v>
      </c>
      <c r="H4" s="4" t="s">
        <v>2921</v>
      </c>
      <c r="I4" s="2">
        <v>48</v>
      </c>
      <c r="K4" s="4" t="s">
        <v>640</v>
      </c>
      <c r="L4" s="2">
        <v>5</v>
      </c>
      <c r="M4" s="5">
        <v>2.3364485981308409E-3</v>
      </c>
    </row>
    <row r="5" spans="1:13" x14ac:dyDescent="0.35">
      <c r="A5" s="4" t="s">
        <v>30</v>
      </c>
      <c r="B5" s="2">
        <v>364</v>
      </c>
      <c r="C5" s="5">
        <v>0.29836065573770493</v>
      </c>
      <c r="E5" s="4" t="s">
        <v>25</v>
      </c>
      <c r="F5" s="2">
        <v>28</v>
      </c>
      <c r="H5" s="4" t="s">
        <v>58</v>
      </c>
      <c r="I5" s="2">
        <v>35</v>
      </c>
      <c r="K5" s="4" t="s">
        <v>35</v>
      </c>
      <c r="L5" s="2">
        <v>84</v>
      </c>
      <c r="M5" s="5">
        <v>1.2850467289719626E-2</v>
      </c>
    </row>
    <row r="6" spans="1:13" x14ac:dyDescent="0.35">
      <c r="A6" s="4" t="s">
        <v>2910</v>
      </c>
      <c r="B6" s="2">
        <v>1220</v>
      </c>
      <c r="C6" s="5">
        <v>1</v>
      </c>
      <c r="E6" s="4" t="s">
        <v>47</v>
      </c>
      <c r="F6" s="2">
        <v>27</v>
      </c>
      <c r="H6" s="4" t="s">
        <v>152</v>
      </c>
      <c r="I6" s="2">
        <v>16</v>
      </c>
      <c r="K6" s="4" t="s">
        <v>13</v>
      </c>
      <c r="L6" s="2">
        <v>1082</v>
      </c>
      <c r="M6" s="5">
        <v>0.98481308411214952</v>
      </c>
    </row>
    <row r="7" spans="1:13" x14ac:dyDescent="0.35">
      <c r="E7" s="4" t="s">
        <v>58</v>
      </c>
      <c r="F7" s="2">
        <v>20</v>
      </c>
      <c r="H7" s="4" t="s">
        <v>420</v>
      </c>
      <c r="I7" s="2">
        <v>14</v>
      </c>
      <c r="K7" s="4" t="s">
        <v>2921</v>
      </c>
      <c r="L7" s="2">
        <v>49</v>
      </c>
      <c r="M7" s="5">
        <v>0</v>
      </c>
    </row>
    <row r="8" spans="1:13" x14ac:dyDescent="0.35">
      <c r="E8" s="4" t="s">
        <v>123</v>
      </c>
      <c r="F8" s="2">
        <v>19</v>
      </c>
      <c r="H8" s="4" t="s">
        <v>47</v>
      </c>
      <c r="I8" s="2">
        <v>8</v>
      </c>
      <c r="K8" s="4" t="s">
        <v>2910</v>
      </c>
      <c r="L8" s="2">
        <v>1220</v>
      </c>
      <c r="M8" s="5">
        <v>1</v>
      </c>
    </row>
    <row r="9" spans="1:13" x14ac:dyDescent="0.35">
      <c r="E9" s="4" t="s">
        <v>238</v>
      </c>
      <c r="F9" s="2">
        <v>18</v>
      </c>
      <c r="H9" s="4" t="s">
        <v>25</v>
      </c>
      <c r="I9" s="2">
        <v>8</v>
      </c>
    </row>
    <row r="10" spans="1:13" x14ac:dyDescent="0.35">
      <c r="A10" s="3" t="s">
        <v>10</v>
      </c>
      <c r="B10" t="s">
        <v>2918</v>
      </c>
      <c r="E10" s="4" t="s">
        <v>27</v>
      </c>
      <c r="F10" s="2">
        <v>18</v>
      </c>
      <c r="H10" s="4" t="s">
        <v>132</v>
      </c>
      <c r="I10" s="2">
        <v>7</v>
      </c>
    </row>
    <row r="11" spans="1:13" x14ac:dyDescent="0.35">
      <c r="E11" s="4" t="s">
        <v>156</v>
      </c>
      <c r="F11" s="2">
        <v>17</v>
      </c>
      <c r="H11" s="4" t="s">
        <v>91</v>
      </c>
      <c r="I11" s="2">
        <v>7</v>
      </c>
      <c r="K11" s="3" t="s">
        <v>10</v>
      </c>
      <c r="L11" t="s">
        <v>30</v>
      </c>
    </row>
    <row r="12" spans="1:13" x14ac:dyDescent="0.35">
      <c r="A12" s="3" t="s">
        <v>2909</v>
      </c>
      <c r="B12" t="s">
        <v>2919</v>
      </c>
      <c r="C12" t="s">
        <v>2911</v>
      </c>
      <c r="E12" s="4" t="s">
        <v>19</v>
      </c>
      <c r="F12" s="2">
        <v>16</v>
      </c>
      <c r="H12" s="4" t="s">
        <v>71</v>
      </c>
      <c r="I12" s="2">
        <v>6</v>
      </c>
      <c r="K12" s="3" t="s">
        <v>2908</v>
      </c>
      <c r="L12" s="4">
        <v>1</v>
      </c>
    </row>
    <row r="13" spans="1:13" x14ac:dyDescent="0.35">
      <c r="A13" s="4" t="s">
        <v>2916</v>
      </c>
      <c r="B13" s="2">
        <v>1102</v>
      </c>
      <c r="C13" s="5">
        <v>0.90327868852459015</v>
      </c>
      <c r="E13" s="4" t="s">
        <v>12</v>
      </c>
      <c r="F13" s="2">
        <v>16</v>
      </c>
      <c r="H13" s="4" t="s">
        <v>463</v>
      </c>
      <c r="I13" s="2">
        <v>6</v>
      </c>
      <c r="K13" s="6" t="s">
        <v>2926</v>
      </c>
      <c r="L13" s="6"/>
    </row>
    <row r="14" spans="1:13" x14ac:dyDescent="0.35">
      <c r="A14" s="4" t="s">
        <v>2917</v>
      </c>
      <c r="B14" s="2">
        <v>118</v>
      </c>
      <c r="C14" s="5">
        <v>9.6721311475409841E-2</v>
      </c>
      <c r="E14" s="4" t="s">
        <v>2910</v>
      </c>
      <c r="F14" s="2">
        <v>249</v>
      </c>
      <c r="H14" s="4" t="s">
        <v>2910</v>
      </c>
      <c r="I14" s="2">
        <v>155</v>
      </c>
      <c r="K14" s="3" t="s">
        <v>2909</v>
      </c>
      <c r="L14" t="s">
        <v>2911</v>
      </c>
    </row>
    <row r="15" spans="1:13" x14ac:dyDescent="0.35">
      <c r="A15" s="4" t="s">
        <v>2910</v>
      </c>
      <c r="B15" s="2">
        <v>1220</v>
      </c>
      <c r="C15" s="5">
        <v>1</v>
      </c>
      <c r="K15" s="4" t="s">
        <v>58</v>
      </c>
      <c r="L15" s="2">
        <v>35</v>
      </c>
    </row>
    <row r="16" spans="1:13" x14ac:dyDescent="0.35">
      <c r="K16" s="4" t="s">
        <v>152</v>
      </c>
      <c r="L16" s="2">
        <v>16</v>
      </c>
    </row>
    <row r="17" spans="11:12" x14ac:dyDescent="0.35">
      <c r="K17" s="4" t="s">
        <v>420</v>
      </c>
      <c r="L17" s="2">
        <v>14</v>
      </c>
    </row>
    <row r="18" spans="11:12" x14ac:dyDescent="0.35">
      <c r="K18" s="4" t="s">
        <v>47</v>
      </c>
      <c r="L18" s="2">
        <v>8</v>
      </c>
    </row>
    <row r="19" spans="11:12" x14ac:dyDescent="0.35">
      <c r="K19" s="4" t="s">
        <v>25</v>
      </c>
      <c r="L19" s="2">
        <v>8</v>
      </c>
    </row>
    <row r="20" spans="11:12" x14ac:dyDescent="0.35">
      <c r="K20" s="4" t="s">
        <v>132</v>
      </c>
      <c r="L20" s="2">
        <v>7</v>
      </c>
    </row>
    <row r="21" spans="11:12" x14ac:dyDescent="0.35">
      <c r="K21" s="4" t="s">
        <v>91</v>
      </c>
      <c r="L21" s="2">
        <v>7</v>
      </c>
    </row>
    <row r="22" spans="11:12" x14ac:dyDescent="0.35">
      <c r="K22" s="4" t="s">
        <v>71</v>
      </c>
      <c r="L22" s="2">
        <v>6</v>
      </c>
    </row>
    <row r="23" spans="11:12" x14ac:dyDescent="0.35">
      <c r="K23" s="4" t="s">
        <v>463</v>
      </c>
      <c r="L23" s="2">
        <v>6</v>
      </c>
    </row>
    <row r="24" spans="11:12" x14ac:dyDescent="0.35">
      <c r="K24" s="4" t="s">
        <v>253</v>
      </c>
      <c r="L24" s="2">
        <v>5</v>
      </c>
    </row>
    <row r="25" spans="11:12" x14ac:dyDescent="0.35">
      <c r="K25" s="4" t="s">
        <v>41</v>
      </c>
      <c r="L25" s="2">
        <v>5</v>
      </c>
    </row>
    <row r="26" spans="11:12" x14ac:dyDescent="0.35">
      <c r="K26" s="4" t="s">
        <v>261</v>
      </c>
      <c r="L26" s="2">
        <v>5</v>
      </c>
    </row>
    <row r="27" spans="11:12" x14ac:dyDescent="0.35">
      <c r="K27" s="4" t="s">
        <v>27</v>
      </c>
      <c r="L27" s="2">
        <v>5</v>
      </c>
    </row>
    <row r="28" spans="11:12" x14ac:dyDescent="0.35">
      <c r="K28" s="4" t="s">
        <v>2910</v>
      </c>
      <c r="L28" s="2">
        <v>127</v>
      </c>
    </row>
  </sheetData>
  <mergeCells count="5">
    <mergeCell ref="K13:L13"/>
    <mergeCell ref="K2:M2"/>
    <mergeCell ref="A2:C2"/>
    <mergeCell ref="E2:F2"/>
    <mergeCell ref="H2:I2"/>
  </mergeCells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0531-913F-44B3-AC3B-7B82C2D31045}">
  <dimension ref="A1:K15"/>
  <sheetViews>
    <sheetView topLeftCell="B1" workbookViewId="0">
      <selection activeCell="J1" sqref="J1"/>
    </sheetView>
  </sheetViews>
  <sheetFormatPr defaultRowHeight="14.5" x14ac:dyDescent="0.35"/>
  <cols>
    <col min="1" max="1" width="12.453125" bestFit="1" customWidth="1"/>
    <col min="2" max="2" width="18.453125" bestFit="1" customWidth="1"/>
    <col min="3" max="3" width="19.7265625" bestFit="1" customWidth="1"/>
    <col min="4" max="4" width="18.453125" bestFit="1" customWidth="1"/>
    <col min="5" max="5" width="12.453125" bestFit="1" customWidth="1"/>
    <col min="6" max="6" width="19.7265625" bestFit="1" customWidth="1"/>
    <col min="7" max="7" width="18.1796875" bestFit="1" customWidth="1"/>
    <col min="9" max="9" width="17.26953125" bestFit="1" customWidth="1"/>
    <col min="10" max="10" width="19.7265625" bestFit="1" customWidth="1"/>
    <col min="11" max="11" width="18.1796875" bestFit="1" customWidth="1"/>
  </cols>
  <sheetData>
    <row r="1" spans="1:11" x14ac:dyDescent="0.35">
      <c r="E1" s="3" t="s">
        <v>2907</v>
      </c>
      <c r="F1" s="4">
        <v>1</v>
      </c>
      <c r="I1" s="3" t="s">
        <v>2907</v>
      </c>
      <c r="J1" s="4">
        <v>0</v>
      </c>
    </row>
    <row r="2" spans="1:11" x14ac:dyDescent="0.35">
      <c r="A2" s="6" t="s">
        <v>2914</v>
      </c>
      <c r="B2" s="6"/>
      <c r="C2" s="6"/>
      <c r="E2" s="6" t="s">
        <v>2920</v>
      </c>
      <c r="F2" s="6"/>
      <c r="G2" s="6"/>
      <c r="I2" s="6" t="s">
        <v>2923</v>
      </c>
      <c r="J2" s="6"/>
      <c r="K2" s="6"/>
    </row>
    <row r="3" spans="1:11" x14ac:dyDescent="0.35">
      <c r="A3" s="3" t="s">
        <v>2909</v>
      </c>
      <c r="B3" t="s">
        <v>2912</v>
      </c>
      <c r="C3" t="s">
        <v>2913</v>
      </c>
      <c r="E3" s="3" t="s">
        <v>2909</v>
      </c>
      <c r="F3" t="s">
        <v>2911</v>
      </c>
      <c r="I3" s="3" t="s">
        <v>2909</v>
      </c>
      <c r="J3" t="s">
        <v>2911</v>
      </c>
    </row>
    <row r="4" spans="1:11" x14ac:dyDescent="0.35">
      <c r="A4" s="4" t="s">
        <v>15</v>
      </c>
      <c r="B4" s="2">
        <v>593</v>
      </c>
      <c r="C4" s="5">
        <v>0.48606557377049181</v>
      </c>
      <c r="E4" s="4"/>
      <c r="F4" s="2">
        <v>59</v>
      </c>
      <c r="I4" s="4"/>
      <c r="J4" s="2">
        <v>59</v>
      </c>
    </row>
    <row r="5" spans="1:11" x14ac:dyDescent="0.35">
      <c r="A5" s="4" t="s">
        <v>30</v>
      </c>
      <c r="B5" s="2">
        <v>627</v>
      </c>
      <c r="C5" s="5">
        <v>0.51393442622950825</v>
      </c>
      <c r="E5" s="4" t="s">
        <v>58</v>
      </c>
      <c r="F5" s="2">
        <v>22</v>
      </c>
      <c r="I5" s="4" t="s">
        <v>156</v>
      </c>
      <c r="J5" s="2">
        <v>10</v>
      </c>
    </row>
    <row r="6" spans="1:11" x14ac:dyDescent="0.35">
      <c r="A6" s="4" t="s">
        <v>2910</v>
      </c>
      <c r="B6" s="2">
        <v>1220</v>
      </c>
      <c r="C6" s="5">
        <v>1</v>
      </c>
      <c r="E6" s="4" t="s">
        <v>25</v>
      </c>
      <c r="F6" s="2">
        <v>19</v>
      </c>
      <c r="I6" s="4" t="s">
        <v>58</v>
      </c>
      <c r="J6" s="2">
        <v>33</v>
      </c>
    </row>
    <row r="7" spans="1:11" x14ac:dyDescent="0.35">
      <c r="E7" s="4" t="s">
        <v>47</v>
      </c>
      <c r="F7" s="2">
        <v>17</v>
      </c>
      <c r="I7" s="4" t="s">
        <v>439</v>
      </c>
      <c r="J7" s="2">
        <v>11</v>
      </c>
    </row>
    <row r="8" spans="1:11" x14ac:dyDescent="0.35">
      <c r="E8" s="4" t="s">
        <v>27</v>
      </c>
      <c r="F8" s="2">
        <v>16</v>
      </c>
      <c r="I8" s="4" t="s">
        <v>25</v>
      </c>
      <c r="J8" s="2">
        <v>17</v>
      </c>
    </row>
    <row r="9" spans="1:11" x14ac:dyDescent="0.35">
      <c r="E9" s="4" t="s">
        <v>121</v>
      </c>
      <c r="F9" s="2">
        <v>12</v>
      </c>
      <c r="I9" s="4" t="s">
        <v>2808</v>
      </c>
      <c r="J9" s="2">
        <v>10</v>
      </c>
    </row>
    <row r="10" spans="1:11" x14ac:dyDescent="0.35">
      <c r="A10" s="3" t="s">
        <v>10</v>
      </c>
      <c r="B10" t="s">
        <v>30</v>
      </c>
      <c r="E10" s="4" t="s">
        <v>439</v>
      </c>
      <c r="F10" s="2">
        <v>11</v>
      </c>
      <c r="I10" s="4" t="s">
        <v>47</v>
      </c>
      <c r="J10" s="2">
        <v>18</v>
      </c>
    </row>
    <row r="11" spans="1:11" x14ac:dyDescent="0.35">
      <c r="E11" s="4" t="s">
        <v>152</v>
      </c>
      <c r="F11" s="2">
        <v>11</v>
      </c>
      <c r="I11" s="4" t="s">
        <v>2790</v>
      </c>
      <c r="J11" s="2">
        <v>12</v>
      </c>
    </row>
    <row r="12" spans="1:11" x14ac:dyDescent="0.35">
      <c r="A12" s="3" t="s">
        <v>2909</v>
      </c>
      <c r="B12" t="s">
        <v>2919</v>
      </c>
      <c r="C12" t="s">
        <v>2911</v>
      </c>
      <c r="E12" s="4" t="s">
        <v>2797</v>
      </c>
      <c r="F12" s="2">
        <v>10</v>
      </c>
      <c r="I12" s="4" t="s">
        <v>152</v>
      </c>
      <c r="J12" s="2">
        <v>9</v>
      </c>
    </row>
    <row r="13" spans="1:11" x14ac:dyDescent="0.35">
      <c r="A13" s="4" t="s">
        <v>2916</v>
      </c>
      <c r="B13" s="2">
        <v>568</v>
      </c>
      <c r="C13" s="5">
        <v>0.90590111642743221</v>
      </c>
      <c r="E13" s="4" t="s">
        <v>318</v>
      </c>
      <c r="F13" s="2">
        <v>10</v>
      </c>
      <c r="I13" s="4" t="s">
        <v>2792</v>
      </c>
      <c r="J13" s="2">
        <v>9</v>
      </c>
    </row>
    <row r="14" spans="1:11" x14ac:dyDescent="0.35">
      <c r="A14" s="4" t="s">
        <v>2917</v>
      </c>
      <c r="B14" s="2">
        <v>59</v>
      </c>
      <c r="C14" s="5">
        <v>9.4098883572567779E-2</v>
      </c>
      <c r="E14" s="4" t="s">
        <v>2910</v>
      </c>
      <c r="F14" s="2">
        <v>187</v>
      </c>
      <c r="I14" s="4" t="s">
        <v>2836</v>
      </c>
      <c r="J14" s="2">
        <v>10</v>
      </c>
    </row>
    <row r="15" spans="1:11" x14ac:dyDescent="0.35">
      <c r="A15" s="4" t="s">
        <v>2910</v>
      </c>
      <c r="B15" s="2">
        <v>627</v>
      </c>
      <c r="C15" s="5">
        <v>1</v>
      </c>
      <c r="I15" s="4" t="s">
        <v>2910</v>
      </c>
      <c r="J15" s="2">
        <v>198</v>
      </c>
    </row>
  </sheetData>
  <mergeCells count="3">
    <mergeCell ref="A2:C2"/>
    <mergeCell ref="E2:G2"/>
    <mergeCell ref="I2:K2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Red Pasta Sauce data Instacart</vt:lpstr>
      <vt:lpstr>Red Pasta Sauce data Aldi</vt:lpstr>
      <vt:lpstr>Mapping report Instacart</vt:lpstr>
      <vt:lpstr>Mapping report Aldi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Swain</cp:lastModifiedBy>
  <dcterms:created xsi:type="dcterms:W3CDTF">2026-02-20T16:09:12Z</dcterms:created>
  <dcterms:modified xsi:type="dcterms:W3CDTF">2026-02-20T16:09:12Z</dcterms:modified>
</cp:coreProperties>
</file>